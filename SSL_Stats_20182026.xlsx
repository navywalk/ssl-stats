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 Me" sheetId="1" state="visible" r:id="rId3"/>
    <sheet name="Batting by Season" sheetId="2" state="visible" r:id="rId4"/>
    <sheet name="Batting Career" sheetId="3" state="visible" r:id="rId5"/>
    <sheet name="Pitching by Season" sheetId="4" state="visible" r:id="rId6"/>
    <sheet name="Pitching Career" sheetId="5" state="visible" r:id="rId7"/>
    <sheet name="Team by Season" sheetId="6" state="visible" r:id="rId8"/>
    <sheet name="Team Career" sheetId="7" state="visible" r:id="rId9"/>
  </sheets>
  <definedNames>
    <definedName function="false" hidden="true" localSheetId="2" name="_xlnm._FilterDatabase" vbProcedure="false">'Batting Career'!$A$1:$U$480</definedName>
    <definedName function="false" hidden="true" localSheetId="5" name="_xlnm._FilterDatabase" vbProcedure="false">'Team by Season'!$A$1:$U$1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R8" authorId="0">
      <text>
        <r>
          <rPr>
            <sz val="10"/>
            <rFont val="Arial"/>
            <family val="2"/>
          </rPr>
          <t xml:space="preserve">michael mcallister:
IP entered manually, not SUMIFS: the Pitching by Season IP column uses baseball thirds notation (17.1 = 17 1/3), so a plain SUM would understate the total. 17 1/3 + 28 2/3 + 7 = 53.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20</xdr:colOff>
                <xdr:row>0</xdr:row>
                <xdr:rowOff>2</xdr:rowOff>
              </xdr:from>
              <xdr:to>
                <xdr:col>3</xdr:col>
                <xdr:colOff>31</xdr:colOff>
                <xdr:row>7</xdr:row>
                <xdr:rowOff>14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<sst xmlns="http://schemas.openxmlformats.org/spreadsheetml/2006/main" count="5092" uniqueCount="668">
  <si>
    <t xml:space="preserve">Saltaire Softball League — Stats Workbook</t>
  </si>
  <si>
    <t xml:space="preserve">Generated from ssl_data.json (interactive stats site dataset).</t>
  </si>
  <si>
    <t xml:space="preserve">Seasons 2019–2026 (no 2020). Compiled from GameChanger box scores.</t>
  </si>
  <si>
    <t xml:space="preserve">Sheets</t>
  </si>
  <si>
    <t xml:space="preserve">Batting/Pitching by Season &amp; Career, Team by Season &amp; Career</t>
  </si>
  <si>
    <t xml:space="preserve">Season sheets</t>
  </si>
  <si>
    <t xml:space="preserve">one row per player per team per season (ledger rows aggregated)</t>
  </si>
  <si>
    <t xml:space="preserve">ERA basis</t>
  </si>
  <si>
    <t xml:space="preserve">ALL ERA shown on a 7-inning basis (earned runs per complete 7-inning game).</t>
  </si>
  <si>
    <t xml:space="preserve">  Individual pitching</t>
  </si>
  <si>
    <t xml:space="preserve">ERA = ER × 7 / IP</t>
  </si>
  <si>
    <t xml:space="preserve">  Team ERA</t>
  </si>
  <si>
    <t xml:space="preserve">stored 9-inning value scaled × 7/9 to match (all sheets are 7-inning)</t>
  </si>
  <si>
    <t xml:space="preserve">IP notation</t>
  </si>
  <si>
    <t xml:space="preserve">Individual pitchers use baseball thirds (.1 = ⅓, .2 = ⅔); team IP is decimal innings</t>
  </si>
  <si>
    <t xml:space="preserve">Rates</t>
  </si>
  <si>
    <t xml:space="preserve">AVG=H/AB · OBP=(H+BB)/(AB+BB) · SLG=TB/AB · OPS=OBP+SLG · ISO=SLG−AVG</t>
  </si>
  <si>
    <t xml:space="preserve">  </t>
  </si>
  <si>
    <t xml:space="preserve">TB=1B+2·2B+3·3B+4·HR · XBH=2B+3B+HR · WHIP=(H+BB)/IP · K/7, BB/7 per 7 innings</t>
  </si>
  <si>
    <t xml:space="preserve">Note</t>
  </si>
  <si>
    <t xml:space="preserve">A player entered under two scorekeeper spellings may appear more than once.</t>
  </si>
  <si>
    <t xml:space="preserve">This workbook is a snapshot; the Drive ssl_stats.xlsx is separate and unchanged.</t>
  </si>
  <si>
    <t xml:space="preserve">Update 2026-08-14</t>
  </si>
  <si>
    <t xml:space="preserve">Added 4 games from box-score PDFs: Dragons_vs_Dogfish_Aug_2, Bulkheads_vs_Outsiders_Aug_8, Excitables_vs_Dogfish_Aug_8, RipTide_vs_Dragons_Aug_9. New Dogfish players kept verbatim: A Pitcher, A Female, A Adams, B Coffey, Alex Newman. M Valente #6=Mike, #8=Mark (per user). Dragons 2026 team ERA re-footed to pitching rows.</t>
  </si>
  <si>
    <t xml:space="preserve">Update 2026-08-14 (2)</t>
  </si>
  <si>
    <t xml:space="preserve">Split conflated "L Bender" (Fringe) into Lenny Bender (#13, the pitcher) and Leila Bender (joined 2024; usually bats 10th+). 2018-2023 rows are all Lenny. 2026 web-import rows assigned to Lenny per user. Merged Fringe_vs_Dogfish_Aug_7_2026 (future-dated, played Aug 1-2 weekend): Fringe 8-3 Dogfish; its L Bender #13 batting 10th = Leila per user. CR: L Bender renamed CR: Leila Bender. Fixed corrupted Years cell on M Mederick career row.</t>
  </si>
  <si>
    <t xml:space="preserve">Update 2026-08-20</t>
  </si>
  <si>
    <t xml:space="preserve">Added 2 games: Excitables_vs_RipTide_May_24_2026 (backfill, 4-inning mercy, EXCT 23-1) and Fringe_vs_Bulkheads_Aug_15_2026 (BLKH 14-1). A McAllister and H McAllister CONFIRMED BY USER as two different players — H McAllister's 2026 rows left untouched; Aug-15 "A Mcallister #33" opened a new 2026 season row for A McAllister (his first since 2025). New: N Modico (RipTide, verbatim per user); Patrick 2026 season row; first-ever pitching rows for W Starkey and R Tirone (RipTide) and a 2026 pitching row for C Butler (Fringe). Fringe L Bender split applied: #13/(P) = Lenny, untagged 11th = Leila. Career rows updated by delta only; pre-existing season-vs-career drift left untouched per user.</t>
  </si>
  <si>
    <t xml:space="preserve">Update 2026-08-21</t>
  </si>
  <si>
    <t xml:space="preserve">Added Dogfish_vs_Bulkheads_Aug_16_2026 (BLKH 5-4). Dogfish "A Out" placeholder normalized to the existing "Auto Out" name per user (it is the short-lineup automatic out, not a player; kept so team AB still foots to 33). New 2026 season rows: Auto Out (Dogfish), C Karp (Bulkheads). A Mcallister #33 -&gt; A McAllister. Career rows updated by delta only.</t>
  </si>
  <si>
    <t xml:space="preserve">Season</t>
  </si>
  <si>
    <t xml:space="preserve">Team</t>
  </si>
  <si>
    <t xml:space="preserve">Player</t>
  </si>
  <si>
    <t xml:space="preserve">G</t>
  </si>
  <si>
    <t xml:space="preserve">AB</t>
  </si>
  <si>
    <t xml:space="preserve">R</t>
  </si>
  <si>
    <t xml:space="preserve">H</t>
  </si>
  <si>
    <t xml:space="preserve">2B</t>
  </si>
  <si>
    <t xml:space="preserve">3B</t>
  </si>
  <si>
    <t xml:space="preserve">HR</t>
  </si>
  <si>
    <t xml:space="preserve">XBH</t>
  </si>
  <si>
    <t xml:space="preserve">TB</t>
  </si>
  <si>
    <t xml:space="preserve">RBI</t>
  </si>
  <si>
    <t xml:space="preserve">BB</t>
  </si>
  <si>
    <t xml:space="preserve">SO</t>
  </si>
  <si>
    <t xml:space="preserve">AVG</t>
  </si>
  <si>
    <t xml:space="preserve">OBP</t>
  </si>
  <si>
    <t xml:space="preserve">SLG</t>
  </si>
  <si>
    <t xml:space="preserve">OPS</t>
  </si>
  <si>
    <t xml:space="preserve">ISO</t>
  </si>
  <si>
    <t xml:space="preserve">Bulkheads</t>
  </si>
  <si>
    <t xml:space="preserve">B Karp</t>
  </si>
  <si>
    <t xml:space="preserve">J Metzler</t>
  </si>
  <si>
    <t xml:space="preserve">S Karp</t>
  </si>
  <si>
    <t xml:space="preserve">D Swiedler</t>
  </si>
  <si>
    <t xml:space="preserve">N Schlackman</t>
  </si>
  <si>
    <t xml:space="preserve">B Feeley</t>
  </si>
  <si>
    <t xml:space="preserve">J Carroll</t>
  </si>
  <si>
    <t xml:space="preserve">H McAllister</t>
  </si>
  <si>
    <t xml:space="preserve">C Feeley</t>
  </si>
  <si>
    <t xml:space="preserve">D Smith</t>
  </si>
  <si>
    <t xml:space="preserve">H Holton</t>
  </si>
  <si>
    <t xml:space="preserve">A Karp</t>
  </si>
  <si>
    <t xml:space="preserve">G Metzler</t>
  </si>
  <si>
    <t xml:space="preserve">S Carroll</t>
  </si>
  <si>
    <t xml:space="preserve">A Metzler</t>
  </si>
  <si>
    <t xml:space="preserve">P Kahn</t>
  </si>
  <si>
    <t xml:space="preserve">T Holton</t>
  </si>
  <si>
    <t xml:space="preserve">A Schlackman</t>
  </si>
  <si>
    <t xml:space="preserve">A McAllister</t>
  </si>
  <si>
    <t xml:space="preserve">C Karp</t>
  </si>
  <si>
    <t xml:space="preserve">Clippers</t>
  </si>
  <si>
    <t xml:space="preserve">C Rouleau</t>
  </si>
  <si>
    <t xml:space="preserve">B Ehlers</t>
  </si>
  <si>
    <t xml:space="preserve">Mitch</t>
  </si>
  <si>
    <t xml:space="preserve">M Rouleau</t>
  </si>
  <si>
    <t xml:space="preserve">K Knoth</t>
  </si>
  <si>
    <t xml:space="preserve">J Cucci</t>
  </si>
  <si>
    <t xml:space="preserve">B Newman</t>
  </si>
  <si>
    <t xml:space="preserve">C Clarkin</t>
  </si>
  <si>
    <t xml:space="preserve">N Newman</t>
  </si>
  <si>
    <t xml:space="preserve">C Striplin</t>
  </si>
  <si>
    <t xml:space="preserve">Brett</t>
  </si>
  <si>
    <t xml:space="preserve">A Kupersmith</t>
  </si>
  <si>
    <t xml:space="preserve">Liam</t>
  </si>
  <si>
    <t xml:space="preserve">T Nagengast</t>
  </si>
  <si>
    <t xml:space="preserve">C Whitney</t>
  </si>
  <si>
    <t xml:space="preserve">Morgan</t>
  </si>
  <si>
    <t xml:space="preserve">K Henrickson</t>
  </si>
  <si>
    <t xml:space="preserve">M Ehlers</t>
  </si>
  <si>
    <t xml:space="preserve">M Lipinsky</t>
  </si>
  <si>
    <t xml:space="preserve">B Striplin</t>
  </si>
  <si>
    <t xml:space="preserve">J Pasquerella</t>
  </si>
  <si>
    <t xml:space="preserve">M Cucci</t>
  </si>
  <si>
    <t xml:space="preserve">B Russo</t>
  </si>
  <si>
    <t xml:space="preserve">A Cucci</t>
  </si>
  <si>
    <t xml:space="preserve">R Boyle</t>
  </si>
  <si>
    <t xml:space="preserve">Dogfish</t>
  </si>
  <si>
    <t xml:space="preserve">R Gremli</t>
  </si>
  <si>
    <t xml:space="preserve">C Newman Riley</t>
  </si>
  <si>
    <t xml:space="preserve">S Pszczolski</t>
  </si>
  <si>
    <t xml:space="preserve">K Sapia</t>
  </si>
  <si>
    <t xml:space="preserve">D Mann</t>
  </si>
  <si>
    <t xml:space="preserve">I Smith</t>
  </si>
  <si>
    <t xml:space="preserve">S Seeger</t>
  </si>
  <si>
    <t xml:space="preserve">M Chelli</t>
  </si>
  <si>
    <t xml:space="preserve">Nick</t>
  </si>
  <si>
    <t xml:space="preserve">Tommy Jackson</t>
  </si>
  <si>
    <t xml:space="preserve">D Zabar</t>
  </si>
  <si>
    <t xml:space="preserve">C Bruno</t>
  </si>
  <si>
    <t xml:space="preserve">Paul F</t>
  </si>
  <si>
    <t xml:space="preserve">Shaye</t>
  </si>
  <si>
    <t xml:space="preserve">Allan Gremli</t>
  </si>
  <si>
    <t xml:space="preserve">Rich</t>
  </si>
  <si>
    <t xml:space="preserve">Seven Hitter</t>
  </si>
  <si>
    <t xml:space="preserve">A Pitcher</t>
  </si>
  <si>
    <t xml:space="preserve">A Female</t>
  </si>
  <si>
    <t xml:space="preserve">A Adams</t>
  </si>
  <si>
    <t xml:space="preserve">B Coffey</t>
  </si>
  <si>
    <t xml:space="preserve">Alex Newman</t>
  </si>
  <si>
    <t xml:space="preserve">Auto Out</t>
  </si>
  <si>
    <t xml:space="preserve">Dragons</t>
  </si>
  <si>
    <t xml:space="preserve">K Rotunno</t>
  </si>
  <si>
    <t xml:space="preserve">O Nordahl</t>
  </si>
  <si>
    <t xml:space="preserve">N Parillo</t>
  </si>
  <si>
    <t xml:space="preserve">D Freedman</t>
  </si>
  <si>
    <t xml:space="preserve">T Armstrong</t>
  </si>
  <si>
    <t xml:space="preserve">J Rende</t>
  </si>
  <si>
    <t xml:space="preserve">D Bergman</t>
  </si>
  <si>
    <t xml:space="preserve">N Freedman</t>
  </si>
  <si>
    <t xml:space="preserve">JC Mindich</t>
  </si>
  <si>
    <t xml:space="preserve">C Press</t>
  </si>
  <si>
    <t xml:space="preserve">A Freifeld</t>
  </si>
  <si>
    <t xml:space="preserve">M Sirovich</t>
  </si>
  <si>
    <t xml:space="preserve">L Dolin</t>
  </si>
  <si>
    <t xml:space="preserve">R Freifeld</t>
  </si>
  <si>
    <t xml:space="preserve">K Savelson</t>
  </si>
  <si>
    <t xml:space="preserve">J Shire</t>
  </si>
  <si>
    <t xml:space="preserve">L Sirovich</t>
  </si>
  <si>
    <t xml:space="preserve">K Dolin</t>
  </si>
  <si>
    <t xml:space="preserve">J Mindich</t>
  </si>
  <si>
    <t xml:space="preserve">Ben</t>
  </si>
  <si>
    <t xml:space="preserve">N Dolin</t>
  </si>
  <si>
    <t xml:space="preserve">A Armstrong</t>
  </si>
  <si>
    <t xml:space="preserve">T Sconzo</t>
  </si>
  <si>
    <t xml:space="preserve">D Appel</t>
  </si>
  <si>
    <t xml:space="preserve">E Sirovich</t>
  </si>
  <si>
    <t xml:space="preserve">Excitables</t>
  </si>
  <si>
    <t xml:space="preserve">P Posilico</t>
  </si>
  <si>
    <t xml:space="preserve">A Darcy</t>
  </si>
  <si>
    <t xml:space="preserve">C Posilico</t>
  </si>
  <si>
    <t xml:space="preserve">T Valente</t>
  </si>
  <si>
    <t xml:space="preserve">A Valente</t>
  </si>
  <si>
    <t xml:space="preserve">J Casimor</t>
  </si>
  <si>
    <t xml:space="preserve">A Cox</t>
  </si>
  <si>
    <t xml:space="preserve">Mike Valente</t>
  </si>
  <si>
    <t xml:space="preserve">B Gordon</t>
  </si>
  <si>
    <t xml:space="preserve">J Vlasto</t>
  </si>
  <si>
    <t xml:space="preserve">S Mathias</t>
  </si>
  <si>
    <t xml:space="preserve">K Cox Mckenna</t>
  </si>
  <si>
    <t xml:space="preserve">E Lipsitz</t>
  </si>
  <si>
    <t xml:space="preserve">Annabelle</t>
  </si>
  <si>
    <t xml:space="preserve">Mark Valente</t>
  </si>
  <si>
    <t xml:space="preserve">Ali</t>
  </si>
  <si>
    <t xml:space="preserve">CR: Carly</t>
  </si>
  <si>
    <t xml:space="preserve">Carly</t>
  </si>
  <si>
    <t xml:space="preserve">Fringe</t>
  </si>
  <si>
    <t xml:space="preserve">N Bender</t>
  </si>
  <si>
    <t xml:space="preserve">C Silzer</t>
  </si>
  <si>
    <t xml:space="preserve">T Jerome</t>
  </si>
  <si>
    <t xml:space="preserve">A Smith</t>
  </si>
  <si>
    <t xml:space="preserve">D Breuning</t>
  </si>
  <si>
    <t xml:space="preserve">B Golub</t>
  </si>
  <si>
    <t xml:space="preserve">Lenny Bender</t>
  </si>
  <si>
    <t xml:space="preserve">P Rudzin</t>
  </si>
  <si>
    <t xml:space="preserve">C Butler</t>
  </si>
  <si>
    <t xml:space="preserve">J Rappaport</t>
  </si>
  <si>
    <t xml:space="preserve">J Lally</t>
  </si>
  <si>
    <t xml:space="preserve">R Smith</t>
  </si>
  <si>
    <t xml:space="preserve">L Mederick</t>
  </si>
  <si>
    <t xml:space="preserve">H Rappap…</t>
  </si>
  <si>
    <t xml:space="preserve">H Mederick</t>
  </si>
  <si>
    <t xml:space="preserve">H Rappaport</t>
  </si>
  <si>
    <t xml:space="preserve">D Rappaport</t>
  </si>
  <si>
    <t xml:space="preserve">CR: Leila Bender</t>
  </si>
  <si>
    <t xml:space="preserve">S Jossen</t>
  </si>
  <si>
    <t xml:space="preserve">Ronnies Nephew</t>
  </si>
  <si>
    <t xml:space="preserve">J Reuben</t>
  </si>
  <si>
    <t xml:space="preserve">M Mederick</t>
  </si>
  <si>
    <t xml:space="preserve">Leila Bender</t>
  </si>
  <si>
    <t xml:space="preserve">A Liebner</t>
  </si>
  <si>
    <t xml:space="preserve">K Messler</t>
  </si>
  <si>
    <t xml:space="preserve">Outsiders</t>
  </si>
  <si>
    <t xml:space="preserve">Justin Taub</t>
  </si>
  <si>
    <t xml:space="preserve">A Berman</t>
  </si>
  <si>
    <t xml:space="preserve">R Perna</t>
  </si>
  <si>
    <t xml:space="preserve">M Perna</t>
  </si>
  <si>
    <t xml:space="preserve">B Berman</t>
  </si>
  <si>
    <t xml:space="preserve">D Baum</t>
  </si>
  <si>
    <t xml:space="preserve">J Katz</t>
  </si>
  <si>
    <t xml:space="preserve">D Taub</t>
  </si>
  <si>
    <t xml:space="preserve">J Singer</t>
  </si>
  <si>
    <t xml:space="preserve">P Taub</t>
  </si>
  <si>
    <t xml:space="preserve">Eli</t>
  </si>
  <si>
    <t xml:space="preserve">S Boyle</t>
  </si>
  <si>
    <t xml:space="preserve">N Singer</t>
  </si>
  <si>
    <t xml:space="preserve">Grace</t>
  </si>
  <si>
    <t xml:space="preserve">J Perna</t>
  </si>
  <si>
    <t xml:space="preserve">Missy</t>
  </si>
  <si>
    <t xml:space="preserve">C Berman</t>
  </si>
  <si>
    <t xml:space="preserve">J Taub 2</t>
  </si>
  <si>
    <t xml:space="preserve">R Berman</t>
  </si>
  <si>
    <t xml:space="preserve">RipTide</t>
  </si>
  <si>
    <t xml:space="preserve">L Goldfarb</t>
  </si>
  <si>
    <t xml:space="preserve">O Monteleone</t>
  </si>
  <si>
    <t xml:space="preserve">J Starkey</t>
  </si>
  <si>
    <t xml:space="preserve">R Tirone</t>
  </si>
  <si>
    <t xml:space="preserve">W Starkey</t>
  </si>
  <si>
    <t xml:space="preserve">J Vail</t>
  </si>
  <si>
    <t xml:space="preserve">J Goldfarb</t>
  </si>
  <si>
    <t xml:space="preserve">Thomas</t>
  </si>
  <si>
    <t xml:space="preserve">S Gibbs</t>
  </si>
  <si>
    <t xml:space="preserve">J Modico</t>
  </si>
  <si>
    <t xml:space="preserve">J Lauton</t>
  </si>
  <si>
    <t xml:space="preserve">Skylar</t>
  </si>
  <si>
    <t xml:space="preserve">O Messler</t>
  </si>
  <si>
    <t xml:space="preserve">D Kunreuther</t>
  </si>
  <si>
    <t xml:space="preserve">D Starkey</t>
  </si>
  <si>
    <t xml:space="preserve">L Murphy</t>
  </si>
  <si>
    <t xml:space="preserve">Maisie</t>
  </si>
  <si>
    <t xml:space="preserve">B Ringer</t>
  </si>
  <si>
    <t xml:space="preserve">K Tirone</t>
  </si>
  <si>
    <t xml:space="preserve">A Oppenheimer</t>
  </si>
  <si>
    <t xml:space="preserve">Patrick</t>
  </si>
  <si>
    <t xml:space="preserve">N Modico</t>
  </si>
  <si>
    <t xml:space="preserve">D Friedman</t>
  </si>
  <si>
    <t xml:space="preserve">J May</t>
  </si>
  <si>
    <t xml:space="preserve">B Perlmutter</t>
  </si>
  <si>
    <t xml:space="preserve">T Bison</t>
  </si>
  <si>
    <t xml:space="preserve">B Brady Friend</t>
  </si>
  <si>
    <t xml:space="preserve">M McAllister</t>
  </si>
  <si>
    <t xml:space="preserve">N Brady friend</t>
  </si>
  <si>
    <t xml:space="preserve">N DiCostanzo</t>
  </si>
  <si>
    <t xml:space="preserve">M Newman</t>
  </si>
  <si>
    <t xml:space="preserve">N No Cry</t>
  </si>
  <si>
    <t xml:space="preserve">C Kaufman</t>
  </si>
  <si>
    <t xml:space="preserve">B Sosa</t>
  </si>
  <si>
    <t xml:space="preserve">Jackie P</t>
  </si>
  <si>
    <t xml:space="preserve">Alicia</t>
  </si>
  <si>
    <t xml:space="preserve">J Ehlers</t>
  </si>
  <si>
    <t xml:space="preserve">K Calderon</t>
  </si>
  <si>
    <t xml:space="preserve">Chelly</t>
  </si>
  <si>
    <t xml:space="preserve">M Chelly</t>
  </si>
  <si>
    <t xml:space="preserve">M Kaufman</t>
  </si>
  <si>
    <t xml:space="preserve">J Kerr</t>
  </si>
  <si>
    <t xml:space="preserve">J Lipton</t>
  </si>
  <si>
    <t xml:space="preserve">Mark</t>
  </si>
  <si>
    <t xml:space="preserve">Knot Bob</t>
  </si>
  <si>
    <t xml:space="preserve">M Strage</t>
  </si>
  <si>
    <t xml:space="preserve">E Kirke</t>
  </si>
  <si>
    <t xml:space="preserve">Mike</t>
  </si>
  <si>
    <t xml:space="preserve">Kyle</t>
  </si>
  <si>
    <t xml:space="preserve">Isaac</t>
  </si>
  <si>
    <t xml:space="preserve">Isabelle</t>
  </si>
  <si>
    <t xml:space="preserve">Jennifer</t>
  </si>
  <si>
    <t xml:space="preserve">Buddy</t>
  </si>
  <si>
    <t xml:space="preserve">B Friend Of Shire</t>
  </si>
  <si>
    <t xml:space="preserve">S FOL</t>
  </si>
  <si>
    <t xml:space="preserve">A Shire</t>
  </si>
  <si>
    <t xml:space="preserve">KerryAnn</t>
  </si>
  <si>
    <t xml:space="preserve">A Goldberg</t>
  </si>
  <si>
    <t xml:space="preserve">A Chefetz</t>
  </si>
  <si>
    <t xml:space="preserve">B Sirovich</t>
  </si>
  <si>
    <t xml:space="preserve">J Jeremy</t>
  </si>
  <si>
    <t xml:space="preserve">J Bender</t>
  </si>
  <si>
    <t xml:space="preserve">L Rappaport</t>
  </si>
  <si>
    <t xml:space="preserve">Leib</t>
  </si>
  <si>
    <t xml:space="preserve">S Bologna</t>
  </si>
  <si>
    <t xml:space="preserve">Girl</t>
  </si>
  <si>
    <t xml:space="preserve">Brendan</t>
  </si>
  <si>
    <t xml:space="preserve">Xander</t>
  </si>
  <si>
    <t xml:space="preserve">Jackson</t>
  </si>
  <si>
    <t xml:space="preserve">M Dennis</t>
  </si>
  <si>
    <t xml:space="preserve">L Kismet</t>
  </si>
  <si>
    <t xml:space="preserve">K Kismet</t>
  </si>
  <si>
    <t xml:space="preserve">Bob</t>
  </si>
  <si>
    <t xml:space="preserve">A Monteleone</t>
  </si>
  <si>
    <t xml:space="preserve">JT</t>
  </si>
  <si>
    <t xml:space="preserve">M Zabar</t>
  </si>
  <si>
    <t xml:space="preserve">D Hunter</t>
  </si>
  <si>
    <t xml:space="preserve">D Fill In</t>
  </si>
  <si>
    <t xml:space="preserve">Tom Tommy Tho…</t>
  </si>
  <si>
    <t xml:space="preserve">Josh</t>
  </si>
  <si>
    <t xml:space="preserve">April</t>
  </si>
  <si>
    <t xml:space="preserve">Pete</t>
  </si>
  <si>
    <t xml:space="preserve">Mary</t>
  </si>
  <si>
    <t xml:space="preserve">Sammy</t>
  </si>
  <si>
    <t xml:space="preserve">Henry</t>
  </si>
  <si>
    <t xml:space="preserve">Ty</t>
  </si>
  <si>
    <t xml:space="preserve">N Bahry</t>
  </si>
  <si>
    <t xml:space="preserve">Mrs. Dolin</t>
  </si>
  <si>
    <t xml:space="preserve">P Freedman</t>
  </si>
  <si>
    <t xml:space="preserve">B Bier</t>
  </si>
  <si>
    <t xml:space="preserve">C Shaw</t>
  </si>
  <si>
    <t xml:space="preserve">Meredith</t>
  </si>
  <si>
    <t xml:space="preserve">Maddie</t>
  </si>
  <si>
    <t xml:space="preserve">C Cox</t>
  </si>
  <si>
    <t xml:space="preserve">Tom</t>
  </si>
  <si>
    <t xml:space="preserve">T DeMattia</t>
  </si>
  <si>
    <t xml:space="preserve">L Berman</t>
  </si>
  <si>
    <t xml:space="preserve">Yejin</t>
  </si>
  <si>
    <t xml:space="preserve">J Abrams</t>
  </si>
  <si>
    <t xml:space="preserve">Kimmy</t>
  </si>
  <si>
    <t xml:space="preserve">N Pirillo</t>
  </si>
  <si>
    <t xml:space="preserve">Wyatt</t>
  </si>
  <si>
    <t xml:space="preserve">Van</t>
  </si>
  <si>
    <t xml:space="preserve">AJ</t>
  </si>
  <si>
    <t xml:space="preserve">D Ponterio</t>
  </si>
  <si>
    <t xml:space="preserve">N Nags</t>
  </si>
  <si>
    <t xml:space="preserve">A Sosa</t>
  </si>
  <si>
    <t xml:space="preserve">C Moskewitz</t>
  </si>
  <si>
    <t xml:space="preserve">Kip</t>
  </si>
  <si>
    <t xml:space="preserve">L Sosa</t>
  </si>
  <si>
    <t xml:space="preserve">T Jenks</t>
  </si>
  <si>
    <t xml:space="preserve">Isabella</t>
  </si>
  <si>
    <t xml:space="preserve">Ryan</t>
  </si>
  <si>
    <t xml:space="preserve">Paul</t>
  </si>
  <si>
    <t xml:space="preserve">Sean</t>
  </si>
  <si>
    <t xml:space="preserve">Alex</t>
  </si>
  <si>
    <t xml:space="preserve">S Pski</t>
  </si>
  <si>
    <t xml:space="preserve">Connor</t>
  </si>
  <si>
    <t xml:space="preserve">Claire</t>
  </si>
  <si>
    <t xml:space="preserve">Kate</t>
  </si>
  <si>
    <t xml:space="preserve">John</t>
  </si>
  <si>
    <t xml:space="preserve">Noah</t>
  </si>
  <si>
    <t xml:space="preserve">Ben DC</t>
  </si>
  <si>
    <t xml:space="preserve">J Casmere</t>
  </si>
  <si>
    <t xml:space="preserve">Theo</t>
  </si>
  <si>
    <t xml:space="preserve">I Casmere</t>
  </si>
  <si>
    <t xml:space="preserve">L Nadler</t>
  </si>
  <si>
    <t xml:space="preserve">T Sherman</t>
  </si>
  <si>
    <t xml:space="preserve">T Dolin</t>
  </si>
  <si>
    <t xml:space="preserve">J Armstrong</t>
  </si>
  <si>
    <t xml:space="preserve">Anabel</t>
  </si>
  <si>
    <t xml:space="preserve">K Cox</t>
  </si>
  <si>
    <t xml:space="preserve">B Golon</t>
  </si>
  <si>
    <t xml:space="preserve">Austin</t>
  </si>
  <si>
    <t xml:space="preserve">T Berry</t>
  </si>
  <si>
    <t xml:space="preserve">Laz</t>
  </si>
  <si>
    <t xml:space="preserve">Matt 2 Friends</t>
  </si>
  <si>
    <t xml:space="preserve">N Cousin</t>
  </si>
  <si>
    <t xml:space="preserve">Galen</t>
  </si>
  <si>
    <t xml:space="preserve">Leah</t>
  </si>
  <si>
    <t xml:space="preserve">A Leibner</t>
  </si>
  <si>
    <t xml:space="preserve">Z Deutche</t>
  </si>
  <si>
    <t xml:space="preserve">T NewGuy</t>
  </si>
  <si>
    <t xml:space="preserve">Ro</t>
  </si>
  <si>
    <t xml:space="preserve">Gerard</t>
  </si>
  <si>
    <t xml:space="preserve">Alexa</t>
  </si>
  <si>
    <t xml:space="preserve">Jaimy</t>
  </si>
  <si>
    <t xml:space="preserve">LilA</t>
  </si>
  <si>
    <t xml:space="preserve">S Dowling</t>
  </si>
  <si>
    <t xml:space="preserve">Kendall</t>
  </si>
  <si>
    <t xml:space="preserve">Tess</t>
  </si>
  <si>
    <t xml:space="preserve">L Opprnheimer</t>
  </si>
  <si>
    <t xml:space="preserve">M Modico</t>
  </si>
  <si>
    <t xml:space="preserve">SC</t>
  </si>
  <si>
    <t xml:space="preserve">S Feely</t>
  </si>
  <si>
    <t xml:space="preserve">C New</t>
  </si>
  <si>
    <t xml:space="preserve">Jon Dow</t>
  </si>
  <si>
    <t xml:space="preserve">Jason</t>
  </si>
  <si>
    <t xml:space="preserve">T</t>
  </si>
  <si>
    <t xml:space="preserve">Allie</t>
  </si>
  <si>
    <t xml:space="preserve">A Out</t>
  </si>
  <si>
    <t xml:space="preserve">Isabel</t>
  </si>
  <si>
    <t xml:space="preserve">J Nagengast</t>
  </si>
  <si>
    <t xml:space="preserve">Short center</t>
  </si>
  <si>
    <t xml:space="preserve">Kerry</t>
  </si>
  <si>
    <t xml:space="preserve">Kole</t>
  </si>
  <si>
    <t xml:space="preserve">Kino</t>
  </si>
  <si>
    <t xml:space="preserve">Ryan’s friend</t>
  </si>
  <si>
    <t xml:space="preserve">Ileen</t>
  </si>
  <si>
    <t xml:space="preserve">P Sneider</t>
  </si>
  <si>
    <t xml:space="preserve">Maybe Ryan too?</t>
  </si>
  <si>
    <t xml:space="preserve">M Gremli</t>
  </si>
  <si>
    <t xml:space="preserve">A Balsley</t>
  </si>
  <si>
    <t xml:space="preserve">R Wolf</t>
  </si>
  <si>
    <t xml:space="preserve">A Ho</t>
  </si>
  <si>
    <t xml:space="preserve">C American Buffalo</t>
  </si>
  <si>
    <t xml:space="preserve">Charlie</t>
  </si>
  <si>
    <t xml:space="preserve">C Mckenna</t>
  </si>
  <si>
    <t xml:space="preserve">C Zizza</t>
  </si>
  <si>
    <t xml:space="preserve">Tucker</t>
  </si>
  <si>
    <t xml:space="preserve">Emma</t>
  </si>
  <si>
    <t xml:space="preserve">Max</t>
  </si>
  <si>
    <t xml:space="preserve">B Sherwin</t>
  </si>
  <si>
    <t xml:space="preserve">Greg</t>
  </si>
  <si>
    <t xml:space="preserve">Burke</t>
  </si>
  <si>
    <t xml:space="preserve">K Jerome</t>
  </si>
  <si>
    <t xml:space="preserve">S Center</t>
  </si>
  <si>
    <t xml:space="preserve">Shannon</t>
  </si>
  <si>
    <t xml:space="preserve">R Baum</t>
  </si>
  <si>
    <t xml:space="preserve">E Katz</t>
  </si>
  <si>
    <t xml:space="preserve">Mia</t>
  </si>
  <si>
    <t xml:space="preserve">Emily</t>
  </si>
  <si>
    <t xml:space="preserve">E DeMattia</t>
  </si>
  <si>
    <t xml:space="preserve">Zach</t>
  </si>
  <si>
    <t xml:space="preserve">Blue Shirt</t>
  </si>
  <si>
    <t xml:space="preserve">S Sandler</t>
  </si>
  <si>
    <t xml:space="preserve">Benny</t>
  </si>
  <si>
    <t xml:space="preserve">C Posillico</t>
  </si>
  <si>
    <t xml:space="preserve">Tim Friend</t>
  </si>
  <si>
    <t xml:space="preserve">P Abelson</t>
  </si>
  <si>
    <t xml:space="preserve">Maybe jackson</t>
  </si>
  <si>
    <t xml:space="preserve">J Kismet</t>
  </si>
  <si>
    <t xml:space="preserve">Britney</t>
  </si>
  <si>
    <t xml:space="preserve">K Petrillo</t>
  </si>
  <si>
    <t xml:space="preserve">K Miller</t>
  </si>
  <si>
    <t xml:space="preserve">Justin: JO</t>
  </si>
  <si>
    <t xml:space="preserve">Justin Justin</t>
  </si>
  <si>
    <t xml:space="preserve">B Fieldston</t>
  </si>
  <si>
    <t xml:space="preserve">Jesse</t>
  </si>
  <si>
    <t xml:space="preserve">Aileen</t>
  </si>
  <si>
    <t xml:space="preserve">G Lindsay</t>
  </si>
  <si>
    <t xml:space="preserve">N Lukes Friend</t>
  </si>
  <si>
    <t xml:space="preserve">Justin</t>
  </si>
  <si>
    <t xml:space="preserve">Amy</t>
  </si>
  <si>
    <t xml:space="preserve">J Friend</t>
  </si>
  <si>
    <t xml:space="preserve">S Mayeri</t>
  </si>
  <si>
    <t xml:space="preserve">Alex Sf</t>
  </si>
  <si>
    <t xml:space="preserve">Sarah</t>
  </si>
  <si>
    <t xml:space="preserve">J Wolfe</t>
  </si>
  <si>
    <t xml:space="preserve">CR: K Savelson</t>
  </si>
  <si>
    <t xml:space="preserve">Rob</t>
  </si>
  <si>
    <t xml:space="preserve">Tori</t>
  </si>
  <si>
    <t xml:space="preserve">Madison</t>
  </si>
  <si>
    <t xml:space="preserve">Jon Jon</t>
  </si>
  <si>
    <t xml:space="preserve">R Rudzin</t>
  </si>
  <si>
    <t xml:space="preserve">T Fringe dude</t>
  </si>
  <si>
    <t xml:space="preserve">Tony</t>
  </si>
  <si>
    <t xml:space="preserve">J Golub</t>
  </si>
  <si>
    <t xml:space="preserve">Adam</t>
  </si>
  <si>
    <t xml:space="preserve">Kelsie</t>
  </si>
  <si>
    <t xml:space="preserve">Jen Maybe</t>
  </si>
  <si>
    <t xml:space="preserve">J New Guy</t>
  </si>
  <si>
    <t xml:space="preserve">Mrs. Perna</t>
  </si>
  <si>
    <t xml:space="preserve">Shannon?</t>
  </si>
  <si>
    <t xml:space="preserve">Meghan</t>
  </si>
  <si>
    <t xml:space="preserve">Casey</t>
  </si>
  <si>
    <t xml:space="preserve">Gabe</t>
  </si>
  <si>
    <t xml:space="preserve">S Singer</t>
  </si>
  <si>
    <t xml:space="preserve">Oliver</t>
  </si>
  <si>
    <t xml:space="preserve">Harry</t>
  </si>
  <si>
    <t xml:space="preserve">R New</t>
  </si>
  <si>
    <t xml:space="preserve">H Singer</t>
  </si>
  <si>
    <t xml:space="preserve">L Metzler</t>
  </si>
  <si>
    <t xml:space="preserve">M Karp</t>
  </si>
  <si>
    <t xml:space="preserve">T Clarkin</t>
  </si>
  <si>
    <t xml:space="preserve">D Rose</t>
  </si>
  <si>
    <t xml:space="preserve">C Lambert</t>
  </si>
  <si>
    <t xml:space="preserve">P Notaro</t>
  </si>
  <si>
    <t xml:space="preserve">D Martin</t>
  </si>
  <si>
    <t xml:space="preserve">A Kupersm…</t>
  </si>
  <si>
    <t xml:space="preserve">Bret</t>
  </si>
  <si>
    <t xml:space="preserve">Other Ryan</t>
  </si>
  <si>
    <t xml:space="preserve">Jeremy</t>
  </si>
  <si>
    <t xml:space="preserve">C Jerome</t>
  </si>
  <si>
    <t xml:space="preserve">Jay</t>
  </si>
  <si>
    <t xml:space="preserve">T Balsley</t>
  </si>
  <si>
    <t xml:space="preserve">S Passick</t>
  </si>
  <si>
    <t xml:space="preserve">Stephanie</t>
  </si>
  <si>
    <t xml:space="preserve">J Smith</t>
  </si>
  <si>
    <t xml:space="preserve">Ryans Girl C…</t>
  </si>
  <si>
    <t xml:space="preserve">Bobby</t>
  </si>
  <si>
    <t xml:space="preserve">M Lally</t>
  </si>
  <si>
    <t xml:space="preserve">Vanessa</t>
  </si>
  <si>
    <t xml:space="preserve">C Walker</t>
  </si>
  <si>
    <t xml:space="preserve">S Check</t>
  </si>
  <si>
    <t xml:space="preserve">C Dolin</t>
  </si>
  <si>
    <t xml:space="preserve">K Salveson</t>
  </si>
  <si>
    <t xml:space="preserve">E Dolin</t>
  </si>
  <si>
    <t xml:space="preserve">Christina</t>
  </si>
  <si>
    <t xml:space="preserve">CR: C Dolin</t>
  </si>
  <si>
    <t xml:space="preserve">K Richard</t>
  </si>
  <si>
    <t xml:space="preserve">J Gellert</t>
  </si>
  <si>
    <t xml:space="preserve">D Mederick</t>
  </si>
  <si>
    <t xml:space="preserve">Nico</t>
  </si>
  <si>
    <t xml:space="preserve">E Gellert</t>
  </si>
  <si>
    <t xml:space="preserve">Hayden</t>
  </si>
  <si>
    <t xml:space="preserve">Ezra</t>
  </si>
  <si>
    <t xml:space="preserve">Mauro</t>
  </si>
  <si>
    <t xml:space="preserve">Ringer In Pi…</t>
  </si>
  <si>
    <t xml:space="preserve">R Redd</t>
  </si>
  <si>
    <t xml:space="preserve">M Murphy</t>
  </si>
  <si>
    <t xml:space="preserve">Jazz</t>
  </si>
  <si>
    <t xml:space="preserve">M Joessen</t>
  </si>
  <si>
    <t xml:space="preserve">Ralph</t>
  </si>
  <si>
    <t xml:space="preserve">Sam</t>
  </si>
  <si>
    <t xml:space="preserve">CR: D Taub</t>
  </si>
  <si>
    <t xml:space="preserve">N Oppenhei…</t>
  </si>
  <si>
    <t xml:space="preserve">D Pogrebin</t>
  </si>
  <si>
    <t xml:space="preserve">J Spagnola</t>
  </si>
  <si>
    <t xml:space="preserve">\#3</t>
  </si>
  <si>
    <t xml:space="preserve">Tyrone</t>
  </si>
  <si>
    <t xml:space="preserve">Sasha</t>
  </si>
  <si>
    <t xml:space="preserve">L Opprnhei…</t>
  </si>
  <si>
    <t xml:space="preserve">Anthony</t>
  </si>
  <si>
    <t xml:space="preserve">J Hunter</t>
  </si>
  <si>
    <t xml:space="preserve">J Kunreuther</t>
  </si>
  <si>
    <t xml:space="preserve">Corey</t>
  </si>
  <si>
    <t xml:space="preserve">Connie</t>
  </si>
  <si>
    <t xml:space="preserve">Ringer</t>
  </si>
  <si>
    <t xml:space="preserve">M Lipton</t>
  </si>
  <si>
    <t xml:space="preserve">Molly</t>
  </si>
  <si>
    <t xml:space="preserve">Elizabeth</t>
  </si>
  <si>
    <t xml:space="preserve">C Sconzo</t>
  </si>
  <si>
    <t xml:space="preserve">A Morse</t>
  </si>
  <si>
    <t xml:space="preserve">R Salveson</t>
  </si>
  <si>
    <t xml:space="preserve">Andrew</t>
  </si>
  <si>
    <t xml:space="preserve">Ivan</t>
  </si>
  <si>
    <t xml:space="preserve">M Lazz</t>
  </si>
  <si>
    <t xml:space="preserve">J D</t>
  </si>
  <si>
    <t xml:space="preserve">Berman</t>
  </si>
  <si>
    <t xml:space="preserve">Mallory</t>
  </si>
  <si>
    <t xml:space="preserve">S Modico</t>
  </si>
  <si>
    <t xml:space="preserve">N Oppenheimer</t>
  </si>
  <si>
    <t xml:space="preserve">Maggie</t>
  </si>
  <si>
    <t xml:space="preserve">Kieren</t>
  </si>
  <si>
    <t xml:space="preserve">P Roth</t>
  </si>
  <si>
    <t xml:space="preserve">Phil</t>
  </si>
  <si>
    <t xml:space="preserve">Seasons</t>
  </si>
  <si>
    <t xml:space="preserve">Years</t>
  </si>
  <si>
    <t xml:space="preserve">Clippers/Fringe</t>
  </si>
  <si>
    <t xml:space="preserve">2022, 2023, 2024, 2025, 2026</t>
  </si>
  <si>
    <t xml:space="preserve">2018,2019,2021,2022,2023,2024,2025,2026</t>
  </si>
  <si>
    <t xml:space="preserve">Dogfish/Fringe</t>
  </si>
  <si>
    <t xml:space="preserve">2019,2021,2022,2023,2024,2025,2026</t>
  </si>
  <si>
    <t xml:space="preserve">2023,2024,2025,2026</t>
  </si>
  <si>
    <t xml:space="preserve">Clippers/Outsiders</t>
  </si>
  <si>
    <t xml:space="preserve">2018, 2019, 2021, 2022, 2026</t>
  </si>
  <si>
    <t xml:space="preserve">Clippers/RipTide</t>
  </si>
  <si>
    <t xml:space="preserve">2021,2022,2023,2024,2025,2026</t>
  </si>
  <si>
    <t xml:space="preserve">2018,2019,2022,2023,2024,2025</t>
  </si>
  <si>
    <t xml:space="preserve">2018, 2019, 2021, 2022, 2023, 2024, 2025, 2026</t>
  </si>
  <si>
    <t xml:space="preserve">2019,2021,2022,2023</t>
  </si>
  <si>
    <t xml:space="preserve">2018,2022,2023,2024,2025</t>
  </si>
  <si>
    <t xml:space="preserve">2018,2019,2022,2023,2024,2025,2026</t>
  </si>
  <si>
    <t xml:space="preserve">2018,2019,2021,2025,2026</t>
  </si>
  <si>
    <t xml:space="preserve">Fringe/Dogfish</t>
  </si>
  <si>
    <t xml:space="preserve">2018,2019,2021,2022,2023,2024</t>
  </si>
  <si>
    <t xml:space="preserve">2018, 2019, 2021, 2022, 2023, 2026</t>
  </si>
  <si>
    <t xml:space="preserve">2018,2019,2021,2023</t>
  </si>
  <si>
    <t xml:space="preserve">2024,2025,2026</t>
  </si>
  <si>
    <t xml:space="preserve">2021,2022,2023,2024,2025</t>
  </si>
  <si>
    <t xml:space="preserve">2018,2019</t>
  </si>
  <si>
    <t xml:space="preserve">2026</t>
  </si>
  <si>
    <t xml:space="preserve">2023,2024,2025</t>
  </si>
  <si>
    <t xml:space="preserve">2022,2023,2024,2025,2026</t>
  </si>
  <si>
    <t xml:space="preserve">2022,2024,2025,2026</t>
  </si>
  <si>
    <t xml:space="preserve">2021, 2022, 2023, 2024</t>
  </si>
  <si>
    <t xml:space="preserve">Bulkheads/Dogfish</t>
  </si>
  <si>
    <t xml:space="preserve">2021,2022,2023,2024</t>
  </si>
  <si>
    <t xml:space="preserve">2025,2026</t>
  </si>
  <si>
    <t xml:space="preserve">2018,2019,2021</t>
  </si>
  <si>
    <t xml:space="preserve">2024,2025</t>
  </si>
  <si>
    <t xml:space="preserve">2022, 2024, 2025, 2026</t>
  </si>
  <si>
    <t xml:space="preserve">2019,2026</t>
  </si>
  <si>
    <t xml:space="preserve">2023, 2025, 2026</t>
  </si>
  <si>
    <t xml:space="preserve">2021</t>
  </si>
  <si>
    <t xml:space="preserve">2019,2021</t>
  </si>
  <si>
    <t xml:space="preserve">2023</t>
  </si>
  <si>
    <t xml:space="preserve">2019</t>
  </si>
  <si>
    <t xml:space="preserve">J T</t>
  </si>
  <si>
    <t xml:space="preserve">2018</t>
  </si>
  <si>
    <t xml:space="preserve">2018,2021</t>
  </si>
  <si>
    <t xml:space="preserve">RipTide/Dragons</t>
  </si>
  <si>
    <t xml:space="preserve">2019,2021,2022,2023,2025,2026</t>
  </si>
  <si>
    <t xml:space="preserve">2019,2021,2022,2023,2024</t>
  </si>
  <si>
    <t xml:space="preserve">2018,2019,2021,2022,2023,2025,2026</t>
  </si>
  <si>
    <t xml:space="preserve">Dragons/RipTide</t>
  </si>
  <si>
    <t xml:space="preserve">2024, 2025, 2026</t>
  </si>
  <si>
    <t xml:space="preserve">2018,2019,2021,2022,2023,2024,2025</t>
  </si>
  <si>
    <t xml:space="preserve">Dogfish/RipTide</t>
  </si>
  <si>
    <t xml:space="preserve">2018,2019,2021,2022,2023,2024,2026</t>
  </si>
  <si>
    <t xml:space="preserve">2018,2019,2022</t>
  </si>
  <si>
    <t xml:space="preserve">Dogfish/Outsiders</t>
  </si>
  <si>
    <t xml:space="preserve">2018,2019,2021,2022,2023</t>
  </si>
  <si>
    <t xml:space="preserve">Dragons/Clippers</t>
  </si>
  <si>
    <t xml:space="preserve">2019, 2021, 2022, 2023, 2024, 2025, 2026</t>
  </si>
  <si>
    <t xml:space="preserve">2018,2021,2023,2025</t>
  </si>
  <si>
    <t xml:space="preserve">2018,2019,2021,2022,2023,2025</t>
  </si>
  <si>
    <t xml:space="preserve">Fringe/RipTide</t>
  </si>
  <si>
    <t xml:space="preserve">2018,2025,2026</t>
  </si>
  <si>
    <t xml:space="preserve">2018,2021,2022,2023,2024,2025,2026</t>
  </si>
  <si>
    <t xml:space="preserve">2018,2019,2021,2022,2023,2026</t>
  </si>
  <si>
    <t xml:space="preserve">2022,2023</t>
  </si>
  <si>
    <t xml:space="preserve">RipTide/Dogfish</t>
  </si>
  <si>
    <t xml:space="preserve">2021, 2022, 2023</t>
  </si>
  <si>
    <t xml:space="preserve">Bulkheads/Clippers</t>
  </si>
  <si>
    <t xml:space="preserve">2018, 2019, 2021</t>
  </si>
  <si>
    <t xml:space="preserve">2019,2024,2025,2026</t>
  </si>
  <si>
    <t xml:space="preserve">2022</t>
  </si>
  <si>
    <t xml:space="preserve">2018,2022</t>
  </si>
  <si>
    <t xml:space="preserve">2021, 2023, 2024, 2025, 2026</t>
  </si>
  <si>
    <t xml:space="preserve">2021, 2022, 2023, 2024, 2025, 2026</t>
  </si>
  <si>
    <t xml:space="preserve">2018,2019,2021,2022</t>
  </si>
  <si>
    <t xml:space="preserve">2023, 2024, 2025</t>
  </si>
  <si>
    <t xml:space="preserve">2025</t>
  </si>
  <si>
    <t xml:space="preserve">RipTide/Dogfish/Bulkheads</t>
  </si>
  <si>
    <t xml:space="preserve">2023,2024</t>
  </si>
  <si>
    <t xml:space="preserve">2018,2019,2021,2023,2025</t>
  </si>
  <si>
    <t xml:space="preserve">2018, 2019</t>
  </si>
  <si>
    <t xml:space="preserve">2022,2024</t>
  </si>
  <si>
    <t xml:space="preserve">2024</t>
  </si>
  <si>
    <t xml:space="preserve">2021,2022,2023,2026</t>
  </si>
  <si>
    <t xml:space="preserve">2019,2021,2022</t>
  </si>
  <si>
    <t xml:space="preserve">2018,2019,2021,2025</t>
  </si>
  <si>
    <t xml:space="preserve">2021, 2025, 2026</t>
  </si>
  <si>
    <t xml:space="preserve">2018,2025</t>
  </si>
  <si>
    <t xml:space="preserve">2021, 2022, 2024</t>
  </si>
  <si>
    <t xml:space="preserve">B Brady friend</t>
  </si>
  <si>
    <t xml:space="preserve">2021,2022</t>
  </si>
  <si>
    <t xml:space="preserve">2021, 2022</t>
  </si>
  <si>
    <t xml:space="preserve">2021, 2026</t>
  </si>
  <si>
    <t xml:space="preserve">2018,2019,2021,2024</t>
  </si>
  <si>
    <t xml:space="preserve">2019, 2021, 2022, 2023</t>
  </si>
  <si>
    <t xml:space="preserve">Dogfish/RipTide/Bulkheads</t>
  </si>
  <si>
    <t xml:space="preserve">2018, 2021, 2022</t>
  </si>
  <si>
    <t xml:space="preserve">2018,2023</t>
  </si>
  <si>
    <t xml:space="preserve">2021,2022,2023</t>
  </si>
  <si>
    <t xml:space="preserve">Sc</t>
  </si>
  <si>
    <t xml:space="preserve">2022,2026</t>
  </si>
  <si>
    <t xml:space="preserve">2018,2023,2025,2026</t>
  </si>
  <si>
    <t xml:space="preserve">2018,2019,2022,2023,2025</t>
  </si>
  <si>
    <t xml:space="preserve">2021,2023</t>
  </si>
  <si>
    <t xml:space="preserve">2019,2023</t>
  </si>
  <si>
    <t xml:space="preserve">Autoout</t>
  </si>
  <si>
    <t xml:space="preserve">2023,2025,2026</t>
  </si>
  <si>
    <t xml:space="preserve">2024,2026</t>
  </si>
  <si>
    <t xml:space="preserve">RipTide/Outsiders</t>
  </si>
  <si>
    <t xml:space="preserve">Auto out</t>
  </si>
  <si>
    <t xml:space="preserve">Pitcher</t>
  </si>
  <si>
    <t xml:space="preserve">IP</t>
  </si>
  <si>
    <t xml:space="preserve">W</t>
  </si>
  <si>
    <t xml:space="preserve">L</t>
  </si>
  <si>
    <t xml:space="preserve">ER</t>
  </si>
  <si>
    <t xml:space="preserve">ERA</t>
  </si>
  <si>
    <t xml:space="preserve">WHIP</t>
  </si>
  <si>
    <t xml:space="preserve">K/7</t>
  </si>
  <si>
    <t xml:space="preserve">BB/7</t>
  </si>
  <si>
    <t xml:space="preserve">KNot Bob</t>
  </si>
  <si>
    <t xml:space="preserve">Unknown</t>
  </si>
  <si>
    <t xml:space="preserve">2019,2021,2024,2025,2026</t>
  </si>
  <si>
    <t xml:space="preserve">2019,2023,2024,2025,2026</t>
  </si>
  <si>
    <t xml:space="preserve">2019,2021,2023,2024,2025,2026</t>
  </si>
  <si>
    <t xml:space="preserve">2019,2021,2023,2025</t>
  </si>
  <si>
    <t xml:space="preserve">2019,2021,2023</t>
  </si>
  <si>
    <t xml:space="preserve">2021,2024</t>
  </si>
  <si>
    <t xml:space="preserve">2019,2025,2026</t>
  </si>
  <si>
    <t xml:space="preserve">2019,2024</t>
  </si>
  <si>
    <t xml:space="preserve">Win%</t>
  </si>
  <si>
    <t xml:space="preserve">RS</t>
  </si>
  <si>
    <t xml:space="preserve">RA</t>
  </si>
  <si>
    <t xml:space="preserve">Diff</t>
  </si>
  <si>
    <t xml:space="preserve">R/G</t>
  </si>
  <si>
    <t xml:space="preserve">RA/G</t>
  </si>
  <si>
    <t xml:space="preserve">Team AVG</t>
  </si>
  <si>
    <t xml:space="preserve">K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</si>
</sst>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0"/>
    <numFmt numFmtId="166" formatCode="@"/>
    <numFmt numFmtId="167" formatCode="#,##0"/>
    <numFmt numFmtId="168" formatCode="0.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5E3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5E3A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5E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8"/>
  </cols>
  <sheetData>
    <row r="1" customFormat="false" ht="18" hidden="false" customHeight="true" outlineLevel="0" collapsed="false">
      <c r="A1" s="2" t="s">
        <v>0</v>
      </c>
      <c r="B1" s="3"/>
    </row>
    <row r="2" customFormat="false" ht="14.25" hidden="false" customHeight="true" outlineLevel="0" collapsed="false">
      <c r="A2" s="4" t="s">
        <v>1</v>
      </c>
      <c r="B2" s="3"/>
    </row>
    <row r="3" customFormat="false" ht="14.25" hidden="false" customHeight="true" outlineLevel="0" collapsed="false">
      <c r="A3" s="4" t="s">
        <v>2</v>
      </c>
      <c r="B3" s="3"/>
    </row>
    <row r="4" customFormat="false" ht="14.25" hidden="false" customHeight="true" outlineLevel="0" collapsed="false">
      <c r="A4" s="3"/>
      <c r="B4" s="3"/>
    </row>
    <row r="5" customFormat="false" ht="14.25" hidden="false" customHeight="true" outlineLevel="0" collapsed="false">
      <c r="A5" s="3" t="s">
        <v>3</v>
      </c>
      <c r="B5" s="3" t="s">
        <v>4</v>
      </c>
    </row>
    <row r="6" customFormat="false" ht="14.25" hidden="false" customHeight="true" outlineLevel="0" collapsed="false">
      <c r="A6" s="3" t="s">
        <v>5</v>
      </c>
      <c r="B6" s="3" t="s">
        <v>6</v>
      </c>
    </row>
    <row r="7" customFormat="false" ht="14.25" hidden="false" customHeight="true" outlineLevel="0" collapsed="false">
      <c r="A7" s="3"/>
      <c r="B7" s="3"/>
    </row>
    <row r="8" customFormat="false" ht="14.25" hidden="false" customHeight="true" outlineLevel="0" collapsed="false">
      <c r="A8" s="3" t="s">
        <v>7</v>
      </c>
      <c r="B8" s="3" t="s">
        <v>8</v>
      </c>
    </row>
    <row r="9" customFormat="false" ht="14.25" hidden="false" customHeight="true" outlineLevel="0" collapsed="false">
      <c r="A9" s="3" t="s">
        <v>9</v>
      </c>
      <c r="B9" s="3" t="s">
        <v>10</v>
      </c>
    </row>
    <row r="10" customFormat="false" ht="14.25" hidden="false" customHeight="true" outlineLevel="0" collapsed="false">
      <c r="A10" s="3" t="s">
        <v>11</v>
      </c>
      <c r="B10" s="3" t="s">
        <v>12</v>
      </c>
    </row>
    <row r="11" customFormat="false" ht="14.25" hidden="false" customHeight="true" outlineLevel="0" collapsed="false">
      <c r="A11" s="3" t="s">
        <v>13</v>
      </c>
      <c r="B11" s="3" t="s">
        <v>14</v>
      </c>
    </row>
    <row r="12" customFormat="false" ht="14.25" hidden="false" customHeight="true" outlineLevel="0" collapsed="false">
      <c r="A12" s="3" t="s">
        <v>15</v>
      </c>
      <c r="B12" s="3" t="s">
        <v>16</v>
      </c>
    </row>
    <row r="13" customFormat="false" ht="14.25" hidden="false" customHeight="true" outlineLevel="0" collapsed="false">
      <c r="A13" s="3" t="s">
        <v>17</v>
      </c>
      <c r="B13" s="3" t="s">
        <v>18</v>
      </c>
    </row>
    <row r="14" customFormat="false" ht="14.25" hidden="false" customHeight="true" outlineLevel="0" collapsed="false">
      <c r="A14" s="3"/>
      <c r="B14" s="3"/>
    </row>
    <row r="15" customFormat="false" ht="14.25" hidden="false" customHeight="true" outlineLevel="0" collapsed="false">
      <c r="A15" s="3" t="s">
        <v>19</v>
      </c>
      <c r="B15" s="3" t="s">
        <v>20</v>
      </c>
    </row>
    <row r="16" customFormat="false" ht="14.25" hidden="false" customHeight="true" outlineLevel="0" collapsed="false">
      <c r="A16" s="3" t="s">
        <v>19</v>
      </c>
      <c r="B16" s="3" t="s">
        <v>21</v>
      </c>
    </row>
    <row r="18" customFormat="false" ht="14.25" hidden="false" customHeight="true" outlineLevel="0" collapsed="false">
      <c r="A18" s="3" t="s">
        <v>22</v>
      </c>
      <c r="B18" s="3" t="s">
        <v>23</v>
      </c>
    </row>
    <row r="19" customFormat="false" ht="14.25" hidden="false" customHeight="true" outlineLevel="0" collapsed="false">
      <c r="A19" s="3" t="s">
        <v>24</v>
      </c>
      <c r="B19" s="3" t="s">
        <v>25</v>
      </c>
    </row>
    <row r="20" customFormat="false" ht="14.25" hidden="false" customHeight="true" outlineLevel="0" collapsed="false">
      <c r="A20" s="1" t="s">
        <v>26</v>
      </c>
      <c r="B20" s="1" t="s">
        <v>27</v>
      </c>
    </row>
    <row r="21" customFormat="false" ht="14.25" hidden="false" customHeight="true" outlineLevel="0" collapsed="false">
      <c r="A21" s="1" t="s">
        <v>28</v>
      </c>
      <c r="B21" s="1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8" activeCellId="0" sqref="D1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15" min="4" style="1" width="6"/>
    <col collapsed="false" customWidth="true" hidden="false" outlineLevel="0" max="20" min="16" style="1" width="7"/>
  </cols>
  <sheetData>
    <row r="1" customFormat="false" ht="14.25" hidden="false" customHeight="true" outlineLevel="0" collapsed="false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5" t="s">
        <v>43</v>
      </c>
      <c r="O1" s="5" t="s">
        <v>44</v>
      </c>
      <c r="P1" s="5" t="s">
        <v>45</v>
      </c>
      <c r="Q1" s="5" t="s">
        <v>46</v>
      </c>
      <c r="R1" s="5" t="s">
        <v>47</v>
      </c>
      <c r="S1" s="5" t="s">
        <v>48</v>
      </c>
      <c r="T1" s="5" t="s">
        <v>49</v>
      </c>
    </row>
    <row r="2" customFormat="false" ht="14.25" hidden="false" customHeight="true" outlineLevel="0" collapsed="false">
      <c r="A2" s="6" t="n">
        <v>2026</v>
      </c>
      <c r="B2" s="6" t="s">
        <v>50</v>
      </c>
      <c r="C2" s="6" t="s">
        <v>51</v>
      </c>
      <c r="D2" s="7" t="n">
        <v>12</v>
      </c>
      <c r="E2" s="7" t="n">
        <v>41</v>
      </c>
      <c r="F2" s="7" t="n">
        <v>20</v>
      </c>
      <c r="G2" s="7" t="n">
        <v>20</v>
      </c>
      <c r="H2" s="7" t="n">
        <v>1</v>
      </c>
      <c r="I2" s="7" t="n">
        <v>0</v>
      </c>
      <c r="J2" s="7" t="n">
        <v>8</v>
      </c>
      <c r="K2" s="7" t="n">
        <v>9</v>
      </c>
      <c r="L2" s="7" t="n">
        <v>45</v>
      </c>
      <c r="M2" s="7" t="n">
        <v>15</v>
      </c>
      <c r="N2" s="7" t="n">
        <v>4</v>
      </c>
      <c r="O2" s="7" t="n">
        <v>0</v>
      </c>
      <c r="P2" s="8" t="n">
        <f aca="false">IF(E2=0,0,G2/E2)</f>
        <v>0.487804878048781</v>
      </c>
      <c r="Q2" s="8" t="n">
        <f aca="false">IF(E2+N2=0,0,(G2+N2)/(E2+N2))</f>
        <v>0.533333333333333</v>
      </c>
      <c r="R2" s="8" t="n">
        <f aca="false">IF(E2=0,0,L2/E2)</f>
        <v>1.09756097560976</v>
      </c>
      <c r="S2" s="8" t="n">
        <f aca="false">R2+Q2</f>
        <v>1.63089430894309</v>
      </c>
      <c r="T2" s="8" t="n">
        <f aca="false">R2-P2</f>
        <v>0.609756097560976</v>
      </c>
    </row>
    <row r="3" customFormat="false" ht="14.25" hidden="false" customHeight="true" outlineLevel="0" collapsed="false">
      <c r="A3" s="6" t="n">
        <v>2026</v>
      </c>
      <c r="B3" s="6" t="s">
        <v>50</v>
      </c>
      <c r="C3" s="6" t="s">
        <v>52</v>
      </c>
      <c r="D3" s="7" t="n">
        <v>12</v>
      </c>
      <c r="E3" s="7" t="n">
        <v>34</v>
      </c>
      <c r="F3" s="7" t="n">
        <v>9</v>
      </c>
      <c r="G3" s="7" t="n">
        <v>13</v>
      </c>
      <c r="H3" s="7" t="n">
        <v>1</v>
      </c>
      <c r="I3" s="7" t="n">
        <v>0</v>
      </c>
      <c r="J3" s="7" t="n">
        <v>5</v>
      </c>
      <c r="K3" s="7" t="n">
        <v>6</v>
      </c>
      <c r="L3" s="7" t="n">
        <v>29</v>
      </c>
      <c r="M3" s="7" t="n">
        <v>17</v>
      </c>
      <c r="N3" s="7" t="n">
        <v>4</v>
      </c>
      <c r="O3" s="7" t="n">
        <v>0</v>
      </c>
      <c r="P3" s="8" t="n">
        <f aca="false">IF(E3=0,0,G3/E3)</f>
        <v>0.382352941176471</v>
      </c>
      <c r="Q3" s="8" t="n">
        <f aca="false">IF(E3+N3=0,0,(G3+N3)/(E3+N3))</f>
        <v>0.447368421052632</v>
      </c>
      <c r="R3" s="8" t="n">
        <f aca="false">IF(E3=0,0,L3/E3)</f>
        <v>0.852941176470588</v>
      </c>
      <c r="S3" s="8" t="n">
        <f aca="false">R3+Q3</f>
        <v>1.30030959752322</v>
      </c>
      <c r="T3" s="8" t="n">
        <f aca="false">R3-P3</f>
        <v>0.470588235294118</v>
      </c>
    </row>
    <row r="4" customFormat="false" ht="14.25" hidden="false" customHeight="true" outlineLevel="0" collapsed="false">
      <c r="A4" s="6" t="n">
        <v>2026</v>
      </c>
      <c r="B4" s="6" t="s">
        <v>50</v>
      </c>
      <c r="C4" s="6" t="s">
        <v>53</v>
      </c>
      <c r="D4" s="7" t="n">
        <v>9</v>
      </c>
      <c r="E4" s="7" t="n">
        <v>27</v>
      </c>
      <c r="F4" s="7" t="n">
        <v>8</v>
      </c>
      <c r="G4" s="7" t="n">
        <v>12</v>
      </c>
      <c r="H4" s="7" t="n">
        <v>8</v>
      </c>
      <c r="I4" s="7" t="n">
        <v>0</v>
      </c>
      <c r="J4" s="7" t="n">
        <v>1</v>
      </c>
      <c r="K4" s="7" t="n">
        <v>9</v>
      </c>
      <c r="L4" s="7" t="n">
        <v>23</v>
      </c>
      <c r="M4" s="7" t="n">
        <v>4</v>
      </c>
      <c r="N4" s="7" t="n">
        <v>3</v>
      </c>
      <c r="O4" s="7" t="n">
        <v>1</v>
      </c>
      <c r="P4" s="8" t="n">
        <f aca="false">IF(E4=0,0,G4/E4)</f>
        <v>0.444444444444444</v>
      </c>
      <c r="Q4" s="8" t="n">
        <f aca="false">IF(E4+N4=0,0,(G4+N4)/(E4+N4))</f>
        <v>0.5</v>
      </c>
      <c r="R4" s="8" t="n">
        <f aca="false">IF(E4=0,0,L4/E4)</f>
        <v>0.851851851851852</v>
      </c>
      <c r="S4" s="8" t="n">
        <f aca="false">R4+Q4</f>
        <v>1.35185185185185</v>
      </c>
      <c r="T4" s="8" t="n">
        <f aca="false">R4-P4</f>
        <v>0.407407407407407</v>
      </c>
    </row>
    <row r="5" customFormat="false" ht="14.25" hidden="false" customHeight="true" outlineLevel="0" collapsed="false">
      <c r="A5" s="6" t="n">
        <v>2026</v>
      </c>
      <c r="B5" s="6" t="s">
        <v>50</v>
      </c>
      <c r="C5" s="6" t="s">
        <v>54</v>
      </c>
      <c r="D5" s="7" t="n">
        <v>11</v>
      </c>
      <c r="E5" s="7" t="n">
        <v>36</v>
      </c>
      <c r="F5" s="7" t="n">
        <v>10</v>
      </c>
      <c r="G5" s="7" t="n">
        <v>10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10</v>
      </c>
      <c r="M5" s="7" t="n">
        <v>0</v>
      </c>
      <c r="N5" s="7" t="n">
        <v>3</v>
      </c>
      <c r="O5" s="7" t="n">
        <v>0</v>
      </c>
      <c r="P5" s="8" t="n">
        <f aca="false">IF(E5=0,0,G5/E5)</f>
        <v>0.277777777777778</v>
      </c>
      <c r="Q5" s="8" t="n">
        <f aca="false">IF(E5+N5=0,0,(G5+N5)/(E5+N5))</f>
        <v>0.333333333333333</v>
      </c>
      <c r="R5" s="8" t="n">
        <f aca="false">IF(E5=0,0,L5/E5)</f>
        <v>0.277777777777778</v>
      </c>
      <c r="S5" s="8" t="n">
        <f aca="false">R5+Q5</f>
        <v>0.611111111111111</v>
      </c>
      <c r="T5" s="8" t="n">
        <f aca="false">R5-P5</f>
        <v>0</v>
      </c>
    </row>
    <row r="6" customFormat="false" ht="14.25" hidden="false" customHeight="true" outlineLevel="0" collapsed="false">
      <c r="A6" s="6" t="n">
        <v>2026</v>
      </c>
      <c r="B6" s="6" t="s">
        <v>50</v>
      </c>
      <c r="C6" s="6" t="s">
        <v>55</v>
      </c>
      <c r="D6" s="7" t="n">
        <v>11</v>
      </c>
      <c r="E6" s="7" t="n">
        <v>36</v>
      </c>
      <c r="F6" s="7" t="n">
        <v>10</v>
      </c>
      <c r="G6" s="7" t="n">
        <v>14</v>
      </c>
      <c r="H6" s="7" t="n">
        <v>6</v>
      </c>
      <c r="I6" s="7" t="n">
        <v>0</v>
      </c>
      <c r="J6" s="7" t="n">
        <v>0</v>
      </c>
      <c r="K6" s="7" t="n">
        <v>6</v>
      </c>
      <c r="L6" s="7" t="n">
        <v>20</v>
      </c>
      <c r="M6" s="7" t="n">
        <v>13</v>
      </c>
      <c r="N6" s="7" t="n">
        <v>4</v>
      </c>
      <c r="O6" s="7" t="n">
        <v>1</v>
      </c>
      <c r="P6" s="8" t="n">
        <f aca="false">IF(E6=0,0,G6/E6)</f>
        <v>0.388888888888889</v>
      </c>
      <c r="Q6" s="8" t="n">
        <f aca="false">IF(E6+N6=0,0,(G6+N6)/(E6+N6))</f>
        <v>0.45</v>
      </c>
      <c r="R6" s="8" t="n">
        <f aca="false">IF(E6=0,0,L6/E6)</f>
        <v>0.555555555555556</v>
      </c>
      <c r="S6" s="8" t="n">
        <f aca="false">R6+Q6</f>
        <v>1.00555555555556</v>
      </c>
      <c r="T6" s="8" t="n">
        <f aca="false">R6-P6</f>
        <v>0.166666666666667</v>
      </c>
    </row>
    <row r="7" customFormat="false" ht="14.25" hidden="false" customHeight="true" outlineLevel="0" collapsed="false">
      <c r="A7" s="6" t="n">
        <v>2026</v>
      </c>
      <c r="B7" s="6" t="s">
        <v>50</v>
      </c>
      <c r="C7" s="6" t="s">
        <v>56</v>
      </c>
      <c r="D7" s="7" t="n">
        <v>13</v>
      </c>
      <c r="E7" s="7" t="n">
        <v>38</v>
      </c>
      <c r="F7" s="7" t="n">
        <v>2</v>
      </c>
      <c r="G7" s="7" t="n">
        <v>7</v>
      </c>
      <c r="H7" s="7" t="n">
        <v>0</v>
      </c>
      <c r="I7" s="7" t="n">
        <v>0</v>
      </c>
      <c r="J7" s="7" t="n">
        <v>2</v>
      </c>
      <c r="K7" s="7" t="n">
        <v>2</v>
      </c>
      <c r="L7" s="7" t="n">
        <v>13</v>
      </c>
      <c r="M7" s="7" t="n">
        <v>7</v>
      </c>
      <c r="N7" s="7" t="n">
        <v>2</v>
      </c>
      <c r="O7" s="7" t="n">
        <v>1</v>
      </c>
      <c r="P7" s="8" t="n">
        <f aca="false">IF(E7=0,0,G7/E7)</f>
        <v>0.184210526315789</v>
      </c>
      <c r="Q7" s="8" t="n">
        <f aca="false">IF(E7+N7=0,0,(G7+N7)/(E7+N7))</f>
        <v>0.225</v>
      </c>
      <c r="R7" s="8" t="n">
        <f aca="false">IF(E7=0,0,L7/E7)</f>
        <v>0.342105263157895</v>
      </c>
      <c r="S7" s="8" t="n">
        <f aca="false">R7+Q7</f>
        <v>0.567105263157895</v>
      </c>
      <c r="T7" s="8" t="n">
        <f aca="false">R7-P7</f>
        <v>0.157894736842105</v>
      </c>
    </row>
    <row r="8" customFormat="false" ht="14.25" hidden="false" customHeight="true" outlineLevel="0" collapsed="false">
      <c r="A8" s="6" t="n">
        <v>2026</v>
      </c>
      <c r="B8" s="6" t="s">
        <v>50</v>
      </c>
      <c r="C8" s="6" t="s">
        <v>57</v>
      </c>
      <c r="D8" s="7" t="n">
        <v>6</v>
      </c>
      <c r="E8" s="7" t="n">
        <v>21</v>
      </c>
      <c r="F8" s="7" t="n">
        <v>4</v>
      </c>
      <c r="G8" s="7" t="n">
        <v>7</v>
      </c>
      <c r="H8" s="7" t="n">
        <v>2</v>
      </c>
      <c r="I8" s="7" t="n">
        <v>0</v>
      </c>
      <c r="J8" s="7" t="n">
        <v>1</v>
      </c>
      <c r="K8" s="7" t="n">
        <v>3</v>
      </c>
      <c r="L8" s="7" t="n">
        <v>12</v>
      </c>
      <c r="M8" s="7" t="n">
        <v>5</v>
      </c>
      <c r="N8" s="7" t="n">
        <v>3</v>
      </c>
      <c r="O8" s="7" t="n">
        <v>0</v>
      </c>
      <c r="P8" s="8" t="n">
        <f aca="false">IF(E8=0,0,G8/E8)</f>
        <v>0.333333333333333</v>
      </c>
      <c r="Q8" s="8" t="n">
        <f aca="false">IF(E8+N8=0,0,(G8+N8)/(E8+N8))</f>
        <v>0.416666666666667</v>
      </c>
      <c r="R8" s="8" t="n">
        <f aca="false">IF(E8=0,0,L8/E8)</f>
        <v>0.571428571428571</v>
      </c>
      <c r="S8" s="8" t="n">
        <f aca="false">R8+Q8</f>
        <v>0.988095238095238</v>
      </c>
      <c r="T8" s="8" t="n">
        <f aca="false">R8-P8</f>
        <v>0.238095238095238</v>
      </c>
    </row>
    <row r="9" customFormat="false" ht="14.25" hidden="false" customHeight="true" outlineLevel="0" collapsed="false">
      <c r="A9" s="6" t="n">
        <v>2026</v>
      </c>
      <c r="B9" s="6" t="s">
        <v>50</v>
      </c>
      <c r="C9" s="6" t="s">
        <v>58</v>
      </c>
      <c r="D9" s="7" t="n">
        <v>5</v>
      </c>
      <c r="E9" s="7" t="n">
        <v>12</v>
      </c>
      <c r="F9" s="7" t="n">
        <v>1</v>
      </c>
      <c r="G9" s="7" t="n">
        <v>3</v>
      </c>
      <c r="H9" s="7" t="n">
        <v>0</v>
      </c>
      <c r="I9" s="7" t="n">
        <v>0</v>
      </c>
      <c r="J9" s="7" t="n">
        <v>1</v>
      </c>
      <c r="K9" s="7" t="n">
        <v>1</v>
      </c>
      <c r="L9" s="7" t="n">
        <v>6</v>
      </c>
      <c r="M9" s="7" t="n">
        <v>2</v>
      </c>
      <c r="N9" s="7" t="n">
        <v>0</v>
      </c>
      <c r="O9" s="7" t="n">
        <v>1</v>
      </c>
      <c r="P9" s="8" t="n">
        <f aca="false">IF(E9=0,0,G9/E9)</f>
        <v>0.25</v>
      </c>
      <c r="Q9" s="8" t="n">
        <f aca="false">IF(E9+N9=0,0,(G9+N9)/(E9+N9))</f>
        <v>0.25</v>
      </c>
      <c r="R9" s="8" t="n">
        <f aca="false">IF(E9=0,0,L9/E9)</f>
        <v>0.5</v>
      </c>
      <c r="S9" s="8" t="n">
        <f aca="false">R9+Q9</f>
        <v>0.75</v>
      </c>
      <c r="T9" s="8" t="n">
        <f aca="false">R9-P9</f>
        <v>0.25</v>
      </c>
    </row>
    <row r="10" customFormat="false" ht="14.25" hidden="false" customHeight="true" outlineLevel="0" collapsed="false">
      <c r="A10" s="6" t="n">
        <v>2026</v>
      </c>
      <c r="B10" s="6" t="s">
        <v>50</v>
      </c>
      <c r="C10" s="6" t="s">
        <v>59</v>
      </c>
      <c r="D10" s="7" t="n">
        <v>14</v>
      </c>
      <c r="E10" s="7" t="n">
        <v>39</v>
      </c>
      <c r="F10" s="7" t="n">
        <v>1</v>
      </c>
      <c r="G10" s="7" t="n">
        <v>6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6</v>
      </c>
      <c r="M10" s="7" t="n">
        <v>1</v>
      </c>
      <c r="N10" s="7" t="n">
        <v>1</v>
      </c>
      <c r="O10" s="7" t="n">
        <v>2</v>
      </c>
      <c r="P10" s="8" t="n">
        <f aca="false">IF(E10=0,0,G10/E10)</f>
        <v>0.153846153846154</v>
      </c>
      <c r="Q10" s="8" t="n">
        <f aca="false">IF(E10+N10=0,0,(G10+N10)/(E10+N10))</f>
        <v>0.175</v>
      </c>
      <c r="R10" s="8" t="n">
        <f aca="false">IF(E10=0,0,L10/E10)</f>
        <v>0.153846153846154</v>
      </c>
      <c r="S10" s="8" t="n">
        <f aca="false">R10+Q10</f>
        <v>0.328846153846154</v>
      </c>
      <c r="T10" s="8" t="n">
        <f aca="false">R10-P10</f>
        <v>0</v>
      </c>
    </row>
    <row r="11" customFormat="false" ht="14.25" hidden="false" customHeight="true" outlineLevel="0" collapsed="false">
      <c r="A11" s="6" t="n">
        <v>2026</v>
      </c>
      <c r="B11" s="6" t="s">
        <v>50</v>
      </c>
      <c r="C11" s="6" t="s">
        <v>60</v>
      </c>
      <c r="D11" s="7" t="n">
        <v>12</v>
      </c>
      <c r="E11" s="7" t="n">
        <v>30</v>
      </c>
      <c r="F11" s="7" t="n">
        <v>6</v>
      </c>
      <c r="G11" s="7" t="n">
        <v>6</v>
      </c>
      <c r="H11" s="7" t="n">
        <v>3</v>
      </c>
      <c r="I11" s="7" t="n">
        <v>0</v>
      </c>
      <c r="J11" s="7" t="n">
        <v>0</v>
      </c>
      <c r="K11" s="7" t="n">
        <v>3</v>
      </c>
      <c r="L11" s="7" t="n">
        <v>9</v>
      </c>
      <c r="M11" s="7" t="n">
        <v>3</v>
      </c>
      <c r="N11" s="7" t="n">
        <v>9</v>
      </c>
      <c r="O11" s="7" t="n">
        <v>1</v>
      </c>
      <c r="P11" s="8" t="n">
        <f aca="false">IF(E11=0,0,G11/E11)</f>
        <v>0.2</v>
      </c>
      <c r="Q11" s="8" t="n">
        <f aca="false">IF(E11+N11=0,0,(G11+N11)/(E11+N11))</f>
        <v>0.384615384615385</v>
      </c>
      <c r="R11" s="8" t="n">
        <f aca="false">IF(E11=0,0,L11/E11)</f>
        <v>0.3</v>
      </c>
      <c r="S11" s="8" t="n">
        <f aca="false">R11+Q11</f>
        <v>0.684615384615385</v>
      </c>
      <c r="T11" s="8" t="n">
        <f aca="false">R11-P11</f>
        <v>0.1</v>
      </c>
    </row>
    <row r="12" customFormat="false" ht="14.25" hidden="false" customHeight="true" outlineLevel="0" collapsed="false">
      <c r="A12" s="6" t="n">
        <v>2026</v>
      </c>
      <c r="B12" s="6" t="s">
        <v>50</v>
      </c>
      <c r="C12" s="6" t="s">
        <v>61</v>
      </c>
      <c r="D12" s="7" t="n">
        <v>11</v>
      </c>
      <c r="E12" s="7" t="n">
        <v>18</v>
      </c>
      <c r="F12" s="7" t="n">
        <v>2</v>
      </c>
      <c r="G12" s="7" t="n">
        <v>2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2</v>
      </c>
      <c r="M12" s="7" t="n">
        <v>2</v>
      </c>
      <c r="N12" s="7" t="n">
        <v>3</v>
      </c>
      <c r="O12" s="7" t="n">
        <v>3</v>
      </c>
      <c r="P12" s="8" t="n">
        <f aca="false">IF(E12=0,0,G12/E12)</f>
        <v>0.111111111111111</v>
      </c>
      <c r="Q12" s="8" t="n">
        <f aca="false">IF(E12+N12=0,0,(G12+N12)/(E12+N12))</f>
        <v>0.238095238095238</v>
      </c>
      <c r="R12" s="8" t="n">
        <f aca="false">IF(E12=0,0,L12/E12)</f>
        <v>0.111111111111111</v>
      </c>
      <c r="S12" s="8" t="n">
        <f aca="false">R12+Q12</f>
        <v>0.349206349206349</v>
      </c>
      <c r="T12" s="8" t="n">
        <f aca="false">R12-P12</f>
        <v>0</v>
      </c>
    </row>
    <row r="13" customFormat="false" ht="14.25" hidden="false" customHeight="true" outlineLevel="0" collapsed="false">
      <c r="A13" s="6" t="n">
        <v>2026</v>
      </c>
      <c r="B13" s="6" t="s">
        <v>50</v>
      </c>
      <c r="C13" s="6" t="s">
        <v>62</v>
      </c>
      <c r="D13" s="7" t="n">
        <v>11</v>
      </c>
      <c r="E13" s="7" t="n">
        <v>26</v>
      </c>
      <c r="F13" s="7" t="n">
        <v>3</v>
      </c>
      <c r="G13" s="7" t="n">
        <v>3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3</v>
      </c>
      <c r="M13" s="7" t="n">
        <v>1</v>
      </c>
      <c r="N13" s="7" t="n">
        <v>4</v>
      </c>
      <c r="O13" s="7" t="n">
        <v>3</v>
      </c>
      <c r="P13" s="8" t="n">
        <f aca="false">IF(E13=0,0,G13/E13)</f>
        <v>0.115384615384615</v>
      </c>
      <c r="Q13" s="8" t="n">
        <f aca="false">IF(E13+N13=0,0,(G13+N13)/(E13+N13))</f>
        <v>0.233333333333333</v>
      </c>
      <c r="R13" s="8" t="n">
        <f aca="false">IF(E13=0,0,L13/E13)</f>
        <v>0.115384615384615</v>
      </c>
      <c r="S13" s="8" t="n">
        <f aca="false">R13+Q13</f>
        <v>0.348717948717949</v>
      </c>
      <c r="T13" s="8" t="n">
        <f aca="false">R13-P13</f>
        <v>0</v>
      </c>
    </row>
    <row r="14" customFormat="false" ht="14.25" hidden="false" customHeight="true" outlineLevel="0" collapsed="false">
      <c r="A14" s="6" t="n">
        <v>2026</v>
      </c>
      <c r="B14" s="6" t="s">
        <v>50</v>
      </c>
      <c r="C14" s="6" t="s">
        <v>63</v>
      </c>
      <c r="D14" s="7" t="n">
        <v>5</v>
      </c>
      <c r="E14" s="7" t="n">
        <v>9</v>
      </c>
      <c r="F14" s="7" t="n">
        <v>0</v>
      </c>
      <c r="G14" s="7" t="n">
        <v>1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1</v>
      </c>
      <c r="M14" s="7" t="n">
        <v>0</v>
      </c>
      <c r="N14" s="7" t="n">
        <v>0</v>
      </c>
      <c r="O14" s="7" t="n">
        <v>2</v>
      </c>
      <c r="P14" s="8" t="n">
        <f aca="false">IF(E14=0,0,G14/E14)</f>
        <v>0.111111111111111</v>
      </c>
      <c r="Q14" s="8" t="n">
        <f aca="false">IF(E14+N14=0,0,(G14+N14)/(E14+N14))</f>
        <v>0.111111111111111</v>
      </c>
      <c r="R14" s="8" t="n">
        <f aca="false">IF(E14=0,0,L14/E14)</f>
        <v>0.111111111111111</v>
      </c>
      <c r="S14" s="8" t="n">
        <f aca="false">R14+Q14</f>
        <v>0.222222222222222</v>
      </c>
      <c r="T14" s="8" t="n">
        <f aca="false">R14-P14</f>
        <v>0</v>
      </c>
    </row>
    <row r="15" customFormat="false" ht="14.25" hidden="false" customHeight="true" outlineLevel="0" collapsed="false">
      <c r="A15" s="6" t="n">
        <v>2026</v>
      </c>
      <c r="B15" s="6" t="s">
        <v>50</v>
      </c>
      <c r="C15" s="6" t="s">
        <v>64</v>
      </c>
      <c r="D15" s="7" t="n">
        <v>8</v>
      </c>
      <c r="E15" s="7" t="n">
        <v>21</v>
      </c>
      <c r="F15" s="7" t="n">
        <v>3</v>
      </c>
      <c r="G15" s="7" t="n">
        <v>6</v>
      </c>
      <c r="H15" s="7" t="n">
        <v>0</v>
      </c>
      <c r="I15" s="7" t="n">
        <v>0</v>
      </c>
      <c r="J15" s="7" t="n">
        <v>1</v>
      </c>
      <c r="K15" s="7" t="n">
        <v>1</v>
      </c>
      <c r="L15" s="7" t="n">
        <v>9</v>
      </c>
      <c r="M15" s="7" t="n">
        <v>6</v>
      </c>
      <c r="N15" s="7" t="n">
        <v>5</v>
      </c>
      <c r="O15" s="7" t="n">
        <v>1</v>
      </c>
      <c r="P15" s="8" t="n">
        <f aca="false">IF(E15=0,0,G15/E15)</f>
        <v>0.285714285714286</v>
      </c>
      <c r="Q15" s="8" t="n">
        <f aca="false">IF(E15+N15=0,0,(G15+N15)/(E15+N15))</f>
        <v>0.423076923076923</v>
      </c>
      <c r="R15" s="8" t="n">
        <f aca="false">IF(E15=0,0,L15/E15)</f>
        <v>0.428571428571429</v>
      </c>
      <c r="S15" s="8" t="n">
        <f aca="false">R15+Q15</f>
        <v>0.851648351648352</v>
      </c>
      <c r="T15" s="8" t="n">
        <f aca="false">R15-P15</f>
        <v>0.142857142857143</v>
      </c>
    </row>
    <row r="16" customFormat="false" ht="14.25" hidden="false" customHeight="true" outlineLevel="0" collapsed="false">
      <c r="A16" s="6" t="n">
        <v>2026</v>
      </c>
      <c r="B16" s="6" t="s">
        <v>50</v>
      </c>
      <c r="C16" s="6" t="s">
        <v>65</v>
      </c>
      <c r="D16" s="7" t="n">
        <v>1</v>
      </c>
      <c r="E16" s="7" t="n">
        <v>2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1</v>
      </c>
      <c r="P16" s="8" t="n">
        <f aca="false">IF(E16=0,0,G16/E16)</f>
        <v>0</v>
      </c>
      <c r="Q16" s="8" t="n">
        <f aca="false">IF(E16+N16=0,0,(G16+N16)/(E16+N16))</f>
        <v>0</v>
      </c>
      <c r="R16" s="8" t="n">
        <f aca="false">IF(E16=0,0,L16/E16)</f>
        <v>0</v>
      </c>
      <c r="S16" s="8" t="n">
        <f aca="false">R16+Q16</f>
        <v>0</v>
      </c>
      <c r="T16" s="8" t="n">
        <f aca="false">R16-P16</f>
        <v>0</v>
      </c>
    </row>
    <row r="17" customFormat="false" ht="14.25" hidden="false" customHeight="true" outlineLevel="0" collapsed="false">
      <c r="A17" s="6" t="n">
        <v>2026</v>
      </c>
      <c r="B17" s="6" t="s">
        <v>50</v>
      </c>
      <c r="C17" s="6" t="s">
        <v>66</v>
      </c>
      <c r="D17" s="7" t="n">
        <v>5</v>
      </c>
      <c r="E17" s="7" t="n">
        <v>11</v>
      </c>
      <c r="F17" s="7" t="n">
        <v>3</v>
      </c>
      <c r="G17" s="7" t="n">
        <v>1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1</v>
      </c>
      <c r="M17" s="7" t="n">
        <v>0</v>
      </c>
      <c r="N17" s="7" t="n">
        <v>3</v>
      </c>
      <c r="O17" s="7" t="n">
        <v>1</v>
      </c>
      <c r="P17" s="8" t="n">
        <f aca="false">IF(E17=0,0,G17/E17)</f>
        <v>0.0909090909090909</v>
      </c>
      <c r="Q17" s="8" t="n">
        <f aca="false">IF(E17+N17=0,0,(G17+N17)/(E17+N17))</f>
        <v>0.285714285714286</v>
      </c>
      <c r="R17" s="8" t="n">
        <f aca="false">IF(E17=0,0,L17/E17)</f>
        <v>0.0909090909090909</v>
      </c>
      <c r="S17" s="8" t="n">
        <f aca="false">R17+Q17</f>
        <v>0.376623376623377</v>
      </c>
      <c r="T17" s="8" t="n">
        <f aca="false">R17-P17</f>
        <v>0</v>
      </c>
    </row>
    <row r="18" customFormat="false" ht="14.25" hidden="false" customHeight="true" outlineLevel="0" collapsed="false">
      <c r="A18" s="6" t="n">
        <v>2026</v>
      </c>
      <c r="B18" s="6" t="s">
        <v>50</v>
      </c>
      <c r="C18" s="6" t="s">
        <v>67</v>
      </c>
      <c r="D18" s="7" t="n">
        <v>4</v>
      </c>
      <c r="E18" s="7" t="n">
        <v>8</v>
      </c>
      <c r="F18" s="7" t="n">
        <v>0</v>
      </c>
      <c r="G18" s="7" t="n">
        <v>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1</v>
      </c>
      <c r="M18" s="7" t="n">
        <v>0</v>
      </c>
      <c r="N18" s="7" t="n">
        <v>0</v>
      </c>
      <c r="O18" s="7" t="n">
        <v>0</v>
      </c>
      <c r="P18" s="8" t="n">
        <f aca="false">IF(E18=0,0,G18/E18)</f>
        <v>0.125</v>
      </c>
      <c r="Q18" s="8" t="n">
        <f aca="false">IF(E18+N18=0,0,(G18+N18)/(E18+N18))</f>
        <v>0.125</v>
      </c>
      <c r="R18" s="8" t="n">
        <f aca="false">IF(E18=0,0,L18/E18)</f>
        <v>0.125</v>
      </c>
      <c r="S18" s="8" t="n">
        <f aca="false">R18+Q18</f>
        <v>0.25</v>
      </c>
      <c r="T18" s="8" t="n">
        <f aca="false">R18-P18</f>
        <v>0</v>
      </c>
    </row>
    <row r="19" customFormat="false" ht="14.25" hidden="false" customHeight="true" outlineLevel="0" collapsed="false">
      <c r="A19" s="6" t="n">
        <v>2026</v>
      </c>
      <c r="B19" s="6" t="s">
        <v>50</v>
      </c>
      <c r="C19" s="6" t="s">
        <v>68</v>
      </c>
      <c r="D19" s="7" t="n">
        <v>1</v>
      </c>
      <c r="E19" s="7" t="n">
        <v>1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8" t="n">
        <f aca="false">IF(E19=0,0,G19/E19)</f>
        <v>0</v>
      </c>
      <c r="Q19" s="8" t="n">
        <f aca="false">IF(E19+N19=0,0,(G19+N19)/(E19+N19))</f>
        <v>0</v>
      </c>
      <c r="R19" s="8" t="n">
        <f aca="false">IF(E19=0,0,L19/E19)</f>
        <v>0</v>
      </c>
      <c r="S19" s="8" t="n">
        <f aca="false">R19+Q19</f>
        <v>0</v>
      </c>
      <c r="T19" s="8" t="n">
        <f aca="false">R19-P19</f>
        <v>0</v>
      </c>
    </row>
    <row r="20" customFormat="false" ht="14.25" hidden="false" customHeight="true" outlineLevel="0" collapsed="false">
      <c r="A20" s="1" t="n">
        <v>2026</v>
      </c>
      <c r="B20" s="1" t="s">
        <v>50</v>
      </c>
      <c r="C20" s="1" t="s">
        <v>69</v>
      </c>
      <c r="D20" s="1" t="n">
        <v>2</v>
      </c>
      <c r="E20" s="1" t="n">
        <v>7</v>
      </c>
      <c r="F20" s="1" t="n">
        <v>2</v>
      </c>
      <c r="G20" s="1" t="n">
        <v>4</v>
      </c>
      <c r="H20" s="1" t="n">
        <v>0</v>
      </c>
      <c r="I20" s="1" t="n">
        <v>0</v>
      </c>
      <c r="J20" s="1" t="n">
        <v>1</v>
      </c>
      <c r="K20" s="1" t="n">
        <v>1</v>
      </c>
      <c r="L20" s="1" t="n">
        <v>7</v>
      </c>
      <c r="M20" s="1" t="n">
        <v>1</v>
      </c>
      <c r="N20" s="1" t="n">
        <v>0</v>
      </c>
      <c r="O20" s="1" t="n">
        <v>0</v>
      </c>
      <c r="P20" s="1" t="n">
        <f aca="false">IF(E20=0,0,G20/E20)</f>
        <v>0.571428571428571</v>
      </c>
      <c r="Q20" s="1" t="n">
        <f aca="false">IF(E20+N20=0,0,(G20+N20)/(E20+N20))</f>
        <v>0.571428571428571</v>
      </c>
      <c r="R20" s="1" t="n">
        <f aca="false">IF(E20=0,0,L20/E20)</f>
        <v>1</v>
      </c>
      <c r="S20" s="1" t="n">
        <f aca="false">R20+Q20</f>
        <v>1.57142857142857</v>
      </c>
      <c r="T20" s="1" t="n">
        <f aca="false">R20-P20</f>
        <v>0.428571428571429</v>
      </c>
    </row>
    <row r="21" customFormat="false" ht="14.25" hidden="false" customHeight="true" outlineLevel="0" collapsed="false">
      <c r="A21" s="1" t="n">
        <v>2026</v>
      </c>
      <c r="B21" s="1" t="s">
        <v>50</v>
      </c>
      <c r="C21" s="1" t="s">
        <v>70</v>
      </c>
      <c r="D21" s="1" t="n">
        <v>1</v>
      </c>
      <c r="E21" s="1" t="n">
        <v>1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f aca="false">IF(E21=0,0,G21/E21)</f>
        <v>0</v>
      </c>
      <c r="Q21" s="1" t="n">
        <f aca="false">IF(E21+N21=0,0,(G21+N21)/(E21+N21))</f>
        <v>0</v>
      </c>
      <c r="R21" s="1" t="n">
        <f aca="false">IF(E21=0,0,L21/E21)</f>
        <v>0</v>
      </c>
      <c r="S21" s="1" t="n">
        <f aca="false">R21+Q21</f>
        <v>0</v>
      </c>
      <c r="T21" s="1" t="n">
        <f aca="false">R21-P21</f>
        <v>0</v>
      </c>
    </row>
    <row r="22" customFormat="false" ht="14.25" hidden="false" customHeight="true" outlineLevel="0" collapsed="false">
      <c r="A22" s="6" t="n">
        <v>2026</v>
      </c>
      <c r="B22" s="6" t="s">
        <v>71</v>
      </c>
      <c r="C22" s="6" t="s">
        <v>72</v>
      </c>
      <c r="D22" s="7" t="n">
        <v>11</v>
      </c>
      <c r="E22" s="7" t="n">
        <v>36</v>
      </c>
      <c r="F22" s="7" t="n">
        <v>19</v>
      </c>
      <c r="G22" s="7" t="n">
        <v>20</v>
      </c>
      <c r="H22" s="7" t="n">
        <v>3</v>
      </c>
      <c r="I22" s="7" t="n">
        <v>0</v>
      </c>
      <c r="J22" s="7" t="n">
        <v>8</v>
      </c>
      <c r="K22" s="7" t="n">
        <v>11</v>
      </c>
      <c r="L22" s="7" t="n">
        <v>47</v>
      </c>
      <c r="M22" s="7" t="n">
        <v>21</v>
      </c>
      <c r="N22" s="7" t="n">
        <v>4</v>
      </c>
      <c r="O22" s="7" t="n">
        <v>0</v>
      </c>
      <c r="P22" s="8" t="n">
        <f aca="false">IF(E22=0,0,G22/E22)</f>
        <v>0.555555555555556</v>
      </c>
      <c r="Q22" s="8" t="n">
        <f aca="false">IF(E22+N22=0,0,(G22+N22)/(E22+N22))</f>
        <v>0.6</v>
      </c>
      <c r="R22" s="8" t="n">
        <f aca="false">IF(E22=0,0,L22/E22)</f>
        <v>1.30555555555556</v>
      </c>
      <c r="S22" s="8" t="n">
        <f aca="false">R22+Q22</f>
        <v>1.90555555555556</v>
      </c>
      <c r="T22" s="8" t="n">
        <f aca="false">R22-P22</f>
        <v>0.75</v>
      </c>
    </row>
    <row r="23" customFormat="false" ht="14.25" hidden="false" customHeight="true" outlineLevel="0" collapsed="false">
      <c r="A23" s="6" t="n">
        <v>2026</v>
      </c>
      <c r="B23" s="6" t="s">
        <v>71</v>
      </c>
      <c r="C23" s="6" t="s">
        <v>73</v>
      </c>
      <c r="D23" s="7" t="n">
        <v>12</v>
      </c>
      <c r="E23" s="7" t="n">
        <v>33</v>
      </c>
      <c r="F23" s="7" t="n">
        <v>15</v>
      </c>
      <c r="G23" s="7" t="n">
        <v>16</v>
      </c>
      <c r="H23" s="7" t="n">
        <v>3</v>
      </c>
      <c r="I23" s="7" t="n">
        <v>0</v>
      </c>
      <c r="J23" s="7" t="n">
        <v>5</v>
      </c>
      <c r="K23" s="7" t="n">
        <v>8</v>
      </c>
      <c r="L23" s="7" t="n">
        <v>34</v>
      </c>
      <c r="M23" s="7" t="n">
        <v>19</v>
      </c>
      <c r="N23" s="7" t="n">
        <v>10</v>
      </c>
      <c r="O23" s="7" t="n">
        <v>0</v>
      </c>
      <c r="P23" s="8" t="n">
        <f aca="false">IF(E23=0,0,G23/E23)</f>
        <v>0.484848484848485</v>
      </c>
      <c r="Q23" s="8" t="n">
        <f aca="false">IF(E23+N23=0,0,(G23+N23)/(E23+N23))</f>
        <v>0.604651162790698</v>
      </c>
      <c r="R23" s="8" t="n">
        <f aca="false">IF(E23=0,0,L23/E23)</f>
        <v>1.03030303030303</v>
      </c>
      <c r="S23" s="8" t="n">
        <f aca="false">R23+Q23</f>
        <v>1.63495419309373</v>
      </c>
      <c r="T23" s="8" t="n">
        <f aca="false">R23-P23</f>
        <v>0.545454545454545</v>
      </c>
    </row>
    <row r="24" customFormat="false" ht="14.25" hidden="false" customHeight="true" outlineLevel="0" collapsed="false">
      <c r="A24" s="6" t="n">
        <v>2026</v>
      </c>
      <c r="B24" s="6" t="s">
        <v>71</v>
      </c>
      <c r="C24" s="6" t="s">
        <v>74</v>
      </c>
      <c r="D24" s="7" t="n">
        <v>10</v>
      </c>
      <c r="E24" s="7" t="n">
        <v>35</v>
      </c>
      <c r="F24" s="7" t="n">
        <v>17</v>
      </c>
      <c r="G24" s="7" t="n">
        <v>17</v>
      </c>
      <c r="H24" s="7" t="n">
        <v>3</v>
      </c>
      <c r="I24" s="7" t="n">
        <v>0</v>
      </c>
      <c r="J24" s="7" t="n">
        <v>8</v>
      </c>
      <c r="K24" s="7" t="n">
        <v>11</v>
      </c>
      <c r="L24" s="7" t="n">
        <v>44</v>
      </c>
      <c r="M24" s="7" t="n">
        <v>16</v>
      </c>
      <c r="N24" s="7" t="n">
        <v>4</v>
      </c>
      <c r="O24" s="7" t="n">
        <v>1</v>
      </c>
      <c r="P24" s="8" t="n">
        <f aca="false">IF(E24=0,0,G24/E24)</f>
        <v>0.485714285714286</v>
      </c>
      <c r="Q24" s="8" t="n">
        <f aca="false">IF(E24+N24=0,0,(G24+N24)/(E24+N24))</f>
        <v>0.538461538461538</v>
      </c>
      <c r="R24" s="8" t="n">
        <f aca="false">IF(E24=0,0,L24/E24)</f>
        <v>1.25714285714286</v>
      </c>
      <c r="S24" s="8" t="n">
        <f aca="false">R24+Q24</f>
        <v>1.7956043956044</v>
      </c>
      <c r="T24" s="8" t="n">
        <f aca="false">R24-P24</f>
        <v>0.771428571428571</v>
      </c>
    </row>
    <row r="25" customFormat="false" ht="14.25" hidden="false" customHeight="true" outlineLevel="0" collapsed="false">
      <c r="A25" s="6" t="n">
        <v>2026</v>
      </c>
      <c r="B25" s="6" t="s">
        <v>71</v>
      </c>
      <c r="C25" s="6" t="s">
        <v>75</v>
      </c>
      <c r="D25" s="7" t="n">
        <v>8</v>
      </c>
      <c r="E25" s="7" t="n">
        <v>28</v>
      </c>
      <c r="F25" s="7" t="n">
        <v>12</v>
      </c>
      <c r="G25" s="7" t="n">
        <v>16</v>
      </c>
      <c r="H25" s="7" t="n">
        <v>4</v>
      </c>
      <c r="I25" s="7" t="n">
        <v>0</v>
      </c>
      <c r="J25" s="7" t="n">
        <v>4</v>
      </c>
      <c r="K25" s="7" t="n">
        <v>8</v>
      </c>
      <c r="L25" s="7" t="n">
        <v>32</v>
      </c>
      <c r="M25" s="7" t="n">
        <v>13</v>
      </c>
      <c r="N25" s="7" t="n">
        <v>3</v>
      </c>
      <c r="O25" s="7" t="n">
        <v>1</v>
      </c>
      <c r="P25" s="8" t="n">
        <f aca="false">IF(E25=0,0,G25/E25)</f>
        <v>0.571428571428571</v>
      </c>
      <c r="Q25" s="8" t="n">
        <f aca="false">IF(E25+N25=0,0,(G25+N25)/(E25+N25))</f>
        <v>0.612903225806452</v>
      </c>
      <c r="R25" s="8" t="n">
        <f aca="false">IF(E25=0,0,L25/E25)</f>
        <v>1.14285714285714</v>
      </c>
      <c r="S25" s="8" t="n">
        <f aca="false">R25+Q25</f>
        <v>1.75576036866359</v>
      </c>
      <c r="T25" s="8" t="n">
        <f aca="false">R25-P25</f>
        <v>0.571428571428571</v>
      </c>
    </row>
    <row r="26" customFormat="false" ht="14.25" hidden="false" customHeight="true" outlineLevel="0" collapsed="false">
      <c r="A26" s="6" t="n">
        <v>2026</v>
      </c>
      <c r="B26" s="6" t="s">
        <v>71</v>
      </c>
      <c r="C26" s="6" t="s">
        <v>76</v>
      </c>
      <c r="D26" s="7" t="n">
        <v>14</v>
      </c>
      <c r="E26" s="7" t="n">
        <v>50</v>
      </c>
      <c r="F26" s="7" t="n">
        <v>18</v>
      </c>
      <c r="G26" s="7" t="n">
        <v>20</v>
      </c>
      <c r="H26" s="7" t="n">
        <v>9</v>
      </c>
      <c r="I26" s="7" t="n">
        <v>0</v>
      </c>
      <c r="J26" s="7" t="n">
        <v>0</v>
      </c>
      <c r="K26" s="7" t="n">
        <v>9</v>
      </c>
      <c r="L26" s="7" t="n">
        <v>29</v>
      </c>
      <c r="M26" s="7" t="n">
        <v>10</v>
      </c>
      <c r="N26" s="7" t="n">
        <v>6</v>
      </c>
      <c r="O26" s="7" t="n">
        <v>0</v>
      </c>
      <c r="P26" s="8" t="n">
        <f aca="false">IF(E26=0,0,G26/E26)</f>
        <v>0.4</v>
      </c>
      <c r="Q26" s="8" t="n">
        <f aca="false">IF(E26+N26=0,0,(G26+N26)/(E26+N26))</f>
        <v>0.464285714285714</v>
      </c>
      <c r="R26" s="8" t="n">
        <f aca="false">IF(E26=0,0,L26/E26)</f>
        <v>0.58</v>
      </c>
      <c r="S26" s="8" t="n">
        <f aca="false">R26+Q26</f>
        <v>1.04428571428571</v>
      </c>
      <c r="T26" s="8" t="n">
        <f aca="false">R26-P26</f>
        <v>0.18</v>
      </c>
    </row>
    <row r="27" customFormat="false" ht="14.25" hidden="false" customHeight="true" outlineLevel="0" collapsed="false">
      <c r="A27" s="6" t="n">
        <v>2026</v>
      </c>
      <c r="B27" s="6" t="s">
        <v>71</v>
      </c>
      <c r="C27" s="6" t="s">
        <v>77</v>
      </c>
      <c r="D27" s="7" t="n">
        <v>10</v>
      </c>
      <c r="E27" s="7" t="n">
        <v>33</v>
      </c>
      <c r="F27" s="7" t="n">
        <v>8</v>
      </c>
      <c r="G27" s="7" t="n">
        <v>11</v>
      </c>
      <c r="H27" s="7" t="n">
        <v>0</v>
      </c>
      <c r="I27" s="7" t="n">
        <v>0</v>
      </c>
      <c r="J27" s="7" t="n">
        <v>3</v>
      </c>
      <c r="K27" s="7" t="n">
        <v>3</v>
      </c>
      <c r="L27" s="7" t="n">
        <v>20</v>
      </c>
      <c r="M27" s="7" t="n">
        <v>12</v>
      </c>
      <c r="N27" s="7" t="n">
        <v>4</v>
      </c>
      <c r="O27" s="7" t="n">
        <v>2</v>
      </c>
      <c r="P27" s="8" t="n">
        <f aca="false">IF(E27=0,0,G27/E27)</f>
        <v>0.333333333333333</v>
      </c>
      <c r="Q27" s="8" t="n">
        <f aca="false">IF(E27+N27=0,0,(G27+N27)/(E27+N27))</f>
        <v>0.405405405405405</v>
      </c>
      <c r="R27" s="8" t="n">
        <f aca="false">IF(E27=0,0,L27/E27)</f>
        <v>0.606060606060606</v>
      </c>
      <c r="S27" s="8" t="n">
        <f aca="false">R27+Q27</f>
        <v>1.01146601146601</v>
      </c>
      <c r="T27" s="8" t="n">
        <f aca="false">R27-P27</f>
        <v>0.272727272727273</v>
      </c>
    </row>
    <row r="28" customFormat="false" ht="14.25" hidden="false" customHeight="true" outlineLevel="0" collapsed="false">
      <c r="A28" s="6" t="n">
        <v>2026</v>
      </c>
      <c r="B28" s="6" t="s">
        <v>71</v>
      </c>
      <c r="C28" s="6" t="s">
        <v>78</v>
      </c>
      <c r="D28" s="7" t="n">
        <v>11</v>
      </c>
      <c r="E28" s="7" t="n">
        <v>39</v>
      </c>
      <c r="F28" s="7" t="n">
        <v>10</v>
      </c>
      <c r="G28" s="7" t="n">
        <v>20</v>
      </c>
      <c r="H28" s="7" t="n">
        <v>5</v>
      </c>
      <c r="I28" s="7" t="n">
        <v>0</v>
      </c>
      <c r="J28" s="7" t="n">
        <v>1</v>
      </c>
      <c r="K28" s="7" t="n">
        <v>6</v>
      </c>
      <c r="L28" s="7" t="n">
        <v>28</v>
      </c>
      <c r="M28" s="7" t="n">
        <v>4</v>
      </c>
      <c r="N28" s="7" t="n">
        <v>1</v>
      </c>
      <c r="O28" s="7" t="n">
        <v>0</v>
      </c>
      <c r="P28" s="8" t="n">
        <f aca="false">IF(E28=0,0,G28/E28)</f>
        <v>0.512820512820513</v>
      </c>
      <c r="Q28" s="8" t="n">
        <f aca="false">IF(E28+N28=0,0,(G28+N28)/(E28+N28))</f>
        <v>0.525</v>
      </c>
      <c r="R28" s="8" t="n">
        <f aca="false">IF(E28=0,0,L28/E28)</f>
        <v>0.717948717948718</v>
      </c>
      <c r="S28" s="8" t="n">
        <f aca="false">R28+Q28</f>
        <v>1.24294871794872</v>
      </c>
      <c r="T28" s="8" t="n">
        <f aca="false">R28-P28</f>
        <v>0.205128205128205</v>
      </c>
    </row>
    <row r="29" customFormat="false" ht="14.25" hidden="false" customHeight="true" outlineLevel="0" collapsed="false">
      <c r="A29" s="6" t="n">
        <v>2026</v>
      </c>
      <c r="B29" s="6" t="s">
        <v>71</v>
      </c>
      <c r="C29" s="6" t="s">
        <v>79</v>
      </c>
      <c r="D29" s="7" t="n">
        <v>14</v>
      </c>
      <c r="E29" s="7" t="n">
        <v>40</v>
      </c>
      <c r="F29" s="7" t="n">
        <v>8</v>
      </c>
      <c r="G29" s="7" t="n">
        <v>10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10</v>
      </c>
      <c r="M29" s="7" t="n">
        <v>7</v>
      </c>
      <c r="N29" s="7" t="n">
        <v>5</v>
      </c>
      <c r="O29" s="7" t="n">
        <v>2</v>
      </c>
      <c r="P29" s="8" t="n">
        <f aca="false">IF(E29=0,0,G29/E29)</f>
        <v>0.25</v>
      </c>
      <c r="Q29" s="8" t="n">
        <f aca="false">IF(E29+N29=0,0,(G29+N29)/(E29+N29))</f>
        <v>0.333333333333333</v>
      </c>
      <c r="R29" s="8" t="n">
        <f aca="false">IF(E29=0,0,L29/E29)</f>
        <v>0.25</v>
      </c>
      <c r="S29" s="8" t="n">
        <f aca="false">R29+Q29</f>
        <v>0.583333333333333</v>
      </c>
      <c r="T29" s="8" t="n">
        <f aca="false">R29-P29</f>
        <v>0</v>
      </c>
    </row>
    <row r="30" customFormat="false" ht="14.25" hidden="false" customHeight="true" outlineLevel="0" collapsed="false">
      <c r="A30" s="6" t="n">
        <v>2026</v>
      </c>
      <c r="B30" s="6" t="s">
        <v>71</v>
      </c>
      <c r="C30" s="6" t="s">
        <v>80</v>
      </c>
      <c r="D30" s="7" t="n">
        <v>8</v>
      </c>
      <c r="E30" s="7" t="n">
        <v>29</v>
      </c>
      <c r="F30" s="7" t="n">
        <v>4</v>
      </c>
      <c r="G30" s="7" t="n">
        <v>10</v>
      </c>
      <c r="H30" s="7" t="n">
        <v>1</v>
      </c>
      <c r="I30" s="7" t="n">
        <v>0</v>
      </c>
      <c r="J30" s="7" t="n">
        <v>2</v>
      </c>
      <c r="K30" s="7" t="n">
        <v>3</v>
      </c>
      <c r="L30" s="7" t="n">
        <v>17</v>
      </c>
      <c r="M30" s="7" t="n">
        <v>5</v>
      </c>
      <c r="N30" s="7" t="n">
        <v>0</v>
      </c>
      <c r="O30" s="7" t="n">
        <v>1</v>
      </c>
      <c r="P30" s="8" t="n">
        <f aca="false">IF(E30=0,0,G30/E30)</f>
        <v>0.344827586206897</v>
      </c>
      <c r="Q30" s="8" t="n">
        <f aca="false">IF(E30+N30=0,0,(G30+N30)/(E30+N30))</f>
        <v>0.344827586206897</v>
      </c>
      <c r="R30" s="8" t="n">
        <f aca="false">IF(E30=0,0,L30/E30)</f>
        <v>0.586206896551724</v>
      </c>
      <c r="S30" s="8" t="n">
        <f aca="false">R30+Q30</f>
        <v>0.931034482758621</v>
      </c>
      <c r="T30" s="8" t="n">
        <f aca="false">R30-P30</f>
        <v>0.241379310344828</v>
      </c>
    </row>
    <row r="31" customFormat="false" ht="14.25" hidden="false" customHeight="true" outlineLevel="0" collapsed="false">
      <c r="A31" s="6" t="n">
        <v>2026</v>
      </c>
      <c r="B31" s="6" t="s">
        <v>71</v>
      </c>
      <c r="C31" s="6" t="s">
        <v>81</v>
      </c>
      <c r="D31" s="7" t="n">
        <v>8</v>
      </c>
      <c r="E31" s="7" t="n">
        <v>28</v>
      </c>
      <c r="F31" s="7" t="n">
        <v>5</v>
      </c>
      <c r="G31" s="7" t="n">
        <v>11</v>
      </c>
      <c r="H31" s="7" t="n">
        <v>0</v>
      </c>
      <c r="I31" s="7" t="n">
        <v>0</v>
      </c>
      <c r="J31" s="7" t="n">
        <v>1</v>
      </c>
      <c r="K31" s="7" t="n">
        <v>1</v>
      </c>
      <c r="L31" s="7" t="n">
        <v>14</v>
      </c>
      <c r="M31" s="7" t="n">
        <v>9</v>
      </c>
      <c r="N31" s="7" t="n">
        <v>0</v>
      </c>
      <c r="O31" s="7" t="n">
        <v>1</v>
      </c>
      <c r="P31" s="8" t="n">
        <f aca="false">IF(E31=0,0,G31/E31)</f>
        <v>0.392857142857143</v>
      </c>
      <c r="Q31" s="8" t="n">
        <f aca="false">IF(E31+N31=0,0,(G31+N31)/(E31+N31))</f>
        <v>0.392857142857143</v>
      </c>
      <c r="R31" s="8" t="n">
        <f aca="false">IF(E31=0,0,L31/E31)</f>
        <v>0.5</v>
      </c>
      <c r="S31" s="8" t="n">
        <f aca="false">R31+Q31</f>
        <v>0.892857142857143</v>
      </c>
      <c r="T31" s="8" t="n">
        <f aca="false">R31-P31</f>
        <v>0.107142857142857</v>
      </c>
    </row>
    <row r="32" customFormat="false" ht="14.25" hidden="false" customHeight="true" outlineLevel="0" collapsed="false">
      <c r="A32" s="6" t="n">
        <v>2026</v>
      </c>
      <c r="B32" s="6" t="s">
        <v>71</v>
      </c>
      <c r="C32" s="6" t="s">
        <v>82</v>
      </c>
      <c r="D32" s="7" t="n">
        <v>2</v>
      </c>
      <c r="E32" s="7" t="n">
        <v>7</v>
      </c>
      <c r="F32" s="7" t="n">
        <v>5</v>
      </c>
      <c r="G32" s="7" t="n">
        <v>4</v>
      </c>
      <c r="H32" s="7" t="n">
        <v>1</v>
      </c>
      <c r="I32" s="7" t="n">
        <v>0</v>
      </c>
      <c r="J32" s="7" t="n">
        <v>1</v>
      </c>
      <c r="K32" s="7" t="n">
        <v>2</v>
      </c>
      <c r="L32" s="7" t="n">
        <v>8</v>
      </c>
      <c r="M32" s="7" t="n">
        <v>3</v>
      </c>
      <c r="N32" s="7" t="n">
        <v>0</v>
      </c>
      <c r="O32" s="7" t="n">
        <v>1</v>
      </c>
      <c r="P32" s="8" t="n">
        <f aca="false">IF(E32=0,0,G32/E32)</f>
        <v>0.571428571428571</v>
      </c>
      <c r="Q32" s="8" t="n">
        <f aca="false">IF(E32+N32=0,0,(G32+N32)/(E32+N32))</f>
        <v>0.571428571428571</v>
      </c>
      <c r="R32" s="8" t="n">
        <f aca="false">IF(E32=0,0,L32/E32)</f>
        <v>1.14285714285714</v>
      </c>
      <c r="S32" s="8" t="n">
        <f aca="false">R32+Q32</f>
        <v>1.71428571428571</v>
      </c>
      <c r="T32" s="8" t="n">
        <f aca="false">R32-P32</f>
        <v>0.571428571428571</v>
      </c>
    </row>
    <row r="33" customFormat="false" ht="14.25" hidden="false" customHeight="true" outlineLevel="0" collapsed="false">
      <c r="A33" s="6" t="n">
        <v>2026</v>
      </c>
      <c r="B33" s="6" t="s">
        <v>71</v>
      </c>
      <c r="C33" s="6" t="s">
        <v>83</v>
      </c>
      <c r="D33" s="7" t="n">
        <v>4</v>
      </c>
      <c r="E33" s="7" t="n">
        <v>11</v>
      </c>
      <c r="F33" s="7" t="n">
        <v>2</v>
      </c>
      <c r="G33" s="7" t="n">
        <v>4</v>
      </c>
      <c r="H33" s="7" t="n">
        <v>1</v>
      </c>
      <c r="I33" s="7" t="n">
        <v>0</v>
      </c>
      <c r="J33" s="7" t="n">
        <v>0</v>
      </c>
      <c r="K33" s="7" t="n">
        <v>1</v>
      </c>
      <c r="L33" s="7" t="n">
        <v>5</v>
      </c>
      <c r="M33" s="7" t="n">
        <v>1</v>
      </c>
      <c r="N33" s="7" t="n">
        <v>1</v>
      </c>
      <c r="O33" s="7" t="n">
        <v>0</v>
      </c>
      <c r="P33" s="8" t="n">
        <f aca="false">IF(E33=0,0,G33/E33)</f>
        <v>0.363636363636364</v>
      </c>
      <c r="Q33" s="8" t="n">
        <f aca="false">IF(E33+N33=0,0,(G33+N33)/(E33+N33))</f>
        <v>0.416666666666667</v>
      </c>
      <c r="R33" s="8" t="n">
        <f aca="false">IF(E33=0,0,L33/E33)</f>
        <v>0.454545454545455</v>
      </c>
      <c r="S33" s="8" t="n">
        <f aca="false">R33+Q33</f>
        <v>0.871212121212121</v>
      </c>
      <c r="T33" s="8" t="n">
        <f aca="false">R33-P33</f>
        <v>0.0909090909090909</v>
      </c>
    </row>
    <row r="34" customFormat="false" ht="14.25" hidden="false" customHeight="true" outlineLevel="0" collapsed="false">
      <c r="A34" s="6" t="n">
        <v>2026</v>
      </c>
      <c r="B34" s="6" t="s">
        <v>71</v>
      </c>
      <c r="C34" s="6" t="s">
        <v>84</v>
      </c>
      <c r="D34" s="7" t="n">
        <v>2</v>
      </c>
      <c r="E34" s="7" t="n">
        <v>6</v>
      </c>
      <c r="F34" s="7" t="n">
        <v>2</v>
      </c>
      <c r="G34" s="7" t="n">
        <v>4</v>
      </c>
      <c r="H34" s="7" t="n">
        <v>2</v>
      </c>
      <c r="I34" s="7" t="n">
        <v>0</v>
      </c>
      <c r="J34" s="7" t="n">
        <v>0</v>
      </c>
      <c r="K34" s="7" t="n">
        <v>2</v>
      </c>
      <c r="L34" s="7" t="n">
        <v>6</v>
      </c>
      <c r="M34" s="7" t="n">
        <v>1</v>
      </c>
      <c r="N34" s="7" t="n">
        <v>1</v>
      </c>
      <c r="O34" s="7" t="n">
        <v>0</v>
      </c>
      <c r="P34" s="8" t="n">
        <f aca="false">IF(E34=0,0,G34/E34)</f>
        <v>0.666666666666667</v>
      </c>
      <c r="Q34" s="8" t="n">
        <f aca="false">IF(E34+N34=0,0,(G34+N34)/(E34+N34))</f>
        <v>0.714285714285714</v>
      </c>
      <c r="R34" s="8" t="n">
        <f aca="false">IF(E34=0,0,L34/E34)</f>
        <v>1</v>
      </c>
      <c r="S34" s="8" t="n">
        <f aca="false">R34+Q34</f>
        <v>1.71428571428571</v>
      </c>
      <c r="T34" s="8" t="n">
        <f aca="false">R34-P34</f>
        <v>0.333333333333333</v>
      </c>
    </row>
    <row r="35" customFormat="false" ht="14.25" hidden="false" customHeight="true" outlineLevel="0" collapsed="false">
      <c r="A35" s="6" t="n">
        <v>2026</v>
      </c>
      <c r="B35" s="6" t="s">
        <v>71</v>
      </c>
      <c r="C35" s="6" t="s">
        <v>85</v>
      </c>
      <c r="D35" s="7" t="n">
        <v>7</v>
      </c>
      <c r="E35" s="7" t="n">
        <v>13</v>
      </c>
      <c r="F35" s="7" t="n">
        <v>4</v>
      </c>
      <c r="G35" s="7" t="n">
        <v>4</v>
      </c>
      <c r="H35" s="7" t="n">
        <v>1</v>
      </c>
      <c r="I35" s="7" t="n">
        <v>0</v>
      </c>
      <c r="J35" s="7" t="n">
        <v>0</v>
      </c>
      <c r="K35" s="7" t="n">
        <v>1</v>
      </c>
      <c r="L35" s="7" t="n">
        <v>5</v>
      </c>
      <c r="M35" s="7" t="n">
        <v>4</v>
      </c>
      <c r="N35" s="7" t="n">
        <v>4</v>
      </c>
      <c r="O35" s="7" t="n">
        <v>0</v>
      </c>
      <c r="P35" s="8" t="n">
        <f aca="false">IF(E35=0,0,G35/E35)</f>
        <v>0.307692307692308</v>
      </c>
      <c r="Q35" s="8" t="n">
        <f aca="false">IF(E35+N35=0,0,(G35+N35)/(E35+N35))</f>
        <v>0.470588235294118</v>
      </c>
      <c r="R35" s="8" t="n">
        <f aca="false">IF(E35=0,0,L35/E35)</f>
        <v>0.384615384615385</v>
      </c>
      <c r="S35" s="8" t="n">
        <f aca="false">R35+Q35</f>
        <v>0.855203619909502</v>
      </c>
      <c r="T35" s="8" t="n">
        <f aca="false">R35-P35</f>
        <v>0.0769230769230769</v>
      </c>
    </row>
    <row r="36" customFormat="false" ht="14.25" hidden="false" customHeight="true" outlineLevel="0" collapsed="false">
      <c r="A36" s="6" t="n">
        <v>2026</v>
      </c>
      <c r="B36" s="6" t="s">
        <v>71</v>
      </c>
      <c r="C36" s="6" t="s">
        <v>86</v>
      </c>
      <c r="D36" s="7" t="n">
        <v>2</v>
      </c>
      <c r="E36" s="7" t="n">
        <v>8</v>
      </c>
      <c r="F36" s="7" t="n">
        <v>3</v>
      </c>
      <c r="G36" s="7" t="n">
        <v>3</v>
      </c>
      <c r="H36" s="7" t="n">
        <v>0</v>
      </c>
      <c r="I36" s="7" t="n">
        <v>0</v>
      </c>
      <c r="J36" s="7" t="n">
        <v>2</v>
      </c>
      <c r="K36" s="7" t="n">
        <v>2</v>
      </c>
      <c r="L36" s="7" t="n">
        <v>9</v>
      </c>
      <c r="M36" s="7" t="n">
        <v>4</v>
      </c>
      <c r="N36" s="7" t="n">
        <v>0</v>
      </c>
      <c r="O36" s="7" t="n">
        <v>0</v>
      </c>
      <c r="P36" s="8" t="n">
        <f aca="false">IF(E36=0,0,G36/E36)</f>
        <v>0.375</v>
      </c>
      <c r="Q36" s="8" t="n">
        <f aca="false">IF(E36+N36=0,0,(G36+N36)/(E36+N36))</f>
        <v>0.375</v>
      </c>
      <c r="R36" s="8" t="n">
        <f aca="false">IF(E36=0,0,L36/E36)</f>
        <v>1.125</v>
      </c>
      <c r="S36" s="8" t="n">
        <f aca="false">R36+Q36</f>
        <v>1.5</v>
      </c>
      <c r="T36" s="8" t="n">
        <f aca="false">R36-P36</f>
        <v>0.75</v>
      </c>
    </row>
    <row r="37" customFormat="false" ht="14.25" hidden="false" customHeight="true" outlineLevel="0" collapsed="false">
      <c r="A37" s="6" t="n">
        <v>2026</v>
      </c>
      <c r="B37" s="6" t="s">
        <v>71</v>
      </c>
      <c r="C37" s="6" t="s">
        <v>87</v>
      </c>
      <c r="D37" s="7" t="n">
        <v>6</v>
      </c>
      <c r="E37" s="7" t="n">
        <v>16</v>
      </c>
      <c r="F37" s="7" t="n">
        <v>3</v>
      </c>
      <c r="G37" s="7" t="n">
        <v>2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2</v>
      </c>
      <c r="M37" s="7" t="n">
        <v>1</v>
      </c>
      <c r="N37" s="7" t="n">
        <v>1</v>
      </c>
      <c r="O37" s="7" t="n">
        <v>2</v>
      </c>
      <c r="P37" s="8" t="n">
        <f aca="false">IF(E37=0,0,G37/E37)</f>
        <v>0.125</v>
      </c>
      <c r="Q37" s="8" t="n">
        <f aca="false">IF(E37+N37=0,0,(G37+N37)/(E37+N37))</f>
        <v>0.176470588235294</v>
      </c>
      <c r="R37" s="8" t="n">
        <f aca="false">IF(E37=0,0,L37/E37)</f>
        <v>0.125</v>
      </c>
      <c r="S37" s="8" t="n">
        <f aca="false">R37+Q37</f>
        <v>0.301470588235294</v>
      </c>
      <c r="T37" s="8" t="n">
        <f aca="false">R37-P37</f>
        <v>0</v>
      </c>
    </row>
    <row r="38" customFormat="false" ht="14.25" hidden="false" customHeight="true" outlineLevel="0" collapsed="false">
      <c r="A38" s="6" t="n">
        <v>2026</v>
      </c>
      <c r="B38" s="6" t="s">
        <v>71</v>
      </c>
      <c r="C38" s="6" t="s">
        <v>88</v>
      </c>
      <c r="D38" s="7" t="n">
        <v>6</v>
      </c>
      <c r="E38" s="7" t="n">
        <v>15</v>
      </c>
      <c r="F38" s="7" t="n">
        <v>2</v>
      </c>
      <c r="G38" s="7" t="n">
        <v>1</v>
      </c>
      <c r="H38" s="7" t="n">
        <v>0</v>
      </c>
      <c r="I38" s="7" t="n">
        <v>0</v>
      </c>
      <c r="J38" s="7" t="n">
        <v>1</v>
      </c>
      <c r="K38" s="7" t="n">
        <v>1</v>
      </c>
      <c r="L38" s="7" t="n">
        <v>4</v>
      </c>
      <c r="M38" s="7" t="n">
        <v>3</v>
      </c>
      <c r="N38" s="7" t="n">
        <v>1</v>
      </c>
      <c r="O38" s="7" t="n">
        <v>1</v>
      </c>
      <c r="P38" s="8" t="n">
        <f aca="false">IF(E38=0,0,G38/E38)</f>
        <v>0.0666666666666667</v>
      </c>
      <c r="Q38" s="8" t="n">
        <f aca="false">IF(E38+N38=0,0,(G38+N38)/(E38+N38))</f>
        <v>0.125</v>
      </c>
      <c r="R38" s="8" t="n">
        <f aca="false">IF(E38=0,0,L38/E38)</f>
        <v>0.266666666666667</v>
      </c>
      <c r="S38" s="8" t="n">
        <f aca="false">R38+Q38</f>
        <v>0.391666666666667</v>
      </c>
      <c r="T38" s="8" t="n">
        <f aca="false">R38-P38</f>
        <v>0.2</v>
      </c>
    </row>
    <row r="39" customFormat="false" ht="14.25" hidden="false" customHeight="true" outlineLevel="0" collapsed="false">
      <c r="A39" s="6" t="n">
        <v>2026</v>
      </c>
      <c r="B39" s="6" t="s">
        <v>71</v>
      </c>
      <c r="C39" s="6" t="s">
        <v>89</v>
      </c>
      <c r="D39" s="7" t="n">
        <v>4</v>
      </c>
      <c r="E39" s="7" t="n">
        <v>13</v>
      </c>
      <c r="F39" s="7" t="n">
        <v>1</v>
      </c>
      <c r="G39" s="7" t="n">
        <v>1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1</v>
      </c>
      <c r="M39" s="7" t="n">
        <v>2</v>
      </c>
      <c r="N39" s="7" t="n">
        <v>1</v>
      </c>
      <c r="O39" s="7" t="n">
        <v>0</v>
      </c>
      <c r="P39" s="8" t="n">
        <f aca="false">IF(E39=0,0,G39/E39)</f>
        <v>0.0769230769230769</v>
      </c>
      <c r="Q39" s="8" t="n">
        <f aca="false">IF(E39+N39=0,0,(G39+N39)/(E39+N39))</f>
        <v>0.142857142857143</v>
      </c>
      <c r="R39" s="8" t="n">
        <f aca="false">IF(E39=0,0,L39/E39)</f>
        <v>0.0769230769230769</v>
      </c>
      <c r="S39" s="8" t="n">
        <f aca="false">R39+Q39</f>
        <v>0.21978021978022</v>
      </c>
      <c r="T39" s="8" t="n">
        <f aca="false">R39-P39</f>
        <v>0</v>
      </c>
    </row>
    <row r="40" customFormat="false" ht="14.25" hidden="false" customHeight="true" outlineLevel="0" collapsed="false">
      <c r="A40" s="6" t="n">
        <v>2026</v>
      </c>
      <c r="B40" s="6" t="s">
        <v>71</v>
      </c>
      <c r="C40" s="6" t="s">
        <v>90</v>
      </c>
      <c r="D40" s="7" t="n">
        <v>1</v>
      </c>
      <c r="E40" s="7" t="n">
        <v>2</v>
      </c>
      <c r="F40" s="7" t="n">
        <v>0</v>
      </c>
      <c r="G40" s="7" t="n">
        <v>1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1</v>
      </c>
      <c r="M40" s="7" t="n">
        <v>1</v>
      </c>
      <c r="N40" s="7" t="n">
        <v>0</v>
      </c>
      <c r="O40" s="7" t="n">
        <v>0</v>
      </c>
      <c r="P40" s="8" t="n">
        <f aca="false">IF(E40=0,0,G40/E40)</f>
        <v>0.5</v>
      </c>
      <c r="Q40" s="8" t="n">
        <f aca="false">IF(E40+N40=0,0,(G40+N40)/(E40+N40))</f>
        <v>0.5</v>
      </c>
      <c r="R40" s="8" t="n">
        <f aca="false">IF(E40=0,0,L40/E40)</f>
        <v>0.5</v>
      </c>
      <c r="S40" s="8" t="n">
        <f aca="false">R40+Q40</f>
        <v>1</v>
      </c>
      <c r="T40" s="8" t="n">
        <f aca="false">R40-P40</f>
        <v>0</v>
      </c>
    </row>
    <row r="41" customFormat="false" ht="14.25" hidden="false" customHeight="true" outlineLevel="0" collapsed="false">
      <c r="A41" s="6" t="n">
        <v>2026</v>
      </c>
      <c r="B41" s="6" t="s">
        <v>71</v>
      </c>
      <c r="C41" s="6" t="s">
        <v>91</v>
      </c>
      <c r="D41" s="7" t="n">
        <v>1</v>
      </c>
      <c r="E41" s="7" t="n">
        <v>1</v>
      </c>
      <c r="F41" s="7" t="n">
        <v>0</v>
      </c>
      <c r="G41" s="7" t="n">
        <v>1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1</v>
      </c>
      <c r="M41" s="7" t="n">
        <v>0</v>
      </c>
      <c r="N41" s="7" t="n">
        <v>0</v>
      </c>
      <c r="O41" s="7" t="n">
        <v>0</v>
      </c>
      <c r="P41" s="8" t="n">
        <f aca="false">IF(E41=0,0,G41/E41)</f>
        <v>1</v>
      </c>
      <c r="Q41" s="8" t="n">
        <f aca="false">IF(E41+N41=0,0,(G41+N41)/(E41+N41))</f>
        <v>1</v>
      </c>
      <c r="R41" s="8" t="n">
        <f aca="false">IF(E41=0,0,L41/E41)</f>
        <v>1</v>
      </c>
      <c r="S41" s="8" t="n">
        <f aca="false">R41+Q41</f>
        <v>2</v>
      </c>
      <c r="T41" s="8" t="n">
        <f aca="false">R41-P41</f>
        <v>0</v>
      </c>
    </row>
    <row r="42" customFormat="false" ht="14.25" hidden="false" customHeight="true" outlineLevel="0" collapsed="false">
      <c r="A42" s="6" t="n">
        <v>2026</v>
      </c>
      <c r="B42" s="6" t="s">
        <v>71</v>
      </c>
      <c r="C42" s="6" t="s">
        <v>92</v>
      </c>
      <c r="D42" s="7" t="n">
        <v>9</v>
      </c>
      <c r="E42" s="7" t="n">
        <v>23</v>
      </c>
      <c r="F42" s="7" t="n">
        <v>2</v>
      </c>
      <c r="G42" s="7" t="n">
        <v>4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4</v>
      </c>
      <c r="M42" s="7" t="n">
        <v>0</v>
      </c>
      <c r="N42" s="7" t="n">
        <v>1</v>
      </c>
      <c r="O42" s="7" t="n">
        <v>0</v>
      </c>
      <c r="P42" s="8" t="n">
        <f aca="false">IF(E42=0,0,G42/E42)</f>
        <v>0.173913043478261</v>
      </c>
      <c r="Q42" s="8" t="n">
        <f aca="false">IF(E42+N42=0,0,(G42+N42)/(E42+N42))</f>
        <v>0.208333333333333</v>
      </c>
      <c r="R42" s="8" t="n">
        <f aca="false">IF(E42=0,0,L42/E42)</f>
        <v>0.173913043478261</v>
      </c>
      <c r="S42" s="8" t="n">
        <f aca="false">R42+Q42</f>
        <v>0.382246376811594</v>
      </c>
      <c r="T42" s="8" t="n">
        <f aca="false">R42-P42</f>
        <v>0</v>
      </c>
    </row>
    <row r="43" customFormat="false" ht="14.25" hidden="false" customHeight="true" outlineLevel="0" collapsed="false">
      <c r="A43" s="6" t="n">
        <v>2026</v>
      </c>
      <c r="B43" s="6" t="s">
        <v>71</v>
      </c>
      <c r="C43" s="6" t="s">
        <v>93</v>
      </c>
      <c r="D43" s="7" t="n">
        <v>1</v>
      </c>
      <c r="E43" s="7" t="n">
        <v>2</v>
      </c>
      <c r="F43" s="7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 t="n">
        <v>1</v>
      </c>
      <c r="P43" s="8" t="n">
        <f aca="false">IF(E43=0,0,G43/E43)</f>
        <v>0</v>
      </c>
      <c r="Q43" s="8" t="n">
        <f aca="false">IF(E43+N43=0,0,(G43+N43)/(E43+N43))</f>
        <v>0</v>
      </c>
      <c r="R43" s="8" t="n">
        <f aca="false">IF(E43=0,0,L43/E43)</f>
        <v>0</v>
      </c>
      <c r="S43" s="8" t="n">
        <f aca="false">R43+Q43</f>
        <v>0</v>
      </c>
      <c r="T43" s="8" t="n">
        <f aca="false">R43-P43</f>
        <v>0</v>
      </c>
    </row>
    <row r="44" customFormat="false" ht="14.25" hidden="false" customHeight="true" outlineLevel="0" collapsed="false">
      <c r="A44" s="6" t="n">
        <v>2026</v>
      </c>
      <c r="B44" s="6" t="s">
        <v>71</v>
      </c>
      <c r="C44" s="6" t="s">
        <v>94</v>
      </c>
      <c r="D44" s="7" t="n">
        <v>2</v>
      </c>
      <c r="E44" s="7" t="n">
        <v>3</v>
      </c>
      <c r="F44" s="7" t="n">
        <v>0</v>
      </c>
      <c r="G44" s="7" t="n">
        <v>0</v>
      </c>
      <c r="H44" s="7" t="n">
        <v>0</v>
      </c>
      <c r="I44" s="7" t="n">
        <v>0</v>
      </c>
      <c r="J44" s="7" t="n">
        <v>0</v>
      </c>
      <c r="K44" s="7" t="n">
        <v>0</v>
      </c>
      <c r="L44" s="7" t="n">
        <v>0</v>
      </c>
      <c r="M44" s="7" t="n">
        <v>0</v>
      </c>
      <c r="N44" s="7" t="n">
        <v>0</v>
      </c>
      <c r="O44" s="7" t="n">
        <v>0</v>
      </c>
      <c r="P44" s="8" t="n">
        <f aca="false">IF(E44=0,0,G44/E44)</f>
        <v>0</v>
      </c>
      <c r="Q44" s="8" t="n">
        <f aca="false">IF(E44+N44=0,0,(G44+N44)/(E44+N44))</f>
        <v>0</v>
      </c>
      <c r="R44" s="8" t="n">
        <f aca="false">IF(E44=0,0,L44/E44)</f>
        <v>0</v>
      </c>
      <c r="S44" s="8" t="n">
        <f aca="false">R44+Q44</f>
        <v>0</v>
      </c>
      <c r="T44" s="8" t="n">
        <f aca="false">R44-P44</f>
        <v>0</v>
      </c>
    </row>
    <row r="45" customFormat="false" ht="14.25" hidden="false" customHeight="true" outlineLevel="0" collapsed="false">
      <c r="A45" s="6" t="n">
        <v>2026</v>
      </c>
      <c r="B45" s="6" t="s">
        <v>71</v>
      </c>
      <c r="C45" s="6" t="s">
        <v>95</v>
      </c>
      <c r="D45" s="7" t="n">
        <v>1</v>
      </c>
      <c r="E45" s="7" t="n">
        <v>4</v>
      </c>
      <c r="F45" s="7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8" t="n">
        <f aca="false">IF(E45=0,0,G45/E45)</f>
        <v>0</v>
      </c>
      <c r="Q45" s="8" t="n">
        <f aca="false">IF(E45+N45=0,0,(G45+N45)/(E45+N45))</f>
        <v>0</v>
      </c>
      <c r="R45" s="8" t="n">
        <f aca="false">IF(E45=0,0,L45/E45)</f>
        <v>0</v>
      </c>
      <c r="S45" s="8" t="n">
        <f aca="false">R45+Q45</f>
        <v>0</v>
      </c>
      <c r="T45" s="8" t="n">
        <f aca="false">R45-P45</f>
        <v>0</v>
      </c>
    </row>
    <row r="46" customFormat="false" ht="14.25" hidden="false" customHeight="true" outlineLevel="0" collapsed="false">
      <c r="A46" s="6" t="n">
        <v>2026</v>
      </c>
      <c r="B46" s="6" t="s">
        <v>71</v>
      </c>
      <c r="C46" s="6" t="s">
        <v>96</v>
      </c>
      <c r="D46" s="7" t="n">
        <v>1</v>
      </c>
      <c r="E46" s="7" t="n">
        <v>2</v>
      </c>
      <c r="F46" s="7" t="n">
        <v>1</v>
      </c>
      <c r="G46" s="7" t="n">
        <v>1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1</v>
      </c>
      <c r="M46" s="7" t="n">
        <v>0</v>
      </c>
      <c r="N46" s="7" t="n">
        <v>0</v>
      </c>
      <c r="O46" s="7" t="n">
        <v>0</v>
      </c>
      <c r="P46" s="8" t="n">
        <f aca="false">IF(E46=0,0,G46/E46)</f>
        <v>0.5</v>
      </c>
      <c r="Q46" s="8" t="n">
        <f aca="false">IF(E46+N46=0,0,(G46+N46)/(E46+N46))</f>
        <v>0.5</v>
      </c>
      <c r="R46" s="8" t="n">
        <f aca="false">IF(E46=0,0,L46/E46)</f>
        <v>0.5</v>
      </c>
      <c r="S46" s="8" t="n">
        <f aca="false">R46+Q46</f>
        <v>1</v>
      </c>
      <c r="T46" s="8" t="n">
        <f aca="false">R46-P46</f>
        <v>0</v>
      </c>
    </row>
    <row r="47" customFormat="false" ht="14.25" hidden="false" customHeight="true" outlineLevel="0" collapsed="false">
      <c r="A47" s="6" t="n">
        <v>2026</v>
      </c>
      <c r="B47" s="6" t="s">
        <v>97</v>
      </c>
      <c r="C47" s="6" t="s">
        <v>98</v>
      </c>
      <c r="D47" s="7" t="n">
        <v>12</v>
      </c>
      <c r="E47" s="7" t="n">
        <v>41</v>
      </c>
      <c r="F47" s="7" t="n">
        <v>10</v>
      </c>
      <c r="G47" s="7" t="n">
        <v>15</v>
      </c>
      <c r="H47" s="7" t="n">
        <v>0</v>
      </c>
      <c r="I47" s="7" t="n">
        <v>0</v>
      </c>
      <c r="J47" s="7" t="n">
        <v>4</v>
      </c>
      <c r="K47" s="7" t="n">
        <v>4</v>
      </c>
      <c r="L47" s="7" t="n">
        <v>27</v>
      </c>
      <c r="M47" s="7" t="n">
        <v>9</v>
      </c>
      <c r="N47" s="7" t="n">
        <v>1</v>
      </c>
      <c r="O47" s="7" t="n">
        <v>1</v>
      </c>
      <c r="P47" s="8" t="n">
        <f aca="false">IF(E47=0,0,G47/E47)</f>
        <v>0.365853658536585</v>
      </c>
      <c r="Q47" s="8" t="n">
        <f aca="false">IF(E47+N47=0,0,(G47+N47)/(E47+N47))</f>
        <v>0.380952380952381</v>
      </c>
      <c r="R47" s="8" t="n">
        <f aca="false">IF(E47=0,0,L47/E47)</f>
        <v>0.658536585365854</v>
      </c>
      <c r="S47" s="8" t="n">
        <f aca="false">R47+Q47</f>
        <v>1.03948896631823</v>
      </c>
      <c r="T47" s="8" t="n">
        <f aca="false">R47-P47</f>
        <v>0.292682926829268</v>
      </c>
    </row>
    <row r="48" customFormat="false" ht="14.25" hidden="false" customHeight="true" outlineLevel="0" collapsed="false">
      <c r="A48" s="6" t="n">
        <v>2026</v>
      </c>
      <c r="B48" s="6" t="s">
        <v>97</v>
      </c>
      <c r="C48" s="6" t="s">
        <v>99</v>
      </c>
      <c r="D48" s="7" t="n">
        <v>11</v>
      </c>
      <c r="E48" s="7" t="n">
        <v>37</v>
      </c>
      <c r="F48" s="7" t="n">
        <v>12</v>
      </c>
      <c r="G48" s="7" t="n">
        <v>16</v>
      </c>
      <c r="H48" s="7" t="n">
        <v>3</v>
      </c>
      <c r="I48" s="7" t="n">
        <v>0</v>
      </c>
      <c r="J48" s="7" t="n">
        <v>0</v>
      </c>
      <c r="K48" s="7" t="n">
        <v>3</v>
      </c>
      <c r="L48" s="7" t="n">
        <v>19</v>
      </c>
      <c r="M48" s="7" t="n">
        <v>1</v>
      </c>
      <c r="N48" s="7" t="n">
        <v>3</v>
      </c>
      <c r="O48" s="7" t="n">
        <v>4</v>
      </c>
      <c r="P48" s="8" t="n">
        <f aca="false">IF(E48=0,0,G48/E48)</f>
        <v>0.432432432432432</v>
      </c>
      <c r="Q48" s="8" t="n">
        <f aca="false">IF(E48+N48=0,0,(G48+N48)/(E48+N48))</f>
        <v>0.475</v>
      </c>
      <c r="R48" s="8" t="n">
        <f aca="false">IF(E48=0,0,L48/E48)</f>
        <v>0.513513513513514</v>
      </c>
      <c r="S48" s="8" t="n">
        <f aca="false">R48+Q48</f>
        <v>0.988513513513514</v>
      </c>
      <c r="T48" s="8" t="n">
        <f aca="false">R48-P48</f>
        <v>0.081081081081081</v>
      </c>
    </row>
    <row r="49" customFormat="false" ht="14.25" hidden="false" customHeight="true" outlineLevel="0" collapsed="false">
      <c r="A49" s="6" t="n">
        <v>2026</v>
      </c>
      <c r="B49" s="6" t="s">
        <v>97</v>
      </c>
      <c r="C49" s="6" t="s">
        <v>100</v>
      </c>
      <c r="D49" s="7" t="n">
        <v>12</v>
      </c>
      <c r="E49" s="7" t="n">
        <v>36</v>
      </c>
      <c r="F49" s="7" t="n">
        <v>2</v>
      </c>
      <c r="G49" s="7" t="n">
        <v>11</v>
      </c>
      <c r="H49" s="7" t="n">
        <v>2</v>
      </c>
      <c r="I49" s="7" t="n">
        <v>0</v>
      </c>
      <c r="J49" s="7" t="n">
        <v>2</v>
      </c>
      <c r="K49" s="7" t="n">
        <v>4</v>
      </c>
      <c r="L49" s="7" t="n">
        <v>19</v>
      </c>
      <c r="M49" s="7" t="n">
        <v>11</v>
      </c>
      <c r="N49" s="7" t="n">
        <v>2</v>
      </c>
      <c r="O49" s="7" t="n">
        <v>3</v>
      </c>
      <c r="P49" s="8" t="n">
        <f aca="false">IF(E49=0,0,G49/E49)</f>
        <v>0.305555555555556</v>
      </c>
      <c r="Q49" s="8" t="n">
        <f aca="false">IF(E49+N49=0,0,(G49+N49)/(E49+N49))</f>
        <v>0.342105263157895</v>
      </c>
      <c r="R49" s="8" t="n">
        <f aca="false">IF(E49=0,0,L49/E49)</f>
        <v>0.527777777777778</v>
      </c>
      <c r="S49" s="8" t="n">
        <f aca="false">R49+Q49</f>
        <v>0.869883040935673</v>
      </c>
      <c r="T49" s="8" t="n">
        <f aca="false">R49-P49</f>
        <v>0.222222222222222</v>
      </c>
    </row>
    <row r="50" customFormat="false" ht="14.25" hidden="false" customHeight="true" outlineLevel="0" collapsed="false">
      <c r="A50" s="6" t="n">
        <v>2026</v>
      </c>
      <c r="B50" s="6" t="s">
        <v>97</v>
      </c>
      <c r="C50" s="6" t="s">
        <v>101</v>
      </c>
      <c r="D50" s="7" t="n">
        <v>9</v>
      </c>
      <c r="E50" s="7" t="n">
        <v>23</v>
      </c>
      <c r="F50" s="7" t="n">
        <v>5</v>
      </c>
      <c r="G50" s="7" t="n">
        <v>5</v>
      </c>
      <c r="H50" s="7" t="n">
        <v>1</v>
      </c>
      <c r="I50" s="7" t="n">
        <v>0</v>
      </c>
      <c r="J50" s="7" t="n">
        <v>1</v>
      </c>
      <c r="K50" s="7" t="n">
        <v>2</v>
      </c>
      <c r="L50" s="7" t="n">
        <v>9</v>
      </c>
      <c r="M50" s="7" t="n">
        <v>6</v>
      </c>
      <c r="N50" s="7" t="n">
        <v>7</v>
      </c>
      <c r="O50" s="7" t="n">
        <v>0</v>
      </c>
      <c r="P50" s="8" t="n">
        <f aca="false">IF(E50=0,0,G50/E50)</f>
        <v>0.217391304347826</v>
      </c>
      <c r="Q50" s="8" t="n">
        <f aca="false">IF(E50+N50=0,0,(G50+N50)/(E50+N50))</f>
        <v>0.4</v>
      </c>
      <c r="R50" s="8" t="n">
        <f aca="false">IF(E50=0,0,L50/E50)</f>
        <v>0.391304347826087</v>
      </c>
      <c r="S50" s="8" t="n">
        <f aca="false">R50+Q50</f>
        <v>0.791304347826087</v>
      </c>
      <c r="T50" s="8" t="n">
        <f aca="false">R50-P50</f>
        <v>0.173913043478261</v>
      </c>
    </row>
    <row r="51" customFormat="false" ht="14.25" hidden="false" customHeight="true" outlineLevel="0" collapsed="false">
      <c r="A51" s="6" t="n">
        <v>2026</v>
      </c>
      <c r="B51" s="6" t="s">
        <v>97</v>
      </c>
      <c r="C51" s="6" t="s">
        <v>102</v>
      </c>
      <c r="D51" s="7" t="n">
        <v>11</v>
      </c>
      <c r="E51" s="7" t="n">
        <v>31</v>
      </c>
      <c r="F51" s="7" t="n">
        <v>1</v>
      </c>
      <c r="G51" s="7" t="n">
        <v>8</v>
      </c>
      <c r="H51" s="7" t="n">
        <v>1</v>
      </c>
      <c r="I51" s="7" t="n">
        <v>0</v>
      </c>
      <c r="J51" s="7" t="n">
        <v>0</v>
      </c>
      <c r="K51" s="7" t="n">
        <v>1</v>
      </c>
      <c r="L51" s="7" t="n">
        <v>9</v>
      </c>
      <c r="M51" s="7" t="n">
        <v>1</v>
      </c>
      <c r="N51" s="7" t="n">
        <v>1</v>
      </c>
      <c r="O51" s="7" t="n">
        <v>1</v>
      </c>
      <c r="P51" s="8" t="n">
        <f aca="false">IF(E51=0,0,G51/E51)</f>
        <v>0.258064516129032</v>
      </c>
      <c r="Q51" s="8" t="n">
        <f aca="false">IF(E51+N51=0,0,(G51+N51)/(E51+N51))</f>
        <v>0.28125</v>
      </c>
      <c r="R51" s="8" t="n">
        <f aca="false">IF(E51=0,0,L51/E51)</f>
        <v>0.290322580645161</v>
      </c>
      <c r="S51" s="8" t="n">
        <f aca="false">R51+Q51</f>
        <v>0.571572580645161</v>
      </c>
      <c r="T51" s="8" t="n">
        <f aca="false">R51-P51</f>
        <v>0.0322580645161291</v>
      </c>
    </row>
    <row r="52" customFormat="false" ht="14.25" hidden="false" customHeight="true" outlineLevel="0" collapsed="false">
      <c r="A52" s="6" t="n">
        <v>2026</v>
      </c>
      <c r="B52" s="6" t="s">
        <v>97</v>
      </c>
      <c r="C52" s="6" t="s">
        <v>103</v>
      </c>
      <c r="D52" s="7" t="n">
        <v>10</v>
      </c>
      <c r="E52" s="7" t="n">
        <v>28</v>
      </c>
      <c r="F52" s="7" t="n">
        <v>4</v>
      </c>
      <c r="G52" s="7" t="n">
        <v>13</v>
      </c>
      <c r="H52" s="7" t="n">
        <v>3</v>
      </c>
      <c r="I52" s="7" t="n">
        <v>0</v>
      </c>
      <c r="J52" s="7" t="n">
        <v>2</v>
      </c>
      <c r="K52" s="7" t="n">
        <v>5</v>
      </c>
      <c r="L52" s="7" t="n">
        <v>22</v>
      </c>
      <c r="M52" s="7" t="n">
        <v>5</v>
      </c>
      <c r="N52" s="7" t="n">
        <v>4</v>
      </c>
      <c r="O52" s="7" t="n">
        <v>0</v>
      </c>
      <c r="P52" s="8" t="n">
        <f aca="false">IF(E52=0,0,G52/E52)</f>
        <v>0.464285714285714</v>
      </c>
      <c r="Q52" s="8" t="n">
        <f aca="false">IF(E52+N52=0,0,(G52+N52)/(E52+N52))</f>
        <v>0.53125</v>
      </c>
      <c r="R52" s="8" t="n">
        <f aca="false">IF(E52=0,0,L52/E52)</f>
        <v>0.785714285714286</v>
      </c>
      <c r="S52" s="8" t="n">
        <f aca="false">R52+Q52</f>
        <v>1.31696428571429</v>
      </c>
      <c r="T52" s="8" t="n">
        <f aca="false">R52-P52</f>
        <v>0.321428571428571</v>
      </c>
    </row>
    <row r="53" customFormat="false" ht="14.25" hidden="false" customHeight="true" outlineLevel="0" collapsed="false">
      <c r="A53" s="6" t="n">
        <v>2026</v>
      </c>
      <c r="B53" s="6" t="s">
        <v>97</v>
      </c>
      <c r="C53" s="6" t="s">
        <v>104</v>
      </c>
      <c r="D53" s="7" t="n">
        <v>3</v>
      </c>
      <c r="E53" s="7" t="n">
        <v>7</v>
      </c>
      <c r="F53" s="7" t="n">
        <v>0</v>
      </c>
      <c r="G53" s="7" t="n">
        <v>2</v>
      </c>
      <c r="H53" s="7" t="n">
        <v>1</v>
      </c>
      <c r="I53" s="7" t="n">
        <v>0</v>
      </c>
      <c r="J53" s="7" t="n">
        <v>0</v>
      </c>
      <c r="K53" s="7" t="n">
        <v>1</v>
      </c>
      <c r="L53" s="7" t="n">
        <v>3</v>
      </c>
      <c r="M53" s="7" t="n">
        <v>0</v>
      </c>
      <c r="N53" s="7" t="n">
        <v>1</v>
      </c>
      <c r="O53" s="7" t="n">
        <v>0</v>
      </c>
      <c r="P53" s="8" t="n">
        <f aca="false">IF(E53=0,0,G53/E53)</f>
        <v>0.285714285714286</v>
      </c>
      <c r="Q53" s="8" t="n">
        <f aca="false">IF(E53+N53=0,0,(G53+N53)/(E53+N53))</f>
        <v>0.375</v>
      </c>
      <c r="R53" s="8" t="n">
        <f aca="false">IF(E53=0,0,L53/E53)</f>
        <v>0.428571428571429</v>
      </c>
      <c r="S53" s="8" t="n">
        <f aca="false">R53+Q53</f>
        <v>0.803571428571429</v>
      </c>
      <c r="T53" s="8" t="n">
        <f aca="false">R53-P53</f>
        <v>0.142857142857143</v>
      </c>
    </row>
    <row r="54" customFormat="false" ht="14.25" hidden="false" customHeight="true" outlineLevel="0" collapsed="false">
      <c r="A54" s="6" t="n">
        <v>2026</v>
      </c>
      <c r="B54" s="6" t="s">
        <v>97</v>
      </c>
      <c r="C54" s="6" t="s">
        <v>105</v>
      </c>
      <c r="D54" s="7" t="n">
        <v>12</v>
      </c>
      <c r="E54" s="7" t="n">
        <v>34</v>
      </c>
      <c r="F54" s="7" t="n">
        <v>2</v>
      </c>
      <c r="G54" s="7" t="n">
        <v>7</v>
      </c>
      <c r="H54" s="7" t="n">
        <v>0</v>
      </c>
      <c r="I54" s="7" t="n">
        <v>0</v>
      </c>
      <c r="J54" s="7" t="n">
        <v>0</v>
      </c>
      <c r="K54" s="7" t="n">
        <v>0</v>
      </c>
      <c r="L54" s="7" t="n">
        <v>7</v>
      </c>
      <c r="M54" s="7" t="n">
        <v>1</v>
      </c>
      <c r="N54" s="7" t="n">
        <v>2</v>
      </c>
      <c r="O54" s="7" t="n">
        <v>2</v>
      </c>
      <c r="P54" s="8" t="n">
        <f aca="false">IF(E54=0,0,G54/E54)</f>
        <v>0.205882352941176</v>
      </c>
      <c r="Q54" s="8" t="n">
        <f aca="false">IF(E54+N54=0,0,(G54+N54)/(E54+N54))</f>
        <v>0.25</v>
      </c>
      <c r="R54" s="8" t="n">
        <f aca="false">IF(E54=0,0,L54/E54)</f>
        <v>0.205882352941176</v>
      </c>
      <c r="S54" s="8" t="n">
        <f aca="false">R54+Q54</f>
        <v>0.455882352941176</v>
      </c>
      <c r="T54" s="8" t="n">
        <f aca="false">R54-P54</f>
        <v>0</v>
      </c>
    </row>
    <row r="55" customFormat="false" ht="14.25" hidden="false" customHeight="true" outlineLevel="0" collapsed="false">
      <c r="A55" s="6" t="n">
        <v>2026</v>
      </c>
      <c r="B55" s="6" t="s">
        <v>97</v>
      </c>
      <c r="C55" s="6" t="s">
        <v>106</v>
      </c>
      <c r="D55" s="7" t="n">
        <v>1</v>
      </c>
      <c r="E55" s="7" t="n">
        <v>3</v>
      </c>
      <c r="F55" s="7" t="n">
        <v>2</v>
      </c>
      <c r="G55" s="7" t="n">
        <v>2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2</v>
      </c>
      <c r="M55" s="7" t="n">
        <v>1</v>
      </c>
      <c r="N55" s="7" t="n">
        <v>1</v>
      </c>
      <c r="O55" s="7" t="n">
        <v>0</v>
      </c>
      <c r="P55" s="8" t="n">
        <f aca="false">IF(E55=0,0,G55/E55)</f>
        <v>0.666666666666667</v>
      </c>
      <c r="Q55" s="8" t="n">
        <f aca="false">IF(E55+N55=0,0,(G55+N55)/(E55+N55))</f>
        <v>0.75</v>
      </c>
      <c r="R55" s="8" t="n">
        <f aca="false">IF(E55=0,0,L55/E55)</f>
        <v>0.666666666666667</v>
      </c>
      <c r="S55" s="8" t="n">
        <f aca="false">R55+Q55</f>
        <v>1.41666666666667</v>
      </c>
      <c r="T55" s="8" t="n">
        <f aca="false">R55-P55</f>
        <v>0</v>
      </c>
    </row>
    <row r="56" customFormat="false" ht="14.25" hidden="false" customHeight="true" outlineLevel="0" collapsed="false">
      <c r="A56" s="6" t="n">
        <v>2026</v>
      </c>
      <c r="B56" s="6" t="s">
        <v>97</v>
      </c>
      <c r="C56" s="6" t="s">
        <v>107</v>
      </c>
      <c r="D56" s="7" t="n">
        <v>8</v>
      </c>
      <c r="E56" s="7" t="n">
        <v>24</v>
      </c>
      <c r="F56" s="7" t="n">
        <v>1</v>
      </c>
      <c r="G56" s="7" t="n">
        <v>5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5</v>
      </c>
      <c r="M56" s="7" t="n">
        <v>2</v>
      </c>
      <c r="N56" s="7" t="n">
        <v>0</v>
      </c>
      <c r="O56" s="7" t="n">
        <v>2</v>
      </c>
      <c r="P56" s="8" t="n">
        <f aca="false">IF(E56=0,0,G56/E56)</f>
        <v>0.208333333333333</v>
      </c>
      <c r="Q56" s="8" t="n">
        <f aca="false">IF(E56+N56=0,0,(G56+N56)/(E56+N56))</f>
        <v>0.208333333333333</v>
      </c>
      <c r="R56" s="8" t="n">
        <f aca="false">IF(E56=0,0,L56/E56)</f>
        <v>0.208333333333333</v>
      </c>
      <c r="S56" s="8" t="n">
        <f aca="false">R56+Q56</f>
        <v>0.416666666666667</v>
      </c>
      <c r="T56" s="8" t="n">
        <f aca="false">R56-P56</f>
        <v>0</v>
      </c>
    </row>
    <row r="57" customFormat="false" ht="14.25" hidden="false" customHeight="true" outlineLevel="0" collapsed="false">
      <c r="A57" s="6" t="n">
        <v>2026</v>
      </c>
      <c r="B57" s="6" t="s">
        <v>97</v>
      </c>
      <c r="C57" s="6" t="s">
        <v>108</v>
      </c>
      <c r="D57" s="7" t="n">
        <v>10</v>
      </c>
      <c r="E57" s="7" t="n">
        <v>26</v>
      </c>
      <c r="F57" s="7" t="n">
        <v>0</v>
      </c>
      <c r="G57" s="7" t="n">
        <v>4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4</v>
      </c>
      <c r="M57" s="7" t="n">
        <v>3</v>
      </c>
      <c r="N57" s="7" t="n">
        <v>3</v>
      </c>
      <c r="O57" s="7" t="n">
        <v>5</v>
      </c>
      <c r="P57" s="8" t="n">
        <f aca="false">IF(E57=0,0,G57/E57)</f>
        <v>0.153846153846154</v>
      </c>
      <c r="Q57" s="8" t="n">
        <f aca="false">IF(E57+N57=0,0,(G57+N57)/(E57+N57))</f>
        <v>0.241379310344828</v>
      </c>
      <c r="R57" s="8" t="n">
        <f aca="false">IF(E57=0,0,L57/E57)</f>
        <v>0.153846153846154</v>
      </c>
      <c r="S57" s="8" t="n">
        <f aca="false">R57+Q57</f>
        <v>0.395225464190982</v>
      </c>
      <c r="T57" s="8" t="n">
        <f aca="false">R57-P57</f>
        <v>0</v>
      </c>
    </row>
    <row r="58" customFormat="false" ht="14.25" hidden="false" customHeight="true" outlineLevel="0" collapsed="false">
      <c r="A58" s="6" t="n">
        <v>2026</v>
      </c>
      <c r="B58" s="6" t="s">
        <v>97</v>
      </c>
      <c r="C58" s="6" t="s">
        <v>109</v>
      </c>
      <c r="D58" s="7" t="n">
        <v>3</v>
      </c>
      <c r="E58" s="7" t="n">
        <v>8</v>
      </c>
      <c r="F58" s="7" t="n">
        <v>1</v>
      </c>
      <c r="G58" s="7" t="n">
        <v>1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1</v>
      </c>
      <c r="M58" s="7" t="n">
        <v>0</v>
      </c>
      <c r="N58" s="7" t="n">
        <v>0</v>
      </c>
      <c r="O58" s="7" t="n">
        <v>0</v>
      </c>
      <c r="P58" s="8" t="n">
        <f aca="false">IF(E58=0,0,G58/E58)</f>
        <v>0.125</v>
      </c>
      <c r="Q58" s="8" t="n">
        <f aca="false">IF(E58+N58=0,0,(G58+N58)/(E58+N58))</f>
        <v>0.125</v>
      </c>
      <c r="R58" s="8" t="n">
        <f aca="false">IF(E58=0,0,L58/E58)</f>
        <v>0.125</v>
      </c>
      <c r="S58" s="8" t="n">
        <f aca="false">R58+Q58</f>
        <v>0.25</v>
      </c>
      <c r="T58" s="8" t="n">
        <f aca="false">R58-P58</f>
        <v>0</v>
      </c>
    </row>
    <row r="59" customFormat="false" ht="14.25" hidden="false" customHeight="true" outlineLevel="0" collapsed="false">
      <c r="A59" s="6" t="n">
        <v>2026</v>
      </c>
      <c r="B59" s="6" t="s">
        <v>97</v>
      </c>
      <c r="C59" s="6" t="s">
        <v>110</v>
      </c>
      <c r="D59" s="7" t="n">
        <v>3</v>
      </c>
      <c r="E59" s="7" t="n">
        <v>8</v>
      </c>
      <c r="F59" s="7" t="n">
        <v>0</v>
      </c>
      <c r="G59" s="7" t="n">
        <v>1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1</v>
      </c>
      <c r="M59" s="7" t="n">
        <v>0</v>
      </c>
      <c r="N59" s="7" t="n">
        <v>0</v>
      </c>
      <c r="O59" s="7" t="n">
        <v>0</v>
      </c>
      <c r="P59" s="8" t="n">
        <f aca="false">IF(E59=0,0,G59/E59)</f>
        <v>0.125</v>
      </c>
      <c r="Q59" s="8" t="n">
        <f aca="false">IF(E59+N59=0,0,(G59+N59)/(E59+N59))</f>
        <v>0.125</v>
      </c>
      <c r="R59" s="8" t="n">
        <f aca="false">IF(E59=0,0,L59/E59)</f>
        <v>0.125</v>
      </c>
      <c r="S59" s="8" t="n">
        <f aca="false">R59+Q59</f>
        <v>0.25</v>
      </c>
      <c r="T59" s="8" t="n">
        <f aca="false">R59-P59</f>
        <v>0</v>
      </c>
    </row>
    <row r="60" customFormat="false" ht="14.25" hidden="false" customHeight="true" outlineLevel="0" collapsed="false">
      <c r="A60" s="6" t="n">
        <v>2026</v>
      </c>
      <c r="B60" s="6" t="s">
        <v>97</v>
      </c>
      <c r="C60" s="6" t="s">
        <v>111</v>
      </c>
      <c r="D60" s="7" t="n">
        <v>4</v>
      </c>
      <c r="E60" s="7" t="n">
        <v>12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7" t="n">
        <v>0</v>
      </c>
      <c r="N60" s="7" t="n">
        <v>0</v>
      </c>
      <c r="O60" s="7" t="n">
        <v>0</v>
      </c>
      <c r="P60" s="8" t="n">
        <f aca="false">IF(E60=0,0,G60/E60)</f>
        <v>0</v>
      </c>
      <c r="Q60" s="8" t="n">
        <f aca="false">IF(E60+N60=0,0,(G60+N60)/(E60+N60))</f>
        <v>0</v>
      </c>
      <c r="R60" s="8" t="n">
        <f aca="false">IF(E60=0,0,L60/E60)</f>
        <v>0</v>
      </c>
      <c r="S60" s="8" t="n">
        <f aca="false">R60+Q60</f>
        <v>0</v>
      </c>
      <c r="T60" s="8" t="n">
        <f aca="false">R60-P60</f>
        <v>0</v>
      </c>
    </row>
    <row r="61" customFormat="false" ht="14.25" hidden="false" customHeight="true" outlineLevel="0" collapsed="false">
      <c r="A61" s="6" t="n">
        <v>2026</v>
      </c>
      <c r="B61" s="6" t="s">
        <v>97</v>
      </c>
      <c r="C61" s="6" t="s">
        <v>112</v>
      </c>
      <c r="D61" s="7" t="n">
        <v>2</v>
      </c>
      <c r="E61" s="7" t="n">
        <v>3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  <c r="N61" s="7" t="n">
        <v>0</v>
      </c>
      <c r="O61" s="7" t="n">
        <v>0</v>
      </c>
      <c r="P61" s="8" t="n">
        <f aca="false">IF(E61=0,0,G61/E61)</f>
        <v>0</v>
      </c>
      <c r="Q61" s="8" t="n">
        <f aca="false">IF(E61+N61=0,0,(G61+N61)/(E61+N61))</f>
        <v>0</v>
      </c>
      <c r="R61" s="8" t="n">
        <f aca="false">IF(E61=0,0,L61/E61)</f>
        <v>0</v>
      </c>
      <c r="S61" s="8" t="n">
        <f aca="false">R61+Q61</f>
        <v>0</v>
      </c>
      <c r="T61" s="8" t="n">
        <f aca="false">R61-P61</f>
        <v>0</v>
      </c>
    </row>
    <row r="62" customFormat="false" ht="14.25" hidden="false" customHeight="true" outlineLevel="0" collapsed="false">
      <c r="A62" s="6" t="n">
        <v>2026</v>
      </c>
      <c r="B62" s="6" t="s">
        <v>97</v>
      </c>
      <c r="C62" s="6" t="s">
        <v>113</v>
      </c>
      <c r="D62" s="7" t="n">
        <v>1</v>
      </c>
      <c r="E62" s="7" t="n">
        <v>1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7" t="n">
        <v>0</v>
      </c>
      <c r="N62" s="7" t="n">
        <v>0</v>
      </c>
      <c r="O62" s="7" t="n">
        <v>0</v>
      </c>
      <c r="P62" s="8" t="n">
        <f aca="false">IF(E62=0,0,G62/E62)</f>
        <v>0</v>
      </c>
      <c r="Q62" s="8" t="n">
        <f aca="false">IF(E62+N62=0,0,(G62+N62)/(E62+N62))</f>
        <v>0</v>
      </c>
      <c r="R62" s="8" t="n">
        <f aca="false">IF(E62=0,0,L62/E62)</f>
        <v>0</v>
      </c>
      <c r="S62" s="8" t="n">
        <f aca="false">R62+Q62</f>
        <v>0</v>
      </c>
      <c r="T62" s="8" t="n">
        <f aca="false">R62-P62</f>
        <v>0</v>
      </c>
    </row>
    <row r="63" customFormat="false" ht="14.25" hidden="false" customHeight="true" outlineLevel="0" collapsed="false">
      <c r="A63" s="6" t="n">
        <v>2026</v>
      </c>
      <c r="B63" s="6" t="s">
        <v>97</v>
      </c>
      <c r="C63" s="6" t="s">
        <v>114</v>
      </c>
      <c r="D63" s="7" t="n">
        <v>1</v>
      </c>
      <c r="E63" s="7" t="n">
        <v>3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1</v>
      </c>
      <c r="P63" s="8" t="n">
        <f aca="false">IF(E63=0,0,G63/E63)</f>
        <v>0</v>
      </c>
      <c r="Q63" s="8" t="n">
        <f aca="false">IF(E63+N63=0,0,(G63+N63)/(E63+N63))</f>
        <v>0</v>
      </c>
      <c r="R63" s="8" t="n">
        <f aca="false">IF(E63=0,0,L63/E63)</f>
        <v>0</v>
      </c>
      <c r="S63" s="8" t="n">
        <f aca="false">R63+Q63</f>
        <v>0</v>
      </c>
      <c r="T63" s="8" t="n">
        <f aca="false">R63-P63</f>
        <v>0</v>
      </c>
    </row>
    <row r="64" customFormat="false" ht="14.25" hidden="false" customHeight="true" outlineLevel="0" collapsed="false">
      <c r="A64" s="6" t="n">
        <v>2026</v>
      </c>
      <c r="B64" s="6" t="s">
        <v>97</v>
      </c>
      <c r="C64" s="6" t="s">
        <v>115</v>
      </c>
      <c r="D64" s="7" t="n">
        <v>2</v>
      </c>
      <c r="E64" s="7" t="n">
        <v>5</v>
      </c>
      <c r="F64" s="7" t="n">
        <v>0</v>
      </c>
      <c r="G64" s="7" t="n">
        <v>2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2</v>
      </c>
      <c r="M64" s="7" t="n">
        <v>0</v>
      </c>
      <c r="N64" s="7" t="n">
        <v>0</v>
      </c>
      <c r="O64" s="7" t="n">
        <v>2</v>
      </c>
      <c r="P64" s="8" t="n">
        <f aca="false">IF(E64=0,0,G64/E64)</f>
        <v>0.4</v>
      </c>
      <c r="Q64" s="8" t="n">
        <f aca="false">IF(E64+N64=0,0,(G64+N64)/(E64+N64))</f>
        <v>0.4</v>
      </c>
      <c r="R64" s="8" t="n">
        <f aca="false">IF(E64=0,0,L64/E64)</f>
        <v>0.4</v>
      </c>
      <c r="S64" s="8" t="n">
        <f aca="false">R64+Q64</f>
        <v>0.8</v>
      </c>
      <c r="T64" s="8" t="n">
        <f aca="false">R64-P64</f>
        <v>0</v>
      </c>
    </row>
    <row r="65" customFormat="false" ht="14.25" hidden="false" customHeight="true" outlineLevel="0" collapsed="false">
      <c r="A65" s="6" t="n">
        <v>2026</v>
      </c>
      <c r="B65" s="6" t="s">
        <v>97</v>
      </c>
      <c r="C65" s="6" t="s">
        <v>116</v>
      </c>
      <c r="D65" s="7" t="n">
        <v>1</v>
      </c>
      <c r="E65" s="7" t="n">
        <v>1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8" t="n">
        <f aca="false">IF(E65=0,0,G65/E65)</f>
        <v>0</v>
      </c>
      <c r="Q65" s="8" t="n">
        <f aca="false">IF(E65+N65=0,0,(G65+N65)/(E65+N65))</f>
        <v>0</v>
      </c>
      <c r="R65" s="8" t="n">
        <f aca="false">IF(E65=0,0,L65/E65)</f>
        <v>0</v>
      </c>
      <c r="S65" s="8" t="n">
        <f aca="false">R65+Q65</f>
        <v>0</v>
      </c>
      <c r="T65" s="8" t="n">
        <f aca="false">R65-P65</f>
        <v>0</v>
      </c>
    </row>
    <row r="66" customFormat="false" ht="14.25" hidden="false" customHeight="true" outlineLevel="0" collapsed="false">
      <c r="A66" s="6" t="n">
        <v>2026</v>
      </c>
      <c r="B66" s="6" t="s">
        <v>97</v>
      </c>
      <c r="C66" s="6" t="s">
        <v>117</v>
      </c>
      <c r="D66" s="7" t="n">
        <v>1</v>
      </c>
      <c r="E66" s="7" t="n">
        <v>3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7" t="n">
        <v>0</v>
      </c>
      <c r="N66" s="7" t="n">
        <v>0</v>
      </c>
      <c r="O66" s="7" t="n">
        <v>1</v>
      </c>
      <c r="P66" s="8" t="n">
        <f aca="false">IF(E66=0,0,G66/E66)</f>
        <v>0</v>
      </c>
      <c r="Q66" s="8" t="n">
        <f aca="false">IF(E66+N66=0,0,(G66+N66)/(E66+N66))</f>
        <v>0</v>
      </c>
      <c r="R66" s="8" t="n">
        <f aca="false">IF(E66=0,0,L66/E66)</f>
        <v>0</v>
      </c>
      <c r="S66" s="8" t="n">
        <f aca="false">R66+Q66</f>
        <v>0</v>
      </c>
      <c r="T66" s="8" t="n">
        <f aca="false">R66-P66</f>
        <v>0</v>
      </c>
    </row>
    <row r="67" customFormat="false" ht="14.25" hidden="false" customHeight="true" outlineLevel="0" collapsed="false">
      <c r="A67" s="6" t="n">
        <v>2026</v>
      </c>
      <c r="B67" s="6" t="s">
        <v>97</v>
      </c>
      <c r="C67" s="6" t="s">
        <v>118</v>
      </c>
      <c r="D67" s="7" t="n">
        <v>1</v>
      </c>
      <c r="E67" s="7" t="n">
        <v>3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 t="n">
        <v>1</v>
      </c>
      <c r="P67" s="8" t="n">
        <f aca="false">IF(E67=0,0,G67/E67)</f>
        <v>0</v>
      </c>
      <c r="Q67" s="8" t="n">
        <f aca="false">IF(E67+N67=0,0,(G67+N67)/(E67+N67))</f>
        <v>0</v>
      </c>
      <c r="R67" s="8" t="n">
        <f aca="false">IF(E67=0,0,L67/E67)</f>
        <v>0</v>
      </c>
      <c r="S67" s="8" t="n">
        <f aca="false">R67+Q67</f>
        <v>0</v>
      </c>
      <c r="T67" s="8" t="n">
        <f aca="false">R67-P67</f>
        <v>0</v>
      </c>
    </row>
    <row r="68" customFormat="false" ht="14.25" hidden="false" customHeight="true" outlineLevel="0" collapsed="false">
      <c r="A68" s="6" t="n">
        <v>2026</v>
      </c>
      <c r="B68" s="6" t="s">
        <v>97</v>
      </c>
      <c r="C68" s="6" t="s">
        <v>119</v>
      </c>
      <c r="D68" s="7" t="n">
        <v>1</v>
      </c>
      <c r="E68" s="7" t="n">
        <v>1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1</v>
      </c>
      <c r="O68" s="7" t="n">
        <v>0</v>
      </c>
      <c r="P68" s="8" t="n">
        <f aca="false">IF(E68=0,0,G68/E68)</f>
        <v>0</v>
      </c>
      <c r="Q68" s="8" t="n">
        <f aca="false">IF(E68+N68=0,0,(G68+N68)/(E68+N68))</f>
        <v>0.5</v>
      </c>
      <c r="R68" s="8" t="n">
        <f aca="false">IF(E68=0,0,L68/E68)</f>
        <v>0</v>
      </c>
      <c r="S68" s="8" t="n">
        <f aca="false">R68+Q68</f>
        <v>0.5</v>
      </c>
      <c r="T68" s="8" t="n">
        <f aca="false">R68-P68</f>
        <v>0</v>
      </c>
    </row>
    <row r="69" customFormat="false" ht="14.25" hidden="false" customHeight="true" outlineLevel="0" collapsed="false">
      <c r="A69" s="1" t="n">
        <v>2026</v>
      </c>
      <c r="B69" s="1" t="s">
        <v>97</v>
      </c>
      <c r="C69" s="1" t="s">
        <v>120</v>
      </c>
      <c r="D69" s="1" t="n">
        <v>1</v>
      </c>
      <c r="E69" s="1" t="n">
        <v>3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f aca="false">IF(E69=0,0,G69/E69)</f>
        <v>0</v>
      </c>
      <c r="Q69" s="1" t="n">
        <f aca="false">IF(E69+N69=0,0,(G69+N69)/(E69+N69))</f>
        <v>0</v>
      </c>
      <c r="R69" s="1" t="n">
        <f aca="false">IF(E69=0,0,L69/E69)</f>
        <v>0</v>
      </c>
      <c r="S69" s="1" t="n">
        <f aca="false">R69+Q69</f>
        <v>0</v>
      </c>
      <c r="T69" s="1" t="n">
        <f aca="false">R69-P69</f>
        <v>0</v>
      </c>
    </row>
    <row r="70" customFormat="false" ht="14.25" hidden="false" customHeight="true" outlineLevel="0" collapsed="false">
      <c r="A70" s="6" t="n">
        <v>2026</v>
      </c>
      <c r="B70" s="6" t="s">
        <v>121</v>
      </c>
      <c r="C70" s="6" t="s">
        <v>122</v>
      </c>
      <c r="D70" s="7" t="n">
        <v>12</v>
      </c>
      <c r="E70" s="7" t="n">
        <v>38</v>
      </c>
      <c r="F70" s="7" t="n">
        <v>18</v>
      </c>
      <c r="G70" s="7" t="n">
        <v>23</v>
      </c>
      <c r="H70" s="7" t="n">
        <v>11</v>
      </c>
      <c r="I70" s="7" t="n">
        <v>0</v>
      </c>
      <c r="J70" s="7" t="n">
        <v>1</v>
      </c>
      <c r="K70" s="7" t="n">
        <v>12</v>
      </c>
      <c r="L70" s="7" t="n">
        <v>37</v>
      </c>
      <c r="M70" s="7" t="n">
        <v>11</v>
      </c>
      <c r="N70" s="7" t="n">
        <v>7</v>
      </c>
      <c r="O70" s="7" t="n">
        <v>0</v>
      </c>
      <c r="P70" s="8" t="n">
        <f aca="false">IF(E70=0,0,G70/E70)</f>
        <v>0.605263157894737</v>
      </c>
      <c r="Q70" s="8" t="n">
        <f aca="false">IF(E70+N70=0,0,(G70+N70)/(E70+N70))</f>
        <v>0.666666666666667</v>
      </c>
      <c r="R70" s="8" t="n">
        <f aca="false">IF(E70=0,0,L70/E70)</f>
        <v>0.973684210526316</v>
      </c>
      <c r="S70" s="8" t="n">
        <f aca="false">R70+Q70</f>
        <v>1.64035087719298</v>
      </c>
      <c r="T70" s="8" t="n">
        <f aca="false">R70-P70</f>
        <v>0.368421052631579</v>
      </c>
    </row>
    <row r="71" customFormat="false" ht="14.25" hidden="false" customHeight="true" outlineLevel="0" collapsed="false">
      <c r="A71" s="6" t="n">
        <v>2026</v>
      </c>
      <c r="B71" s="6" t="s">
        <v>121</v>
      </c>
      <c r="C71" s="6" t="s">
        <v>123</v>
      </c>
      <c r="D71" s="7" t="n">
        <v>13</v>
      </c>
      <c r="E71" s="7" t="n">
        <v>44</v>
      </c>
      <c r="F71" s="7" t="n">
        <v>16</v>
      </c>
      <c r="G71" s="7" t="n">
        <v>22</v>
      </c>
      <c r="H71" s="7" t="n">
        <v>5</v>
      </c>
      <c r="I71" s="7" t="n">
        <v>0</v>
      </c>
      <c r="J71" s="7" t="n">
        <v>7</v>
      </c>
      <c r="K71" s="7" t="n">
        <v>12</v>
      </c>
      <c r="L71" s="7" t="n">
        <v>48</v>
      </c>
      <c r="M71" s="7" t="n">
        <v>24</v>
      </c>
      <c r="N71" s="7" t="n">
        <v>4</v>
      </c>
      <c r="O71" s="7" t="n">
        <v>3</v>
      </c>
      <c r="P71" s="8" t="n">
        <f aca="false">IF(E71=0,0,G71/E71)</f>
        <v>0.5</v>
      </c>
      <c r="Q71" s="8" t="n">
        <f aca="false">IF(E71+N71=0,0,(G71+N71)/(E71+N71))</f>
        <v>0.541666666666667</v>
      </c>
      <c r="R71" s="8" t="n">
        <f aca="false">IF(E71=0,0,L71/E71)</f>
        <v>1.09090909090909</v>
      </c>
      <c r="S71" s="8" t="n">
        <f aca="false">R71+Q71</f>
        <v>1.63257575757576</v>
      </c>
      <c r="T71" s="8" t="n">
        <f aca="false">R71-P71</f>
        <v>0.590909090909091</v>
      </c>
    </row>
    <row r="72" customFormat="false" ht="14.25" hidden="false" customHeight="true" outlineLevel="0" collapsed="false">
      <c r="A72" s="6" t="n">
        <v>2026</v>
      </c>
      <c r="B72" s="6" t="s">
        <v>121</v>
      </c>
      <c r="C72" s="6" t="s">
        <v>124</v>
      </c>
      <c r="D72" s="7" t="n">
        <v>7</v>
      </c>
      <c r="E72" s="7" t="n">
        <v>23</v>
      </c>
      <c r="F72" s="7" t="n">
        <v>7</v>
      </c>
      <c r="G72" s="7" t="n">
        <v>10</v>
      </c>
      <c r="H72" s="7" t="n">
        <v>6</v>
      </c>
      <c r="I72" s="7" t="n">
        <v>0</v>
      </c>
      <c r="J72" s="7" t="n">
        <v>0</v>
      </c>
      <c r="K72" s="7" t="n">
        <v>6</v>
      </c>
      <c r="L72" s="7" t="n">
        <v>16</v>
      </c>
      <c r="M72" s="7" t="n">
        <v>3</v>
      </c>
      <c r="N72" s="7" t="n">
        <v>2</v>
      </c>
      <c r="O72" s="7" t="n">
        <v>0</v>
      </c>
      <c r="P72" s="8" t="n">
        <f aca="false">IF(E72=0,0,G72/E72)</f>
        <v>0.434782608695652</v>
      </c>
      <c r="Q72" s="8" t="n">
        <f aca="false">IF(E72+N72=0,0,(G72+N72)/(E72+N72))</f>
        <v>0.48</v>
      </c>
      <c r="R72" s="8" t="n">
        <f aca="false">IF(E72=0,0,L72/E72)</f>
        <v>0.695652173913044</v>
      </c>
      <c r="S72" s="8" t="n">
        <f aca="false">R72+Q72</f>
        <v>1.17565217391304</v>
      </c>
      <c r="T72" s="8" t="n">
        <f aca="false">R72-P72</f>
        <v>0.260869565217391</v>
      </c>
    </row>
    <row r="73" customFormat="false" ht="14.25" hidden="false" customHeight="true" outlineLevel="0" collapsed="false">
      <c r="A73" s="6" t="n">
        <v>2026</v>
      </c>
      <c r="B73" s="6" t="s">
        <v>121</v>
      </c>
      <c r="C73" s="6" t="s">
        <v>125</v>
      </c>
      <c r="D73" s="7" t="n">
        <v>14</v>
      </c>
      <c r="E73" s="7" t="n">
        <v>42</v>
      </c>
      <c r="F73" s="7" t="n">
        <v>11</v>
      </c>
      <c r="G73" s="7" t="n">
        <v>11</v>
      </c>
      <c r="H73" s="7" t="n">
        <v>1</v>
      </c>
      <c r="I73" s="7" t="n">
        <v>0</v>
      </c>
      <c r="J73" s="7" t="n">
        <v>1</v>
      </c>
      <c r="K73" s="7" t="n">
        <v>2</v>
      </c>
      <c r="L73" s="7" t="n">
        <v>15</v>
      </c>
      <c r="M73" s="7" t="n">
        <v>9</v>
      </c>
      <c r="N73" s="7" t="n">
        <v>4</v>
      </c>
      <c r="O73" s="7" t="n">
        <v>0</v>
      </c>
      <c r="P73" s="8" t="n">
        <f aca="false">IF(E73=0,0,G73/E73)</f>
        <v>0.261904761904762</v>
      </c>
      <c r="Q73" s="8" t="n">
        <f aca="false">IF(E73+N73=0,0,(G73+N73)/(E73+N73))</f>
        <v>0.326086956521739</v>
      </c>
      <c r="R73" s="8" t="n">
        <f aca="false">IF(E73=0,0,L73/E73)</f>
        <v>0.357142857142857</v>
      </c>
      <c r="S73" s="8" t="n">
        <f aca="false">R73+Q73</f>
        <v>0.683229813664596</v>
      </c>
      <c r="T73" s="8" t="n">
        <f aca="false">R73-P73</f>
        <v>0.0952380952380952</v>
      </c>
    </row>
    <row r="74" customFormat="false" ht="14.25" hidden="false" customHeight="true" outlineLevel="0" collapsed="false">
      <c r="A74" s="6" t="n">
        <v>2026</v>
      </c>
      <c r="B74" s="6" t="s">
        <v>121</v>
      </c>
      <c r="C74" s="6" t="s">
        <v>126</v>
      </c>
      <c r="D74" s="7" t="n">
        <v>5</v>
      </c>
      <c r="E74" s="7" t="n">
        <v>18</v>
      </c>
      <c r="F74" s="7" t="n">
        <v>3</v>
      </c>
      <c r="G74" s="7" t="n">
        <v>7</v>
      </c>
      <c r="H74" s="7" t="n">
        <v>2</v>
      </c>
      <c r="I74" s="7" t="n">
        <v>0</v>
      </c>
      <c r="J74" s="7" t="n">
        <v>1</v>
      </c>
      <c r="K74" s="7" t="n">
        <v>3</v>
      </c>
      <c r="L74" s="7" t="n">
        <v>12</v>
      </c>
      <c r="M74" s="7" t="n">
        <v>6</v>
      </c>
      <c r="N74" s="7" t="n">
        <v>0</v>
      </c>
      <c r="O74" s="7" t="n">
        <v>0</v>
      </c>
      <c r="P74" s="8" t="n">
        <f aca="false">IF(E74=0,0,G74/E74)</f>
        <v>0.388888888888889</v>
      </c>
      <c r="Q74" s="8" t="n">
        <f aca="false">IF(E74+N74=0,0,(G74+N74)/(E74+N74))</f>
        <v>0.388888888888889</v>
      </c>
      <c r="R74" s="8" t="n">
        <f aca="false">IF(E74=0,0,L74/E74)</f>
        <v>0.666666666666667</v>
      </c>
      <c r="S74" s="8" t="n">
        <f aca="false">R74+Q74</f>
        <v>1.05555555555556</v>
      </c>
      <c r="T74" s="8" t="n">
        <f aca="false">R74-P74</f>
        <v>0.277777777777778</v>
      </c>
    </row>
    <row r="75" customFormat="false" ht="14.25" hidden="false" customHeight="true" outlineLevel="0" collapsed="false">
      <c r="A75" s="6" t="n">
        <v>2026</v>
      </c>
      <c r="B75" s="6" t="s">
        <v>121</v>
      </c>
      <c r="C75" s="6" t="s">
        <v>127</v>
      </c>
      <c r="D75" s="7" t="n">
        <v>6</v>
      </c>
      <c r="E75" s="7" t="n">
        <v>19</v>
      </c>
      <c r="F75" s="7" t="n">
        <v>4</v>
      </c>
      <c r="G75" s="7" t="n">
        <v>5</v>
      </c>
      <c r="H75" s="7" t="n">
        <v>2</v>
      </c>
      <c r="I75" s="7" t="n">
        <v>0</v>
      </c>
      <c r="J75" s="7" t="n">
        <v>1</v>
      </c>
      <c r="K75" s="7" t="n">
        <v>3</v>
      </c>
      <c r="L75" s="7" t="n">
        <v>10</v>
      </c>
      <c r="M75" s="7" t="n">
        <v>2</v>
      </c>
      <c r="N75" s="7" t="n">
        <v>1</v>
      </c>
      <c r="O75" s="7" t="n">
        <v>1</v>
      </c>
      <c r="P75" s="8" t="n">
        <f aca="false">IF(E75=0,0,G75/E75)</f>
        <v>0.263157894736842</v>
      </c>
      <c r="Q75" s="8" t="n">
        <f aca="false">IF(E75+N75=0,0,(G75+N75)/(E75+N75))</f>
        <v>0.3</v>
      </c>
      <c r="R75" s="8" t="n">
        <f aca="false">IF(E75=0,0,L75/E75)</f>
        <v>0.526315789473684</v>
      </c>
      <c r="S75" s="8" t="n">
        <f aca="false">R75+Q75</f>
        <v>0.826315789473684</v>
      </c>
      <c r="T75" s="8" t="n">
        <f aca="false">R75-P75</f>
        <v>0.263157894736842</v>
      </c>
    </row>
    <row r="76" customFormat="false" ht="14.25" hidden="false" customHeight="true" outlineLevel="0" collapsed="false">
      <c r="A76" s="6" t="n">
        <v>2026</v>
      </c>
      <c r="B76" s="6" t="s">
        <v>121</v>
      </c>
      <c r="C76" s="6" t="s">
        <v>128</v>
      </c>
      <c r="D76" s="7" t="n">
        <v>4</v>
      </c>
      <c r="E76" s="7" t="n">
        <v>14</v>
      </c>
      <c r="F76" s="7" t="n">
        <v>2</v>
      </c>
      <c r="G76" s="7" t="n">
        <v>4</v>
      </c>
      <c r="H76" s="7" t="n">
        <v>0</v>
      </c>
      <c r="I76" s="7" t="n">
        <v>0</v>
      </c>
      <c r="J76" s="7" t="n">
        <v>0</v>
      </c>
      <c r="K76" s="7" t="n">
        <v>0</v>
      </c>
      <c r="L76" s="7" t="n">
        <v>4</v>
      </c>
      <c r="M76" s="7" t="n">
        <v>2</v>
      </c>
      <c r="N76" s="7" t="n">
        <v>0</v>
      </c>
      <c r="O76" s="7" t="n">
        <v>1</v>
      </c>
      <c r="P76" s="8" t="n">
        <f aca="false">IF(E76=0,0,G76/E76)</f>
        <v>0.285714285714286</v>
      </c>
      <c r="Q76" s="8" t="n">
        <f aca="false">IF(E76+N76=0,0,(G76+N76)/(E76+N76))</f>
        <v>0.285714285714286</v>
      </c>
      <c r="R76" s="8" t="n">
        <f aca="false">IF(E76=0,0,L76/E76)</f>
        <v>0.285714285714286</v>
      </c>
      <c r="S76" s="8" t="n">
        <f aca="false">R76+Q76</f>
        <v>0.571428571428571</v>
      </c>
      <c r="T76" s="8" t="n">
        <f aca="false">R76-P76</f>
        <v>0</v>
      </c>
    </row>
    <row r="77" customFormat="false" ht="14.25" hidden="false" customHeight="true" outlineLevel="0" collapsed="false">
      <c r="A77" s="6" t="n">
        <v>2026</v>
      </c>
      <c r="B77" s="6" t="s">
        <v>121</v>
      </c>
      <c r="C77" s="6" t="s">
        <v>129</v>
      </c>
      <c r="D77" s="7" t="n">
        <v>9</v>
      </c>
      <c r="E77" s="7" t="n">
        <v>19</v>
      </c>
      <c r="F77" s="7" t="n">
        <v>4</v>
      </c>
      <c r="G77" s="7" t="n">
        <v>6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6</v>
      </c>
      <c r="M77" s="7" t="n">
        <v>3</v>
      </c>
      <c r="N77" s="7" t="n">
        <v>2</v>
      </c>
      <c r="O77" s="7" t="n">
        <v>0</v>
      </c>
      <c r="P77" s="8" t="n">
        <f aca="false">IF(E77=0,0,G77/E77)</f>
        <v>0.315789473684211</v>
      </c>
      <c r="Q77" s="8" t="n">
        <f aca="false">IF(E77+N77=0,0,(G77+N77)/(E77+N77))</f>
        <v>0.380952380952381</v>
      </c>
      <c r="R77" s="8" t="n">
        <f aca="false">IF(E77=0,0,L77/E77)</f>
        <v>0.315789473684211</v>
      </c>
      <c r="S77" s="8" t="n">
        <f aca="false">R77+Q77</f>
        <v>0.696741854636591</v>
      </c>
      <c r="T77" s="8" t="n">
        <f aca="false">R77-P77</f>
        <v>0</v>
      </c>
    </row>
    <row r="78" customFormat="false" ht="14.25" hidden="false" customHeight="true" outlineLevel="0" collapsed="false">
      <c r="A78" s="6" t="n">
        <v>2026</v>
      </c>
      <c r="B78" s="6" t="s">
        <v>121</v>
      </c>
      <c r="C78" s="6" t="s">
        <v>130</v>
      </c>
      <c r="D78" s="7" t="n">
        <v>6</v>
      </c>
      <c r="E78" s="7" t="n">
        <v>16</v>
      </c>
      <c r="F78" s="7" t="n">
        <v>2</v>
      </c>
      <c r="G78" s="7" t="n">
        <v>3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3</v>
      </c>
      <c r="M78" s="7" t="n">
        <v>4</v>
      </c>
      <c r="N78" s="7" t="n">
        <v>2</v>
      </c>
      <c r="O78" s="7" t="n">
        <v>3</v>
      </c>
      <c r="P78" s="8" t="n">
        <f aca="false">IF(E78=0,0,G78/E78)</f>
        <v>0.1875</v>
      </c>
      <c r="Q78" s="8" t="n">
        <f aca="false">IF(E78+N78=0,0,(G78+N78)/(E78+N78))</f>
        <v>0.277777777777778</v>
      </c>
      <c r="R78" s="8" t="n">
        <f aca="false">IF(E78=0,0,L78/E78)</f>
        <v>0.1875</v>
      </c>
      <c r="S78" s="8" t="n">
        <f aca="false">R78+Q78</f>
        <v>0.465277777777778</v>
      </c>
      <c r="T78" s="8" t="n">
        <f aca="false">R78-P78</f>
        <v>0</v>
      </c>
    </row>
    <row r="79" customFormat="false" ht="14.25" hidden="false" customHeight="true" outlineLevel="0" collapsed="false">
      <c r="A79" s="6" t="n">
        <v>2026</v>
      </c>
      <c r="B79" s="6" t="s">
        <v>121</v>
      </c>
      <c r="C79" s="6" t="s">
        <v>131</v>
      </c>
      <c r="D79" s="7" t="n">
        <v>5</v>
      </c>
      <c r="E79" s="7" t="n">
        <v>19</v>
      </c>
      <c r="F79" s="7" t="n">
        <v>8</v>
      </c>
      <c r="G79" s="7" t="n">
        <v>10</v>
      </c>
      <c r="H79" s="7" t="n">
        <v>7</v>
      </c>
      <c r="I79" s="7" t="n">
        <v>0</v>
      </c>
      <c r="J79" s="7" t="n">
        <v>0</v>
      </c>
      <c r="K79" s="7" t="n">
        <v>7</v>
      </c>
      <c r="L79" s="7" t="n">
        <v>17</v>
      </c>
      <c r="M79" s="7" t="n">
        <v>3</v>
      </c>
      <c r="N79" s="7" t="n">
        <v>1</v>
      </c>
      <c r="O79" s="7" t="n">
        <v>0</v>
      </c>
      <c r="P79" s="8" t="n">
        <f aca="false">IF(E79=0,0,G79/E79)</f>
        <v>0.526315789473684</v>
      </c>
      <c r="Q79" s="8" t="n">
        <f aca="false">IF(E79+N79=0,0,(G79+N79)/(E79+N79))</f>
        <v>0.55</v>
      </c>
      <c r="R79" s="8" t="n">
        <f aca="false">IF(E79=0,0,L79/E79)</f>
        <v>0.894736842105263</v>
      </c>
      <c r="S79" s="8" t="n">
        <f aca="false">R79+Q79</f>
        <v>1.44473684210526</v>
      </c>
      <c r="T79" s="8" t="n">
        <f aca="false">R79-P79</f>
        <v>0.368421052631579</v>
      </c>
    </row>
    <row r="80" customFormat="false" ht="14.25" hidden="false" customHeight="true" outlineLevel="0" collapsed="false">
      <c r="A80" s="6" t="n">
        <v>2026</v>
      </c>
      <c r="B80" s="6" t="s">
        <v>121</v>
      </c>
      <c r="C80" s="6" t="s">
        <v>132</v>
      </c>
      <c r="D80" s="7" t="n">
        <v>4</v>
      </c>
      <c r="E80" s="7" t="n">
        <v>6</v>
      </c>
      <c r="F80" s="7" t="n">
        <v>0</v>
      </c>
      <c r="G80" s="7" t="n">
        <v>2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2</v>
      </c>
      <c r="M80" s="7" t="n">
        <v>2</v>
      </c>
      <c r="N80" s="7" t="n">
        <v>0</v>
      </c>
      <c r="O80" s="7" t="n">
        <v>0</v>
      </c>
      <c r="P80" s="8" t="n">
        <f aca="false">IF(E80=0,0,G80/E80)</f>
        <v>0.333333333333333</v>
      </c>
      <c r="Q80" s="8" t="n">
        <f aca="false">IF(E80+N80=0,0,(G80+N80)/(E80+N80))</f>
        <v>0.333333333333333</v>
      </c>
      <c r="R80" s="8" t="n">
        <f aca="false">IF(E80=0,0,L80/E80)</f>
        <v>0.333333333333333</v>
      </c>
      <c r="S80" s="8" t="n">
        <f aca="false">R80+Q80</f>
        <v>0.666666666666667</v>
      </c>
      <c r="T80" s="8" t="n">
        <f aca="false">R80-P80</f>
        <v>0</v>
      </c>
    </row>
    <row r="81" customFormat="false" ht="14.25" hidden="false" customHeight="true" outlineLevel="0" collapsed="false">
      <c r="A81" s="6" t="n">
        <v>2026</v>
      </c>
      <c r="B81" s="6" t="s">
        <v>121</v>
      </c>
      <c r="C81" s="6" t="s">
        <v>133</v>
      </c>
      <c r="D81" s="7" t="n">
        <v>7</v>
      </c>
      <c r="E81" s="7" t="n">
        <v>11</v>
      </c>
      <c r="F81" s="7" t="n">
        <v>2</v>
      </c>
      <c r="G81" s="7" t="n">
        <v>3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3</v>
      </c>
      <c r="M81" s="7" t="n">
        <v>2</v>
      </c>
      <c r="N81" s="7" t="n">
        <v>4</v>
      </c>
      <c r="O81" s="7" t="n">
        <v>0</v>
      </c>
      <c r="P81" s="8" t="n">
        <f aca="false">IF(E81=0,0,G81/E81)</f>
        <v>0.272727272727273</v>
      </c>
      <c r="Q81" s="8" t="n">
        <f aca="false">IF(E81+N81=0,0,(G81+N81)/(E81+N81))</f>
        <v>0.466666666666667</v>
      </c>
      <c r="R81" s="8" t="n">
        <f aca="false">IF(E81=0,0,L81/E81)</f>
        <v>0.272727272727273</v>
      </c>
      <c r="S81" s="8" t="n">
        <f aca="false">R81+Q81</f>
        <v>0.739393939393939</v>
      </c>
      <c r="T81" s="8" t="n">
        <f aca="false">R81-P81</f>
        <v>0</v>
      </c>
    </row>
    <row r="82" customFormat="false" ht="14.25" hidden="false" customHeight="true" outlineLevel="0" collapsed="false">
      <c r="A82" s="6" t="n">
        <v>2026</v>
      </c>
      <c r="B82" s="6" t="s">
        <v>121</v>
      </c>
      <c r="C82" s="6" t="s">
        <v>134</v>
      </c>
      <c r="D82" s="7" t="n">
        <v>4</v>
      </c>
      <c r="E82" s="7" t="n">
        <v>13</v>
      </c>
      <c r="F82" s="7" t="n">
        <v>3</v>
      </c>
      <c r="G82" s="7" t="n">
        <v>4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4</v>
      </c>
      <c r="M82" s="7" t="n">
        <v>3</v>
      </c>
      <c r="N82" s="7" t="n">
        <v>1</v>
      </c>
      <c r="O82" s="7" t="n">
        <v>1</v>
      </c>
      <c r="P82" s="8" t="n">
        <f aca="false">IF(E82=0,0,G82/E82)</f>
        <v>0.307692307692308</v>
      </c>
      <c r="Q82" s="8" t="n">
        <f aca="false">IF(E82+N82=0,0,(G82+N82)/(E82+N82))</f>
        <v>0.357142857142857</v>
      </c>
      <c r="R82" s="8" t="n">
        <f aca="false">IF(E82=0,0,L82/E82)</f>
        <v>0.307692307692308</v>
      </c>
      <c r="S82" s="8" t="n">
        <f aca="false">R82+Q82</f>
        <v>0.664835164835165</v>
      </c>
      <c r="T82" s="8" t="n">
        <f aca="false">R82-P82</f>
        <v>0</v>
      </c>
    </row>
    <row r="83" customFormat="false" ht="14.25" hidden="false" customHeight="true" outlineLevel="0" collapsed="false">
      <c r="A83" s="6" t="n">
        <v>2026</v>
      </c>
      <c r="B83" s="6" t="s">
        <v>121</v>
      </c>
      <c r="C83" s="6" t="s">
        <v>135</v>
      </c>
      <c r="D83" s="7" t="n">
        <v>8</v>
      </c>
      <c r="E83" s="7" t="n">
        <v>13</v>
      </c>
      <c r="F83" s="7" t="n">
        <v>2</v>
      </c>
      <c r="G83" s="7" t="n">
        <v>3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3</v>
      </c>
      <c r="M83" s="7" t="n">
        <v>1</v>
      </c>
      <c r="N83" s="7" t="n">
        <v>0</v>
      </c>
      <c r="O83" s="7" t="n">
        <v>0</v>
      </c>
      <c r="P83" s="8" t="n">
        <f aca="false">IF(E83=0,0,G83/E83)</f>
        <v>0.230769230769231</v>
      </c>
      <c r="Q83" s="8" t="n">
        <f aca="false">IF(E83+N83=0,0,(G83+N83)/(E83+N83))</f>
        <v>0.230769230769231</v>
      </c>
      <c r="R83" s="8" t="n">
        <f aca="false">IF(E83=0,0,L83/E83)</f>
        <v>0.230769230769231</v>
      </c>
      <c r="S83" s="8" t="n">
        <f aca="false">R83+Q83</f>
        <v>0.461538461538462</v>
      </c>
      <c r="T83" s="8" t="n">
        <f aca="false">R83-P83</f>
        <v>0</v>
      </c>
    </row>
    <row r="84" customFormat="false" ht="14.25" hidden="false" customHeight="true" outlineLevel="0" collapsed="false">
      <c r="A84" s="6" t="n">
        <v>2026</v>
      </c>
      <c r="B84" s="6" t="s">
        <v>121</v>
      </c>
      <c r="C84" s="6" t="s">
        <v>136</v>
      </c>
      <c r="D84" s="7" t="n">
        <v>6</v>
      </c>
      <c r="E84" s="7" t="n">
        <v>12</v>
      </c>
      <c r="F84" s="7" t="n">
        <v>1</v>
      </c>
      <c r="G84" s="7" t="n">
        <v>2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2</v>
      </c>
      <c r="M84" s="7" t="n">
        <v>1</v>
      </c>
      <c r="N84" s="7" t="n">
        <v>3</v>
      </c>
      <c r="O84" s="7" t="n">
        <v>0</v>
      </c>
      <c r="P84" s="8" t="n">
        <f aca="false">IF(E84=0,0,G84/E84)</f>
        <v>0.166666666666667</v>
      </c>
      <c r="Q84" s="8" t="n">
        <f aca="false">IF(E84+N84=0,0,(G84+N84)/(E84+N84))</f>
        <v>0.333333333333333</v>
      </c>
      <c r="R84" s="8" t="n">
        <f aca="false">IF(E84=0,0,L84/E84)</f>
        <v>0.166666666666667</v>
      </c>
      <c r="S84" s="8" t="n">
        <f aca="false">R84+Q84</f>
        <v>0.5</v>
      </c>
      <c r="T84" s="8" t="n">
        <f aca="false">R84-P84</f>
        <v>0</v>
      </c>
    </row>
    <row r="85" customFormat="false" ht="14.25" hidden="false" customHeight="true" outlineLevel="0" collapsed="false">
      <c r="A85" s="6" t="n">
        <v>2026</v>
      </c>
      <c r="B85" s="6" t="s">
        <v>121</v>
      </c>
      <c r="C85" s="6" t="s">
        <v>137</v>
      </c>
      <c r="D85" s="7" t="n">
        <v>8</v>
      </c>
      <c r="E85" s="7" t="n">
        <v>23</v>
      </c>
      <c r="F85" s="7" t="n">
        <v>13</v>
      </c>
      <c r="G85" s="7" t="n">
        <v>14</v>
      </c>
      <c r="H85" s="7" t="n">
        <v>6</v>
      </c>
      <c r="I85" s="7" t="n">
        <v>0</v>
      </c>
      <c r="J85" s="7" t="n">
        <v>2</v>
      </c>
      <c r="K85" s="7" t="n">
        <v>8</v>
      </c>
      <c r="L85" s="7" t="n">
        <v>26</v>
      </c>
      <c r="M85" s="7" t="n">
        <v>9</v>
      </c>
      <c r="N85" s="7" t="n">
        <v>6</v>
      </c>
      <c r="O85" s="7" t="n">
        <v>0</v>
      </c>
      <c r="P85" s="8" t="n">
        <f aca="false">IF(E85=0,0,G85/E85)</f>
        <v>0.608695652173913</v>
      </c>
      <c r="Q85" s="8" t="n">
        <f aca="false">IF(E85+N85=0,0,(G85+N85)/(E85+N85))</f>
        <v>0.689655172413793</v>
      </c>
      <c r="R85" s="8" t="n">
        <f aca="false">IF(E85=0,0,L85/E85)</f>
        <v>1.1304347826087</v>
      </c>
      <c r="S85" s="8" t="n">
        <f aca="false">R85+Q85</f>
        <v>1.82008995502249</v>
      </c>
      <c r="T85" s="8" t="n">
        <f aca="false">R85-P85</f>
        <v>0.521739130434783</v>
      </c>
    </row>
    <row r="86" customFormat="false" ht="14.25" hidden="false" customHeight="true" outlineLevel="0" collapsed="false">
      <c r="A86" s="6" t="n">
        <v>2026</v>
      </c>
      <c r="B86" s="6" t="s">
        <v>121</v>
      </c>
      <c r="C86" s="6" t="s">
        <v>138</v>
      </c>
      <c r="D86" s="7" t="n">
        <v>6</v>
      </c>
      <c r="E86" s="7" t="n">
        <v>15</v>
      </c>
      <c r="F86" s="7" t="n">
        <v>4</v>
      </c>
      <c r="G86" s="7" t="n">
        <v>4</v>
      </c>
      <c r="H86" s="7" t="n">
        <v>2</v>
      </c>
      <c r="I86" s="7" t="n">
        <v>1</v>
      </c>
      <c r="J86" s="7" t="n">
        <v>1</v>
      </c>
      <c r="K86" s="7" t="n">
        <v>4</v>
      </c>
      <c r="L86" s="7" t="n">
        <v>11</v>
      </c>
      <c r="M86" s="7" t="n">
        <v>10</v>
      </c>
      <c r="N86" s="7" t="n">
        <v>2</v>
      </c>
      <c r="O86" s="7" t="n">
        <v>1</v>
      </c>
      <c r="P86" s="8" t="n">
        <f aca="false">IF(E86=0,0,G86/E86)</f>
        <v>0.266666666666667</v>
      </c>
      <c r="Q86" s="8" t="n">
        <f aca="false">IF(E86+N86=0,0,(G86+N86)/(E86+N86))</f>
        <v>0.352941176470588</v>
      </c>
      <c r="R86" s="8" t="n">
        <f aca="false">IF(E86=0,0,L86/E86)</f>
        <v>0.733333333333333</v>
      </c>
      <c r="S86" s="8" t="n">
        <f aca="false">R86+Q86</f>
        <v>1.08627450980392</v>
      </c>
      <c r="T86" s="8" t="n">
        <f aca="false">R86-P86</f>
        <v>0.466666666666667</v>
      </c>
    </row>
    <row r="87" customFormat="false" ht="14.25" hidden="false" customHeight="true" outlineLevel="0" collapsed="false">
      <c r="A87" s="6" t="n">
        <v>2026</v>
      </c>
      <c r="B87" s="6" t="s">
        <v>121</v>
      </c>
      <c r="C87" s="6" t="s">
        <v>139</v>
      </c>
      <c r="D87" s="7" t="n">
        <v>10</v>
      </c>
      <c r="E87" s="7" t="n">
        <v>19</v>
      </c>
      <c r="F87" s="7" t="n">
        <v>2</v>
      </c>
      <c r="G87" s="7" t="n">
        <v>4</v>
      </c>
      <c r="H87" s="7" t="n">
        <v>2</v>
      </c>
      <c r="I87" s="7" t="n">
        <v>0</v>
      </c>
      <c r="J87" s="7" t="n">
        <v>0</v>
      </c>
      <c r="K87" s="7" t="n">
        <v>2</v>
      </c>
      <c r="L87" s="7" t="n">
        <v>6</v>
      </c>
      <c r="M87" s="7" t="n">
        <v>3</v>
      </c>
      <c r="N87" s="7" t="n">
        <v>0</v>
      </c>
      <c r="O87" s="7" t="n">
        <v>1</v>
      </c>
      <c r="P87" s="8" t="n">
        <f aca="false">IF(E87=0,0,G87/E87)</f>
        <v>0.210526315789474</v>
      </c>
      <c r="Q87" s="8" t="n">
        <f aca="false">IF(E87+N87=0,0,(G87+N87)/(E87+N87))</f>
        <v>0.210526315789474</v>
      </c>
      <c r="R87" s="8" t="n">
        <f aca="false">IF(E87=0,0,L87/E87)</f>
        <v>0.315789473684211</v>
      </c>
      <c r="S87" s="8" t="n">
        <f aca="false">R87+Q87</f>
        <v>0.526315789473684</v>
      </c>
      <c r="T87" s="8" t="n">
        <f aca="false">R87-P87</f>
        <v>0.105263157894737</v>
      </c>
    </row>
    <row r="88" customFormat="false" ht="14.25" hidden="false" customHeight="true" outlineLevel="0" collapsed="false">
      <c r="A88" s="6" t="n">
        <v>2026</v>
      </c>
      <c r="B88" s="6" t="s">
        <v>121</v>
      </c>
      <c r="C88" s="6" t="s">
        <v>140</v>
      </c>
      <c r="D88" s="7" t="n">
        <v>8</v>
      </c>
      <c r="E88" s="7" t="n">
        <v>21</v>
      </c>
      <c r="F88" s="7" t="n">
        <v>2</v>
      </c>
      <c r="G88" s="7" t="n">
        <v>3</v>
      </c>
      <c r="H88" s="7" t="n">
        <v>0</v>
      </c>
      <c r="I88" s="7" t="n">
        <v>0</v>
      </c>
      <c r="J88" s="7" t="n">
        <v>0</v>
      </c>
      <c r="K88" s="7" t="n">
        <v>0</v>
      </c>
      <c r="L88" s="7" t="n">
        <v>3</v>
      </c>
      <c r="M88" s="7" t="n">
        <v>1</v>
      </c>
      <c r="N88" s="7" t="n">
        <v>2</v>
      </c>
      <c r="O88" s="7" t="n">
        <v>0</v>
      </c>
      <c r="P88" s="8" t="n">
        <f aca="false">IF(E88=0,0,G88/E88)</f>
        <v>0.142857142857143</v>
      </c>
      <c r="Q88" s="8" t="n">
        <f aca="false">IF(E88+N88=0,0,(G88+N88)/(E88+N88))</f>
        <v>0.217391304347826</v>
      </c>
      <c r="R88" s="8" t="n">
        <f aca="false">IF(E88=0,0,L88/E88)</f>
        <v>0.142857142857143</v>
      </c>
      <c r="S88" s="8" t="n">
        <f aca="false">R88+Q88</f>
        <v>0.360248447204969</v>
      </c>
      <c r="T88" s="8" t="n">
        <f aca="false">R88-P88</f>
        <v>0</v>
      </c>
    </row>
    <row r="89" customFormat="false" ht="14.25" hidden="false" customHeight="true" outlineLevel="0" collapsed="false">
      <c r="A89" s="6" t="n">
        <v>2026</v>
      </c>
      <c r="B89" s="6" t="s">
        <v>121</v>
      </c>
      <c r="C89" s="6" t="s">
        <v>141</v>
      </c>
      <c r="D89" s="7" t="n">
        <v>1</v>
      </c>
      <c r="E89" s="7" t="n">
        <v>3</v>
      </c>
      <c r="F89" s="7" t="n">
        <v>1</v>
      </c>
      <c r="G89" s="7" t="n">
        <v>1</v>
      </c>
      <c r="H89" s="7" t="n">
        <v>1</v>
      </c>
      <c r="I89" s="7" t="n">
        <v>0</v>
      </c>
      <c r="J89" s="7" t="n">
        <v>0</v>
      </c>
      <c r="K89" s="7" t="n">
        <v>1</v>
      </c>
      <c r="L89" s="7" t="n">
        <v>2</v>
      </c>
      <c r="M89" s="7" t="n">
        <v>0</v>
      </c>
      <c r="N89" s="7" t="n">
        <v>0</v>
      </c>
      <c r="O89" s="7" t="n">
        <v>1</v>
      </c>
      <c r="P89" s="8" t="n">
        <f aca="false">IF(E89=0,0,G89/E89)</f>
        <v>0.333333333333333</v>
      </c>
      <c r="Q89" s="8" t="n">
        <f aca="false">IF(E89+N89=0,0,(G89+N89)/(E89+N89))</f>
        <v>0.333333333333333</v>
      </c>
      <c r="R89" s="8" t="n">
        <f aca="false">IF(E89=0,0,L89/E89)</f>
        <v>0.666666666666667</v>
      </c>
      <c r="S89" s="8" t="n">
        <f aca="false">R89+Q89</f>
        <v>1</v>
      </c>
      <c r="T89" s="8" t="n">
        <f aca="false">R89-P89</f>
        <v>0.333333333333333</v>
      </c>
    </row>
    <row r="90" customFormat="false" ht="14.25" hidden="false" customHeight="true" outlineLevel="0" collapsed="false">
      <c r="A90" s="6" t="n">
        <v>2026</v>
      </c>
      <c r="B90" s="6" t="s">
        <v>121</v>
      </c>
      <c r="C90" s="6" t="s">
        <v>142</v>
      </c>
      <c r="D90" s="7" t="n">
        <v>2</v>
      </c>
      <c r="E90" s="7" t="n">
        <v>4</v>
      </c>
      <c r="F90" s="7" t="n">
        <v>0</v>
      </c>
      <c r="G90" s="7" t="n">
        <v>1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1</v>
      </c>
      <c r="M90" s="7" t="n">
        <v>0</v>
      </c>
      <c r="N90" s="7" t="n">
        <v>0</v>
      </c>
      <c r="O90" s="7" t="n">
        <v>0</v>
      </c>
      <c r="P90" s="8" t="n">
        <f aca="false">IF(E90=0,0,G90/E90)</f>
        <v>0.25</v>
      </c>
      <c r="Q90" s="8" t="n">
        <f aca="false">IF(E90+N90=0,0,(G90+N90)/(E90+N90))</f>
        <v>0.25</v>
      </c>
      <c r="R90" s="8" t="n">
        <f aca="false">IF(E90=0,0,L90/E90)</f>
        <v>0.25</v>
      </c>
      <c r="S90" s="8" t="n">
        <f aca="false">R90+Q90</f>
        <v>0.5</v>
      </c>
      <c r="T90" s="8" t="n">
        <f aca="false">R90-P90</f>
        <v>0</v>
      </c>
    </row>
    <row r="91" customFormat="false" ht="14.25" hidden="false" customHeight="true" outlineLevel="0" collapsed="false">
      <c r="A91" s="6" t="n">
        <v>2026</v>
      </c>
      <c r="B91" s="6" t="s">
        <v>121</v>
      </c>
      <c r="C91" s="6" t="s">
        <v>143</v>
      </c>
      <c r="D91" s="7" t="n">
        <v>5</v>
      </c>
      <c r="E91" s="7" t="n">
        <v>15</v>
      </c>
      <c r="F91" s="7" t="n">
        <v>3</v>
      </c>
      <c r="G91" s="7" t="n">
        <v>2</v>
      </c>
      <c r="H91" s="7" t="n">
        <v>1</v>
      </c>
      <c r="I91" s="7" t="n">
        <v>0</v>
      </c>
      <c r="J91" s="7" t="n">
        <v>0</v>
      </c>
      <c r="K91" s="7" t="n">
        <v>1</v>
      </c>
      <c r="L91" s="7" t="n">
        <v>3</v>
      </c>
      <c r="M91" s="7" t="n">
        <v>2</v>
      </c>
      <c r="N91" s="7" t="n">
        <v>4</v>
      </c>
      <c r="O91" s="7" t="n">
        <v>0</v>
      </c>
      <c r="P91" s="8" t="n">
        <f aca="false">IF(E91=0,0,G91/E91)</f>
        <v>0.133333333333333</v>
      </c>
      <c r="Q91" s="8" t="n">
        <f aca="false">IF(E91+N91=0,0,(G91+N91)/(E91+N91))</f>
        <v>0.315789473684211</v>
      </c>
      <c r="R91" s="8" t="n">
        <f aca="false">IF(E91=0,0,L91/E91)</f>
        <v>0.2</v>
      </c>
      <c r="S91" s="8" t="n">
        <f aca="false">R91+Q91</f>
        <v>0.515789473684211</v>
      </c>
      <c r="T91" s="8" t="n">
        <f aca="false">R91-P91</f>
        <v>0.0666666666666667</v>
      </c>
    </row>
    <row r="92" customFormat="false" ht="14.25" hidden="false" customHeight="true" outlineLevel="0" collapsed="false">
      <c r="A92" s="6" t="n">
        <v>2026</v>
      </c>
      <c r="B92" s="6" t="s">
        <v>121</v>
      </c>
      <c r="C92" s="6" t="s">
        <v>144</v>
      </c>
      <c r="D92" s="7" t="n">
        <v>4</v>
      </c>
      <c r="E92" s="7" t="n">
        <v>8</v>
      </c>
      <c r="F92" s="7" t="n">
        <v>1</v>
      </c>
      <c r="G92" s="7" t="n">
        <v>0</v>
      </c>
      <c r="H92" s="7" t="n">
        <v>0</v>
      </c>
      <c r="I92" s="7" t="n">
        <v>0</v>
      </c>
      <c r="J92" s="7" t="n">
        <v>0</v>
      </c>
      <c r="K92" s="7" t="n">
        <v>0</v>
      </c>
      <c r="L92" s="7" t="n">
        <v>0</v>
      </c>
      <c r="M92" s="7" t="n">
        <v>0</v>
      </c>
      <c r="N92" s="7" t="n">
        <v>1</v>
      </c>
      <c r="O92" s="7" t="n">
        <v>1</v>
      </c>
      <c r="P92" s="8" t="n">
        <f aca="false">IF(E92=0,0,G92/E92)</f>
        <v>0</v>
      </c>
      <c r="Q92" s="8" t="n">
        <f aca="false">IF(E92+N92=0,0,(G92+N92)/(E92+N92))</f>
        <v>0.111111111111111</v>
      </c>
      <c r="R92" s="8" t="n">
        <f aca="false">IF(E92=0,0,L92/E92)</f>
        <v>0</v>
      </c>
      <c r="S92" s="8" t="n">
        <f aca="false">R92+Q92</f>
        <v>0.111111111111111</v>
      </c>
      <c r="T92" s="8" t="n">
        <f aca="false">R92-P92</f>
        <v>0</v>
      </c>
    </row>
    <row r="93" customFormat="false" ht="14.25" hidden="false" customHeight="true" outlineLevel="0" collapsed="false">
      <c r="A93" s="6" t="n">
        <v>2026</v>
      </c>
      <c r="B93" s="6" t="s">
        <v>121</v>
      </c>
      <c r="C93" s="6" t="s">
        <v>145</v>
      </c>
      <c r="D93" s="7" t="n">
        <v>1</v>
      </c>
      <c r="E93" s="7" t="n">
        <v>2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1</v>
      </c>
      <c r="O93" s="7" t="n">
        <v>1</v>
      </c>
      <c r="P93" s="8" t="n">
        <f aca="false">IF(E93=0,0,G93/E93)</f>
        <v>0</v>
      </c>
      <c r="Q93" s="8" t="n">
        <f aca="false">IF(E93+N93=0,0,(G93+N93)/(E93+N93))</f>
        <v>0.333333333333333</v>
      </c>
      <c r="R93" s="8" t="n">
        <f aca="false">IF(E93=0,0,L93/E93)</f>
        <v>0</v>
      </c>
      <c r="S93" s="8" t="n">
        <f aca="false">R93+Q93</f>
        <v>0.333333333333333</v>
      </c>
      <c r="T93" s="8" t="n">
        <f aca="false">R93-P93</f>
        <v>0</v>
      </c>
    </row>
    <row r="94" customFormat="false" ht="14.25" hidden="false" customHeight="true" outlineLevel="0" collapsed="false">
      <c r="A94" s="6" t="n">
        <v>2026</v>
      </c>
      <c r="B94" s="6" t="s">
        <v>121</v>
      </c>
      <c r="C94" s="6" t="s">
        <v>146</v>
      </c>
      <c r="D94" s="7" t="n">
        <v>5</v>
      </c>
      <c r="E94" s="7" t="n">
        <v>10</v>
      </c>
      <c r="F94" s="7" t="n">
        <v>0</v>
      </c>
      <c r="G94" s="7" t="n">
        <v>1</v>
      </c>
      <c r="H94" s="7" t="n">
        <v>0</v>
      </c>
      <c r="I94" s="7" t="n">
        <v>0</v>
      </c>
      <c r="J94" s="7" t="n">
        <v>0</v>
      </c>
      <c r="K94" s="7" t="n">
        <v>0</v>
      </c>
      <c r="L94" s="7" t="n">
        <v>1</v>
      </c>
      <c r="M94" s="7" t="n">
        <v>1</v>
      </c>
      <c r="N94" s="7" t="n">
        <v>0</v>
      </c>
      <c r="O94" s="7" t="n">
        <v>0</v>
      </c>
      <c r="P94" s="8" t="n">
        <f aca="false">IF(E94=0,0,G94/E94)</f>
        <v>0.1</v>
      </c>
      <c r="Q94" s="8" t="n">
        <f aca="false">IF(E94+N94=0,0,(G94+N94)/(E94+N94))</f>
        <v>0.1</v>
      </c>
      <c r="R94" s="8" t="n">
        <f aca="false">IF(E94=0,0,L94/E94)</f>
        <v>0.1</v>
      </c>
      <c r="S94" s="8" t="n">
        <f aca="false">R94+Q94</f>
        <v>0.2</v>
      </c>
      <c r="T94" s="8" t="n">
        <f aca="false">R94-P94</f>
        <v>0</v>
      </c>
    </row>
    <row r="95" customFormat="false" ht="14.25" hidden="false" customHeight="true" outlineLevel="0" collapsed="false">
      <c r="A95" s="6" t="n">
        <v>2026</v>
      </c>
      <c r="B95" s="6" t="s">
        <v>147</v>
      </c>
      <c r="C95" s="6" t="s">
        <v>148</v>
      </c>
      <c r="D95" s="7" t="n">
        <v>13</v>
      </c>
      <c r="E95" s="7" t="n">
        <v>33</v>
      </c>
      <c r="F95" s="7" t="n">
        <v>18</v>
      </c>
      <c r="G95" s="7" t="n">
        <v>18</v>
      </c>
      <c r="H95" s="7" t="n">
        <v>2</v>
      </c>
      <c r="I95" s="7" t="n">
        <v>0</v>
      </c>
      <c r="J95" s="7" t="n">
        <v>11</v>
      </c>
      <c r="K95" s="7" t="n">
        <v>13</v>
      </c>
      <c r="L95" s="7" t="n">
        <v>53</v>
      </c>
      <c r="M95" s="7" t="n">
        <v>20</v>
      </c>
      <c r="N95" s="7" t="n">
        <v>8</v>
      </c>
      <c r="O95" s="7" t="n">
        <v>2</v>
      </c>
      <c r="P95" s="8" t="n">
        <f aca="false">IF(E95=0,0,G95/E95)</f>
        <v>0.545454545454545</v>
      </c>
      <c r="Q95" s="8" t="n">
        <f aca="false">IF(E95+N95=0,0,(G95+N95)/(E95+N95))</f>
        <v>0.634146341463415</v>
      </c>
      <c r="R95" s="8" t="n">
        <f aca="false">IF(E95=0,0,L95/E95)</f>
        <v>1.60606060606061</v>
      </c>
      <c r="S95" s="8" t="n">
        <f aca="false">R95+Q95</f>
        <v>2.24020694752402</v>
      </c>
      <c r="T95" s="8" t="n">
        <f aca="false">R95-P95</f>
        <v>1.06060606060606</v>
      </c>
    </row>
    <row r="96" customFormat="false" ht="14.25" hidden="false" customHeight="true" outlineLevel="0" collapsed="false">
      <c r="A96" s="6" t="n">
        <v>2026</v>
      </c>
      <c r="B96" s="6" t="s">
        <v>147</v>
      </c>
      <c r="C96" s="6" t="s">
        <v>149</v>
      </c>
      <c r="D96" s="7" t="n">
        <v>12</v>
      </c>
      <c r="E96" s="7" t="n">
        <v>36</v>
      </c>
      <c r="F96" s="7" t="n">
        <v>10</v>
      </c>
      <c r="G96" s="7" t="n">
        <v>12</v>
      </c>
      <c r="H96" s="7" t="n">
        <v>1</v>
      </c>
      <c r="I96" s="7" t="n">
        <v>0</v>
      </c>
      <c r="J96" s="7" t="n">
        <v>4</v>
      </c>
      <c r="K96" s="7" t="n">
        <v>5</v>
      </c>
      <c r="L96" s="7" t="n">
        <v>25</v>
      </c>
      <c r="M96" s="7" t="n">
        <v>9</v>
      </c>
      <c r="N96" s="7" t="n">
        <v>3</v>
      </c>
      <c r="O96" s="7" t="n">
        <v>0</v>
      </c>
      <c r="P96" s="8" t="n">
        <f aca="false">IF(E96=0,0,G96/E96)</f>
        <v>0.333333333333333</v>
      </c>
      <c r="Q96" s="8" t="n">
        <f aca="false">IF(E96+N96=0,0,(G96+N96)/(E96+N96))</f>
        <v>0.384615384615385</v>
      </c>
      <c r="R96" s="8" t="n">
        <f aca="false">IF(E96=0,0,L96/E96)</f>
        <v>0.694444444444444</v>
      </c>
      <c r="S96" s="8" t="n">
        <f aca="false">R96+Q96</f>
        <v>1.07905982905983</v>
      </c>
      <c r="T96" s="8" t="n">
        <f aca="false">R96-P96</f>
        <v>0.361111111111111</v>
      </c>
    </row>
    <row r="97" customFormat="false" ht="14.25" hidden="false" customHeight="true" outlineLevel="0" collapsed="false">
      <c r="A97" s="6" t="n">
        <v>2026</v>
      </c>
      <c r="B97" s="6" t="s">
        <v>147</v>
      </c>
      <c r="C97" s="6" t="s">
        <v>150</v>
      </c>
      <c r="D97" s="7" t="n">
        <v>13</v>
      </c>
      <c r="E97" s="7" t="n">
        <v>38</v>
      </c>
      <c r="F97" s="7" t="n">
        <v>12</v>
      </c>
      <c r="G97" s="7" t="n">
        <v>14</v>
      </c>
      <c r="H97" s="7" t="n">
        <v>10</v>
      </c>
      <c r="I97" s="7" t="n">
        <v>0</v>
      </c>
      <c r="J97" s="7" t="n">
        <v>0</v>
      </c>
      <c r="K97" s="7" t="n">
        <v>10</v>
      </c>
      <c r="L97" s="7" t="n">
        <v>24</v>
      </c>
      <c r="M97" s="7" t="n">
        <v>4</v>
      </c>
      <c r="N97" s="7" t="n">
        <v>4</v>
      </c>
      <c r="O97" s="7" t="n">
        <v>2</v>
      </c>
      <c r="P97" s="8" t="n">
        <f aca="false">IF(E97=0,0,G97/E97)</f>
        <v>0.368421052631579</v>
      </c>
      <c r="Q97" s="8" t="n">
        <f aca="false">IF(E97+N97=0,0,(G97+N97)/(E97+N97))</f>
        <v>0.428571428571429</v>
      </c>
      <c r="R97" s="8" t="n">
        <f aca="false">IF(E97=0,0,L97/E97)</f>
        <v>0.631578947368421</v>
      </c>
      <c r="S97" s="8" t="n">
        <f aca="false">R97+Q97</f>
        <v>1.06015037593985</v>
      </c>
      <c r="T97" s="8" t="n">
        <f aca="false">R97-P97</f>
        <v>0.263157894736842</v>
      </c>
    </row>
    <row r="98" customFormat="false" ht="14.25" hidden="false" customHeight="true" outlineLevel="0" collapsed="false">
      <c r="A98" s="6" t="n">
        <v>2026</v>
      </c>
      <c r="B98" s="6" t="s">
        <v>147</v>
      </c>
      <c r="C98" s="6" t="s">
        <v>151</v>
      </c>
      <c r="D98" s="7" t="n">
        <v>10</v>
      </c>
      <c r="E98" s="7" t="n">
        <v>25</v>
      </c>
      <c r="F98" s="7" t="n">
        <v>9</v>
      </c>
      <c r="G98" s="7" t="n">
        <v>11</v>
      </c>
      <c r="H98" s="7" t="n">
        <v>2</v>
      </c>
      <c r="I98" s="7" t="n">
        <v>0</v>
      </c>
      <c r="J98" s="7" t="n">
        <v>5</v>
      </c>
      <c r="K98" s="7" t="n">
        <v>7</v>
      </c>
      <c r="L98" s="7" t="n">
        <v>28</v>
      </c>
      <c r="M98" s="7" t="n">
        <v>8</v>
      </c>
      <c r="N98" s="7" t="n">
        <v>6</v>
      </c>
      <c r="O98" s="7" t="n">
        <v>2</v>
      </c>
      <c r="P98" s="8" t="n">
        <f aca="false">IF(E98=0,0,G98/E98)</f>
        <v>0.44</v>
      </c>
      <c r="Q98" s="8" t="n">
        <f aca="false">IF(E98+N98=0,0,(G98+N98)/(E98+N98))</f>
        <v>0.548387096774194</v>
      </c>
      <c r="R98" s="8" t="n">
        <f aca="false">IF(E98=0,0,L98/E98)</f>
        <v>1.12</v>
      </c>
      <c r="S98" s="8" t="n">
        <f aca="false">R98+Q98</f>
        <v>1.66838709677419</v>
      </c>
      <c r="T98" s="8" t="n">
        <f aca="false">R98-P98</f>
        <v>0.68</v>
      </c>
    </row>
    <row r="99" customFormat="false" ht="14.25" hidden="false" customHeight="true" outlineLevel="0" collapsed="false">
      <c r="A99" s="6" t="n">
        <v>2026</v>
      </c>
      <c r="B99" s="6" t="s">
        <v>147</v>
      </c>
      <c r="C99" s="6" t="s">
        <v>152</v>
      </c>
      <c r="D99" s="7" t="n">
        <v>12</v>
      </c>
      <c r="E99" s="7" t="n">
        <v>32</v>
      </c>
      <c r="F99" s="7" t="n">
        <v>5</v>
      </c>
      <c r="G99" s="7" t="n">
        <v>10</v>
      </c>
      <c r="H99" s="7" t="n">
        <v>3</v>
      </c>
      <c r="I99" s="7" t="n">
        <v>0</v>
      </c>
      <c r="J99" s="7" t="n">
        <v>0</v>
      </c>
      <c r="K99" s="7" t="n">
        <v>3</v>
      </c>
      <c r="L99" s="7" t="n">
        <v>13</v>
      </c>
      <c r="M99" s="7" t="n">
        <v>9</v>
      </c>
      <c r="N99" s="7" t="n">
        <v>2</v>
      </c>
      <c r="O99" s="7" t="n">
        <v>2</v>
      </c>
      <c r="P99" s="8" t="n">
        <f aca="false">IF(E99=0,0,G99/E99)</f>
        <v>0.3125</v>
      </c>
      <c r="Q99" s="8" t="n">
        <f aca="false">IF(E99+N99=0,0,(G99+N99)/(E99+N99))</f>
        <v>0.352941176470588</v>
      </c>
      <c r="R99" s="8" t="n">
        <f aca="false">IF(E99=0,0,L99/E99)</f>
        <v>0.40625</v>
      </c>
      <c r="S99" s="8" t="n">
        <f aca="false">R99+Q99</f>
        <v>0.759191176470588</v>
      </c>
      <c r="T99" s="8" t="n">
        <f aca="false">R99-P99</f>
        <v>0.09375</v>
      </c>
    </row>
    <row r="100" customFormat="false" ht="14.25" hidden="false" customHeight="true" outlineLevel="0" collapsed="false">
      <c r="A100" s="6" t="n">
        <v>2026</v>
      </c>
      <c r="B100" s="6" t="s">
        <v>147</v>
      </c>
      <c r="C100" s="6" t="s">
        <v>153</v>
      </c>
      <c r="D100" s="7" t="n">
        <v>13</v>
      </c>
      <c r="E100" s="7" t="n">
        <v>42</v>
      </c>
      <c r="F100" s="7" t="n">
        <v>9</v>
      </c>
      <c r="G100" s="7" t="n">
        <v>11</v>
      </c>
      <c r="H100" s="7" t="n">
        <v>3</v>
      </c>
      <c r="I100" s="7" t="n">
        <v>1</v>
      </c>
      <c r="J100" s="7" t="n">
        <v>1</v>
      </c>
      <c r="K100" s="7" t="n">
        <v>5</v>
      </c>
      <c r="L100" s="7" t="n">
        <v>19</v>
      </c>
      <c r="M100" s="7" t="n">
        <v>3</v>
      </c>
      <c r="N100" s="7" t="n">
        <v>4</v>
      </c>
      <c r="O100" s="7" t="n">
        <v>2</v>
      </c>
      <c r="P100" s="8" t="n">
        <f aca="false">IF(E100=0,0,G100/E100)</f>
        <v>0.261904761904762</v>
      </c>
      <c r="Q100" s="8" t="n">
        <f aca="false">IF(E100+N100=0,0,(G100+N100)/(E100+N100))</f>
        <v>0.326086956521739</v>
      </c>
      <c r="R100" s="8" t="n">
        <f aca="false">IF(E100=0,0,L100/E100)</f>
        <v>0.452380952380952</v>
      </c>
      <c r="S100" s="8" t="n">
        <f aca="false">R100+Q100</f>
        <v>0.778467908902692</v>
      </c>
      <c r="T100" s="8" t="n">
        <f aca="false">R100-P100</f>
        <v>0.19047619047619</v>
      </c>
    </row>
    <row r="101" customFormat="false" ht="14.25" hidden="false" customHeight="true" outlineLevel="0" collapsed="false">
      <c r="A101" s="6" t="n">
        <v>2026</v>
      </c>
      <c r="B101" s="6" t="s">
        <v>147</v>
      </c>
      <c r="C101" s="6" t="s">
        <v>154</v>
      </c>
      <c r="D101" s="7" t="n">
        <v>13</v>
      </c>
      <c r="E101" s="7" t="n">
        <v>36</v>
      </c>
      <c r="F101" s="7" t="n">
        <v>11</v>
      </c>
      <c r="G101" s="7" t="n">
        <v>10</v>
      </c>
      <c r="H101" s="7" t="n">
        <v>4</v>
      </c>
      <c r="I101" s="7" t="n">
        <v>0</v>
      </c>
      <c r="J101" s="7" t="n">
        <v>3</v>
      </c>
      <c r="K101" s="7" t="n">
        <v>7</v>
      </c>
      <c r="L101" s="7" t="n">
        <v>23</v>
      </c>
      <c r="M101" s="7" t="n">
        <v>8</v>
      </c>
      <c r="N101" s="7" t="n">
        <v>5</v>
      </c>
      <c r="O101" s="7" t="n">
        <v>2</v>
      </c>
      <c r="P101" s="8" t="n">
        <f aca="false">IF(E101=0,0,G101/E101)</f>
        <v>0.277777777777778</v>
      </c>
      <c r="Q101" s="8" t="n">
        <f aca="false">IF(E101+N101=0,0,(G101+N101)/(E101+N101))</f>
        <v>0.365853658536585</v>
      </c>
      <c r="R101" s="8" t="n">
        <f aca="false">IF(E101=0,0,L101/E101)</f>
        <v>0.638888888888889</v>
      </c>
      <c r="S101" s="8" t="n">
        <f aca="false">R101+Q101</f>
        <v>1.00474254742547</v>
      </c>
      <c r="T101" s="8" t="n">
        <f aca="false">R101-P101</f>
        <v>0.361111111111111</v>
      </c>
    </row>
    <row r="102" customFormat="false" ht="14.25" hidden="false" customHeight="true" outlineLevel="0" collapsed="false">
      <c r="A102" s="6" t="n">
        <v>2026</v>
      </c>
      <c r="B102" s="6" t="s">
        <v>147</v>
      </c>
      <c r="C102" s="6" t="s">
        <v>155</v>
      </c>
      <c r="D102" s="7" t="n">
        <v>13</v>
      </c>
      <c r="E102" s="7" t="n">
        <v>37</v>
      </c>
      <c r="F102" s="7" t="n">
        <v>6</v>
      </c>
      <c r="G102" s="7" t="n">
        <v>7</v>
      </c>
      <c r="H102" s="7" t="n">
        <v>0</v>
      </c>
      <c r="I102" s="7" t="n">
        <v>0</v>
      </c>
      <c r="J102" s="7" t="n">
        <v>2</v>
      </c>
      <c r="K102" s="7" t="n">
        <v>2</v>
      </c>
      <c r="L102" s="7" t="n">
        <v>13</v>
      </c>
      <c r="M102" s="7" t="n">
        <v>8</v>
      </c>
      <c r="N102" s="7" t="n">
        <v>4</v>
      </c>
      <c r="O102" s="7" t="n">
        <v>3</v>
      </c>
      <c r="P102" s="8" t="n">
        <f aca="false">IF(E102=0,0,G102/E102)</f>
        <v>0.189189189189189</v>
      </c>
      <c r="Q102" s="8" t="n">
        <f aca="false">IF(E102+N102=0,0,(G102+N102)/(E102+N102))</f>
        <v>0.268292682926829</v>
      </c>
      <c r="R102" s="8" t="n">
        <f aca="false">IF(E102=0,0,L102/E102)</f>
        <v>0.351351351351351</v>
      </c>
      <c r="S102" s="8" t="n">
        <f aca="false">R102+Q102</f>
        <v>0.619644034278181</v>
      </c>
      <c r="T102" s="8" t="n">
        <f aca="false">R102-P102</f>
        <v>0.162162162162162</v>
      </c>
    </row>
    <row r="103" customFormat="false" ht="14.25" hidden="false" customHeight="true" outlineLevel="0" collapsed="false">
      <c r="A103" s="6" t="n">
        <v>2026</v>
      </c>
      <c r="B103" s="6" t="s">
        <v>147</v>
      </c>
      <c r="C103" s="6" t="s">
        <v>156</v>
      </c>
      <c r="D103" s="7" t="n">
        <v>9</v>
      </c>
      <c r="E103" s="7" t="n">
        <v>24</v>
      </c>
      <c r="F103" s="7" t="n">
        <v>3</v>
      </c>
      <c r="G103" s="7" t="n">
        <v>7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7</v>
      </c>
      <c r="M103" s="7" t="n">
        <v>5</v>
      </c>
      <c r="N103" s="7" t="n">
        <v>2</v>
      </c>
      <c r="O103" s="7" t="n">
        <v>0</v>
      </c>
      <c r="P103" s="8" t="n">
        <f aca="false">IF(E103=0,0,G103/E103)</f>
        <v>0.291666666666667</v>
      </c>
      <c r="Q103" s="8" t="n">
        <f aca="false">IF(E103+N103=0,0,(G103+N103)/(E103+N103))</f>
        <v>0.346153846153846</v>
      </c>
      <c r="R103" s="8" t="n">
        <f aca="false">IF(E103=0,0,L103/E103)</f>
        <v>0.291666666666667</v>
      </c>
      <c r="S103" s="8" t="n">
        <f aca="false">R103+Q103</f>
        <v>0.637820512820513</v>
      </c>
      <c r="T103" s="8" t="n">
        <f aca="false">R103-P103</f>
        <v>0</v>
      </c>
    </row>
    <row r="104" customFormat="false" ht="14.25" hidden="false" customHeight="true" outlineLevel="0" collapsed="false">
      <c r="A104" s="6" t="n">
        <v>2026</v>
      </c>
      <c r="B104" s="6" t="s">
        <v>147</v>
      </c>
      <c r="C104" s="6" t="s">
        <v>157</v>
      </c>
      <c r="D104" s="7" t="n">
        <v>8</v>
      </c>
      <c r="E104" s="7" t="n">
        <v>22</v>
      </c>
      <c r="F104" s="7" t="n">
        <v>2</v>
      </c>
      <c r="G104" s="7" t="n">
        <v>4</v>
      </c>
      <c r="H104" s="7" t="n">
        <v>0</v>
      </c>
      <c r="I104" s="7" t="n">
        <v>0</v>
      </c>
      <c r="J104" s="7" t="n">
        <v>1</v>
      </c>
      <c r="K104" s="7" t="n">
        <v>1</v>
      </c>
      <c r="L104" s="7" t="n">
        <v>7</v>
      </c>
      <c r="M104" s="7" t="n">
        <v>6</v>
      </c>
      <c r="N104" s="7" t="n">
        <v>0</v>
      </c>
      <c r="O104" s="7" t="n">
        <v>0</v>
      </c>
      <c r="P104" s="8" t="n">
        <f aca="false">IF(E104=0,0,G104/E104)</f>
        <v>0.181818181818182</v>
      </c>
      <c r="Q104" s="8" t="n">
        <f aca="false">IF(E104+N104=0,0,(G104+N104)/(E104+N104))</f>
        <v>0.181818181818182</v>
      </c>
      <c r="R104" s="8" t="n">
        <f aca="false">IF(E104=0,0,L104/E104)</f>
        <v>0.318181818181818</v>
      </c>
      <c r="S104" s="8" t="n">
        <f aca="false">R104+Q104</f>
        <v>0.5</v>
      </c>
      <c r="T104" s="8" t="n">
        <f aca="false">R104-P104</f>
        <v>0.136363636363636</v>
      </c>
    </row>
    <row r="105" customFormat="false" ht="14.25" hidden="false" customHeight="true" outlineLevel="0" collapsed="false">
      <c r="A105" s="6" t="n">
        <v>2026</v>
      </c>
      <c r="B105" s="6" t="s">
        <v>147</v>
      </c>
      <c r="C105" s="6" t="s">
        <v>158</v>
      </c>
      <c r="D105" s="7" t="n">
        <v>1</v>
      </c>
      <c r="E105" s="7" t="n">
        <v>2</v>
      </c>
      <c r="F105" s="7" t="n">
        <v>1</v>
      </c>
      <c r="G105" s="7" t="n">
        <v>1</v>
      </c>
      <c r="H105" s="7" t="n">
        <v>1</v>
      </c>
      <c r="I105" s="7" t="n">
        <v>0</v>
      </c>
      <c r="J105" s="7" t="n">
        <v>0</v>
      </c>
      <c r="K105" s="7" t="n">
        <v>1</v>
      </c>
      <c r="L105" s="7" t="n">
        <v>2</v>
      </c>
      <c r="M105" s="7" t="n">
        <v>0</v>
      </c>
      <c r="N105" s="7" t="n">
        <v>1</v>
      </c>
      <c r="O105" s="7" t="n">
        <v>0</v>
      </c>
      <c r="P105" s="8" t="n">
        <f aca="false">IF(E105=0,0,G105/E105)</f>
        <v>0.5</v>
      </c>
      <c r="Q105" s="8" t="n">
        <f aca="false">IF(E105+N105=0,0,(G105+N105)/(E105+N105))</f>
        <v>0.666666666666667</v>
      </c>
      <c r="R105" s="8" t="n">
        <f aca="false">IF(E105=0,0,L105/E105)</f>
        <v>1</v>
      </c>
      <c r="S105" s="8" t="n">
        <f aca="false">R105+Q105</f>
        <v>1.66666666666667</v>
      </c>
      <c r="T105" s="8" t="n">
        <f aca="false">R105-P105</f>
        <v>0.5</v>
      </c>
    </row>
    <row r="106" customFormat="false" ht="14.25" hidden="false" customHeight="true" outlineLevel="0" collapsed="false">
      <c r="A106" s="6" t="n">
        <v>2026</v>
      </c>
      <c r="B106" s="6" t="s">
        <v>147</v>
      </c>
      <c r="C106" s="6" t="s">
        <v>159</v>
      </c>
      <c r="D106" s="7" t="n">
        <v>4</v>
      </c>
      <c r="E106" s="7" t="n">
        <v>12</v>
      </c>
      <c r="F106" s="7" t="n">
        <v>0</v>
      </c>
      <c r="G106" s="7" t="n">
        <v>2</v>
      </c>
      <c r="H106" s="7" t="n">
        <v>1</v>
      </c>
      <c r="I106" s="7" t="n">
        <v>0</v>
      </c>
      <c r="J106" s="7" t="n">
        <v>0</v>
      </c>
      <c r="K106" s="7" t="n">
        <v>1</v>
      </c>
      <c r="L106" s="7" t="n">
        <v>3</v>
      </c>
      <c r="M106" s="7" t="n">
        <v>2</v>
      </c>
      <c r="N106" s="7" t="n">
        <v>0</v>
      </c>
      <c r="O106" s="7" t="n">
        <v>0</v>
      </c>
      <c r="P106" s="8" t="n">
        <f aca="false">IF(E106=0,0,G106/E106)</f>
        <v>0.166666666666667</v>
      </c>
      <c r="Q106" s="8" t="n">
        <f aca="false">IF(E106+N106=0,0,(G106+N106)/(E106+N106))</f>
        <v>0.166666666666667</v>
      </c>
      <c r="R106" s="8" t="n">
        <f aca="false">IF(E106=0,0,L106/E106)</f>
        <v>0.25</v>
      </c>
      <c r="S106" s="8" t="n">
        <f aca="false">R106+Q106</f>
        <v>0.416666666666667</v>
      </c>
      <c r="T106" s="8" t="n">
        <f aca="false">R106-P106</f>
        <v>0.0833333333333333</v>
      </c>
    </row>
    <row r="107" customFormat="false" ht="14.25" hidden="false" customHeight="true" outlineLevel="0" collapsed="false">
      <c r="A107" s="6" t="n">
        <v>2026</v>
      </c>
      <c r="B107" s="6" t="s">
        <v>147</v>
      </c>
      <c r="C107" s="6" t="s">
        <v>160</v>
      </c>
      <c r="D107" s="7" t="n">
        <v>3</v>
      </c>
      <c r="E107" s="7" t="n">
        <v>6</v>
      </c>
      <c r="F107" s="7" t="n">
        <v>1</v>
      </c>
      <c r="G107" s="7" t="n">
        <v>2</v>
      </c>
      <c r="H107" s="7" t="n">
        <v>1</v>
      </c>
      <c r="I107" s="7" t="n">
        <v>0</v>
      </c>
      <c r="J107" s="7" t="n">
        <v>0</v>
      </c>
      <c r="K107" s="7" t="n">
        <v>1</v>
      </c>
      <c r="L107" s="7" t="n">
        <v>3</v>
      </c>
      <c r="M107" s="7" t="n">
        <v>1</v>
      </c>
      <c r="N107" s="7" t="n">
        <v>0</v>
      </c>
      <c r="O107" s="7" t="n">
        <v>0</v>
      </c>
      <c r="P107" s="8" t="n">
        <f aca="false">IF(E107=0,0,G107/E107)</f>
        <v>0.333333333333333</v>
      </c>
      <c r="Q107" s="8" t="n">
        <f aca="false">IF(E107+N107=0,0,(G107+N107)/(E107+N107))</f>
        <v>0.333333333333333</v>
      </c>
      <c r="R107" s="8" t="n">
        <f aca="false">IF(E107=0,0,L107/E107)</f>
        <v>0.5</v>
      </c>
      <c r="S107" s="8" t="n">
        <f aca="false">R107+Q107</f>
        <v>0.833333333333333</v>
      </c>
      <c r="T107" s="8" t="n">
        <f aca="false">R107-P107</f>
        <v>0.166666666666667</v>
      </c>
    </row>
    <row r="108" customFormat="false" ht="14.25" hidden="false" customHeight="true" outlineLevel="0" collapsed="false">
      <c r="A108" s="6" t="n">
        <v>2026</v>
      </c>
      <c r="B108" s="6" t="s">
        <v>147</v>
      </c>
      <c r="C108" s="6" t="s">
        <v>161</v>
      </c>
      <c r="D108" s="7" t="n">
        <v>5</v>
      </c>
      <c r="E108" s="7" t="n">
        <v>13</v>
      </c>
      <c r="F108" s="7" t="n">
        <v>0</v>
      </c>
      <c r="G108" s="7" t="n">
        <v>1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1</v>
      </c>
      <c r="M108" s="7" t="n">
        <v>1</v>
      </c>
      <c r="N108" s="7" t="n">
        <v>1</v>
      </c>
      <c r="O108" s="7" t="n">
        <v>0</v>
      </c>
      <c r="P108" s="8" t="n">
        <f aca="false">IF(E108=0,0,G108/E108)</f>
        <v>0.0769230769230769</v>
      </c>
      <c r="Q108" s="8" t="n">
        <f aca="false">IF(E108+N108=0,0,(G108+N108)/(E108+N108))</f>
        <v>0.142857142857143</v>
      </c>
      <c r="R108" s="8" t="n">
        <f aca="false">IF(E108=0,0,L108/E108)</f>
        <v>0.0769230769230769</v>
      </c>
      <c r="S108" s="8" t="n">
        <f aca="false">R108+Q108</f>
        <v>0.21978021978022</v>
      </c>
      <c r="T108" s="8" t="n">
        <f aca="false">R108-P108</f>
        <v>0</v>
      </c>
    </row>
    <row r="109" customFormat="false" ht="14.25" hidden="false" customHeight="true" outlineLevel="0" collapsed="false">
      <c r="A109" s="6" t="n">
        <v>2026</v>
      </c>
      <c r="B109" s="6" t="s">
        <v>147</v>
      </c>
      <c r="C109" s="6" t="s">
        <v>162</v>
      </c>
      <c r="D109" s="7" t="n">
        <v>6</v>
      </c>
      <c r="E109" s="7" t="n">
        <v>10</v>
      </c>
      <c r="F109" s="7" t="n">
        <v>0</v>
      </c>
      <c r="G109" s="7" t="n">
        <v>4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4</v>
      </c>
      <c r="M109" s="7" t="n">
        <v>1</v>
      </c>
      <c r="N109" s="7" t="n">
        <v>1</v>
      </c>
      <c r="O109" s="7" t="n">
        <v>0</v>
      </c>
      <c r="P109" s="8" t="n">
        <f aca="false">IF(E109=0,0,G109/E109)</f>
        <v>0.4</v>
      </c>
      <c r="Q109" s="8" t="n">
        <f aca="false">IF(E109+N109=0,0,(G109+N109)/(E109+N109))</f>
        <v>0.454545454545455</v>
      </c>
      <c r="R109" s="8" t="n">
        <f aca="false">IF(E109=0,0,L109/E109)</f>
        <v>0.4</v>
      </c>
      <c r="S109" s="8" t="n">
        <f aca="false">R109+Q109</f>
        <v>0.854545454545455</v>
      </c>
      <c r="T109" s="8" t="n">
        <f aca="false">R109-P109</f>
        <v>0</v>
      </c>
    </row>
    <row r="110" customFormat="false" ht="14.25" hidden="false" customHeight="true" outlineLevel="0" collapsed="false">
      <c r="A110" s="6" t="n">
        <v>2026</v>
      </c>
      <c r="B110" s="6" t="s">
        <v>147</v>
      </c>
      <c r="C110" s="6" t="s">
        <v>163</v>
      </c>
      <c r="D110" s="7" t="n">
        <v>3</v>
      </c>
      <c r="E110" s="7" t="n">
        <v>8</v>
      </c>
      <c r="F110" s="7" t="n">
        <v>1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7" t="n">
        <v>0</v>
      </c>
      <c r="O110" s="7" t="n">
        <v>0</v>
      </c>
      <c r="P110" s="8" t="n">
        <f aca="false">IF(E110=0,0,G110/E110)</f>
        <v>0</v>
      </c>
      <c r="Q110" s="8" t="n">
        <f aca="false">IF(E110+N110=0,0,(G110+N110)/(E110+N110))</f>
        <v>0</v>
      </c>
      <c r="R110" s="8" t="n">
        <f aca="false">IF(E110=0,0,L110/E110)</f>
        <v>0</v>
      </c>
      <c r="S110" s="8" t="n">
        <f aca="false">R110+Q110</f>
        <v>0</v>
      </c>
      <c r="T110" s="8" t="n">
        <f aca="false">R110-P110</f>
        <v>0</v>
      </c>
    </row>
    <row r="111" customFormat="false" ht="14.25" hidden="false" customHeight="true" outlineLevel="0" collapsed="false">
      <c r="A111" s="6" t="n">
        <v>2026</v>
      </c>
      <c r="B111" s="6" t="s">
        <v>147</v>
      </c>
      <c r="C111" s="6" t="s">
        <v>164</v>
      </c>
      <c r="D111" s="7" t="n">
        <v>1</v>
      </c>
      <c r="E111" s="7" t="n">
        <v>0</v>
      </c>
      <c r="F111" s="7" t="n">
        <v>1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0</v>
      </c>
      <c r="N111" s="7" t="n">
        <v>0</v>
      </c>
      <c r="O111" s="7" t="n">
        <v>0</v>
      </c>
      <c r="P111" s="8" t="n">
        <f aca="false">IF(E111=0,0,G111/E111)</f>
        <v>0</v>
      </c>
      <c r="Q111" s="8" t="n">
        <f aca="false">IF(E111+N111=0,0,(G111+N111)/(E111+N111))</f>
        <v>0</v>
      </c>
      <c r="R111" s="8" t="n">
        <f aca="false">IF(E111=0,0,L111/E111)</f>
        <v>0</v>
      </c>
      <c r="S111" s="8" t="n">
        <f aca="false">R111+Q111</f>
        <v>0</v>
      </c>
      <c r="T111" s="8" t="n">
        <f aca="false">R111-P111</f>
        <v>0</v>
      </c>
    </row>
    <row r="112" customFormat="false" ht="14.25" hidden="false" customHeight="true" outlineLevel="0" collapsed="false">
      <c r="A112" s="6" t="n">
        <v>2026</v>
      </c>
      <c r="B112" s="6" t="s">
        <v>147</v>
      </c>
      <c r="C112" s="6" t="s">
        <v>165</v>
      </c>
      <c r="D112" s="7" t="n">
        <v>1</v>
      </c>
      <c r="E112" s="7" t="n">
        <v>3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7" t="n">
        <v>0</v>
      </c>
      <c r="N112" s="7" t="n">
        <v>0</v>
      </c>
      <c r="O112" s="7" t="n">
        <v>0</v>
      </c>
      <c r="P112" s="8" t="n">
        <f aca="false">IF(E112=0,0,G112/E112)</f>
        <v>0</v>
      </c>
      <c r="Q112" s="8" t="n">
        <f aca="false">IF(E112+N112=0,0,(G112+N112)/(E112+N112))</f>
        <v>0</v>
      </c>
      <c r="R112" s="8" t="n">
        <f aca="false">IF(E112=0,0,L112/E112)</f>
        <v>0</v>
      </c>
      <c r="S112" s="8" t="n">
        <f aca="false">R112+Q112</f>
        <v>0</v>
      </c>
      <c r="T112" s="8" t="n">
        <f aca="false">R112-P112</f>
        <v>0</v>
      </c>
    </row>
    <row r="113" customFormat="false" ht="14.25" hidden="false" customHeight="true" outlineLevel="0" collapsed="false">
      <c r="A113" s="6" t="n">
        <v>2026</v>
      </c>
      <c r="B113" s="6" t="s">
        <v>166</v>
      </c>
      <c r="C113" s="6" t="s">
        <v>167</v>
      </c>
      <c r="D113" s="7" t="n">
        <v>14</v>
      </c>
      <c r="E113" s="7" t="n">
        <v>45</v>
      </c>
      <c r="F113" s="7" t="n">
        <v>2</v>
      </c>
      <c r="G113" s="7" t="n">
        <v>15</v>
      </c>
      <c r="H113" s="7" t="n">
        <v>1</v>
      </c>
      <c r="I113" s="7" t="n">
        <v>0</v>
      </c>
      <c r="J113" s="7" t="n">
        <v>1</v>
      </c>
      <c r="K113" s="7" t="n">
        <v>2</v>
      </c>
      <c r="L113" s="7" t="n">
        <v>19</v>
      </c>
      <c r="M113" s="7" t="n">
        <v>9</v>
      </c>
      <c r="N113" s="7" t="n">
        <v>3</v>
      </c>
      <c r="O113" s="7" t="n">
        <v>0</v>
      </c>
      <c r="P113" s="8" t="n">
        <f aca="false">IF(E113=0,0,G113/E113)</f>
        <v>0.333333333333333</v>
      </c>
      <c r="Q113" s="8" t="n">
        <f aca="false">IF(E113+N113=0,0,(G113+N113)/(E113+N113))</f>
        <v>0.375</v>
      </c>
      <c r="R113" s="8" t="n">
        <f aca="false">IF(E113=0,0,L113/E113)</f>
        <v>0.422222222222222</v>
      </c>
      <c r="S113" s="8" t="n">
        <f aca="false">R113+Q113</f>
        <v>0.797222222222222</v>
      </c>
      <c r="T113" s="8" t="n">
        <f aca="false">R113-P113</f>
        <v>0.0888888888888889</v>
      </c>
    </row>
    <row r="114" customFormat="false" ht="14.25" hidden="false" customHeight="true" outlineLevel="0" collapsed="false">
      <c r="A114" s="6" t="n">
        <v>2026</v>
      </c>
      <c r="B114" s="6" t="s">
        <v>166</v>
      </c>
      <c r="C114" s="6" t="s">
        <v>168</v>
      </c>
      <c r="D114" s="7" t="n">
        <v>14</v>
      </c>
      <c r="E114" s="7" t="n">
        <v>37</v>
      </c>
      <c r="F114" s="7" t="n">
        <v>17</v>
      </c>
      <c r="G114" s="7" t="n">
        <v>19</v>
      </c>
      <c r="H114" s="7" t="n">
        <v>3</v>
      </c>
      <c r="I114" s="7" t="n">
        <v>0</v>
      </c>
      <c r="J114" s="7" t="n">
        <v>6</v>
      </c>
      <c r="K114" s="7" t="n">
        <v>9</v>
      </c>
      <c r="L114" s="7" t="n">
        <v>40</v>
      </c>
      <c r="M114" s="7" t="n">
        <v>17</v>
      </c>
      <c r="N114" s="7" t="n">
        <v>13</v>
      </c>
      <c r="O114" s="7" t="n">
        <v>0</v>
      </c>
      <c r="P114" s="8" t="n">
        <f aca="false">IF(E114=0,0,G114/E114)</f>
        <v>0.513513513513514</v>
      </c>
      <c r="Q114" s="8" t="n">
        <f aca="false">IF(E114+N114=0,0,(G114+N114)/(E114+N114))</f>
        <v>0.64</v>
      </c>
      <c r="R114" s="8" t="n">
        <f aca="false">IF(E114=0,0,L114/E114)</f>
        <v>1.08108108108108</v>
      </c>
      <c r="S114" s="8" t="n">
        <f aca="false">R114+Q114</f>
        <v>1.72108108108108</v>
      </c>
      <c r="T114" s="8" t="n">
        <f aca="false">R114-P114</f>
        <v>0.567567567567568</v>
      </c>
    </row>
    <row r="115" customFormat="false" ht="14.25" hidden="false" customHeight="true" outlineLevel="0" collapsed="false">
      <c r="A115" s="6" t="n">
        <v>2026</v>
      </c>
      <c r="B115" s="6" t="s">
        <v>166</v>
      </c>
      <c r="C115" s="6" t="s">
        <v>169</v>
      </c>
      <c r="D115" s="7" t="n">
        <v>2</v>
      </c>
      <c r="E115" s="7" t="n">
        <v>5</v>
      </c>
      <c r="F115" s="7" t="n">
        <v>3</v>
      </c>
      <c r="G115" s="7" t="n">
        <v>4</v>
      </c>
      <c r="H115" s="7" t="n">
        <v>1</v>
      </c>
      <c r="I115" s="7" t="n">
        <v>0</v>
      </c>
      <c r="J115" s="7" t="n">
        <v>1</v>
      </c>
      <c r="K115" s="7" t="n">
        <v>2</v>
      </c>
      <c r="L115" s="7" t="n">
        <v>8</v>
      </c>
      <c r="M115" s="7" t="n">
        <v>4</v>
      </c>
      <c r="N115" s="7" t="n">
        <v>1</v>
      </c>
      <c r="O115" s="7" t="n">
        <v>0</v>
      </c>
      <c r="P115" s="8" t="n">
        <f aca="false">IF(E115=0,0,G115/E115)</f>
        <v>0.8</v>
      </c>
      <c r="Q115" s="8" t="n">
        <f aca="false">IF(E115+N115=0,0,(G115+N115)/(E115+N115))</f>
        <v>0.833333333333333</v>
      </c>
      <c r="R115" s="8" t="n">
        <f aca="false">IF(E115=0,0,L115/E115)</f>
        <v>1.6</v>
      </c>
      <c r="S115" s="8" t="n">
        <f aca="false">R115+Q115</f>
        <v>2.43333333333333</v>
      </c>
      <c r="T115" s="8" t="n">
        <f aca="false">R115-P115</f>
        <v>0.8</v>
      </c>
    </row>
    <row r="116" customFormat="false" ht="14.25" hidden="false" customHeight="true" outlineLevel="0" collapsed="false">
      <c r="A116" s="6" t="n">
        <v>2026</v>
      </c>
      <c r="B116" s="6" t="s">
        <v>166</v>
      </c>
      <c r="C116" s="6" t="s">
        <v>170</v>
      </c>
      <c r="D116" s="7" t="n">
        <v>13</v>
      </c>
      <c r="E116" s="7" t="n">
        <v>31</v>
      </c>
      <c r="F116" s="7" t="n">
        <v>9</v>
      </c>
      <c r="G116" s="7" t="n">
        <v>12</v>
      </c>
      <c r="H116" s="7" t="n">
        <v>0</v>
      </c>
      <c r="I116" s="7" t="n">
        <v>0</v>
      </c>
      <c r="J116" s="7" t="n">
        <v>0</v>
      </c>
      <c r="K116" s="7" t="n">
        <v>0</v>
      </c>
      <c r="L116" s="7" t="n">
        <v>12</v>
      </c>
      <c r="M116" s="7" t="n">
        <v>3</v>
      </c>
      <c r="N116" s="7" t="n">
        <v>13</v>
      </c>
      <c r="O116" s="7" t="n">
        <v>4</v>
      </c>
      <c r="P116" s="8" t="n">
        <f aca="false">IF(E116=0,0,G116/E116)</f>
        <v>0.387096774193548</v>
      </c>
      <c r="Q116" s="8" t="n">
        <f aca="false">IF(E116+N116=0,0,(G116+N116)/(E116+N116))</f>
        <v>0.568181818181818</v>
      </c>
      <c r="R116" s="8" t="n">
        <f aca="false">IF(E116=0,0,L116/E116)</f>
        <v>0.387096774193548</v>
      </c>
      <c r="S116" s="8" t="n">
        <f aca="false">R116+Q116</f>
        <v>0.955278592375367</v>
      </c>
      <c r="T116" s="8" t="n">
        <f aca="false">R116-P116</f>
        <v>0</v>
      </c>
    </row>
    <row r="117" customFormat="false" ht="14.25" hidden="false" customHeight="true" outlineLevel="0" collapsed="false">
      <c r="A117" s="6" t="n">
        <v>2026</v>
      </c>
      <c r="B117" s="6" t="s">
        <v>166</v>
      </c>
      <c r="C117" s="6" t="s">
        <v>171</v>
      </c>
      <c r="D117" s="7" t="n">
        <v>8</v>
      </c>
      <c r="E117" s="7" t="n">
        <v>18</v>
      </c>
      <c r="F117" s="7" t="n">
        <v>2</v>
      </c>
      <c r="G117" s="7" t="n">
        <v>3</v>
      </c>
      <c r="H117" s="7" t="n">
        <v>0</v>
      </c>
      <c r="I117" s="7" t="n">
        <v>0</v>
      </c>
      <c r="J117" s="7" t="n">
        <v>1</v>
      </c>
      <c r="K117" s="7" t="n">
        <v>1</v>
      </c>
      <c r="L117" s="7" t="n">
        <v>6</v>
      </c>
      <c r="M117" s="7" t="n">
        <v>3</v>
      </c>
      <c r="N117" s="7" t="n">
        <v>4</v>
      </c>
      <c r="O117" s="7" t="n">
        <v>0</v>
      </c>
      <c r="P117" s="8" t="n">
        <f aca="false">IF(E117=0,0,G117/E117)</f>
        <v>0.166666666666667</v>
      </c>
      <c r="Q117" s="8" t="n">
        <f aca="false">IF(E117+N117=0,0,(G117+N117)/(E117+N117))</f>
        <v>0.318181818181818</v>
      </c>
      <c r="R117" s="8" t="n">
        <f aca="false">IF(E117=0,0,L117/E117)</f>
        <v>0.333333333333333</v>
      </c>
      <c r="S117" s="8" t="n">
        <f aca="false">R117+Q117</f>
        <v>0.651515151515152</v>
      </c>
      <c r="T117" s="8" t="n">
        <f aca="false">R117-P117</f>
        <v>0.166666666666667</v>
      </c>
    </row>
    <row r="118" customFormat="false" ht="14.25" hidden="false" customHeight="true" outlineLevel="0" collapsed="false">
      <c r="A118" s="6" t="n">
        <v>2026</v>
      </c>
      <c r="B118" s="6" t="s">
        <v>166</v>
      </c>
      <c r="C118" s="6" t="s">
        <v>172</v>
      </c>
      <c r="D118" s="7" t="n">
        <v>11</v>
      </c>
      <c r="E118" s="7" t="n">
        <v>35</v>
      </c>
      <c r="F118" s="7" t="n">
        <v>7</v>
      </c>
      <c r="G118" s="7" t="n">
        <v>9</v>
      </c>
      <c r="H118" s="7" t="n">
        <v>5</v>
      </c>
      <c r="I118" s="7" t="n">
        <v>0</v>
      </c>
      <c r="J118" s="7" t="n">
        <v>3</v>
      </c>
      <c r="K118" s="7" t="n">
        <v>8</v>
      </c>
      <c r="L118" s="7" t="n">
        <v>23</v>
      </c>
      <c r="M118" s="7" t="n">
        <v>9</v>
      </c>
      <c r="N118" s="7" t="n">
        <v>4</v>
      </c>
      <c r="O118" s="7" t="n">
        <v>3</v>
      </c>
      <c r="P118" s="8" t="n">
        <f aca="false">IF(E118=0,0,G118/E118)</f>
        <v>0.257142857142857</v>
      </c>
      <c r="Q118" s="8" t="n">
        <f aca="false">IF(E118+N118=0,0,(G118+N118)/(E118+N118))</f>
        <v>0.333333333333333</v>
      </c>
      <c r="R118" s="8" t="n">
        <f aca="false">IF(E118=0,0,L118/E118)</f>
        <v>0.657142857142857</v>
      </c>
      <c r="S118" s="8" t="n">
        <f aca="false">R118+Q118</f>
        <v>0.990476190476191</v>
      </c>
      <c r="T118" s="8" t="n">
        <f aca="false">R118-P118</f>
        <v>0.4</v>
      </c>
    </row>
    <row r="119" customFormat="false" ht="14.25" hidden="false" customHeight="true" outlineLevel="0" collapsed="false">
      <c r="A119" s="6" t="n">
        <v>2026</v>
      </c>
      <c r="B119" s="6" t="s">
        <v>166</v>
      </c>
      <c r="C119" s="6" t="s">
        <v>173</v>
      </c>
      <c r="D119" s="7" t="n">
        <v>11</v>
      </c>
      <c r="E119" s="7" t="n">
        <v>29</v>
      </c>
      <c r="F119" s="7" t="n">
        <v>2</v>
      </c>
      <c r="G119" s="7" t="n">
        <v>5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5</v>
      </c>
      <c r="M119" s="7" t="n">
        <v>0</v>
      </c>
      <c r="N119" s="7" t="n">
        <v>2</v>
      </c>
      <c r="O119" s="7" t="n">
        <v>0</v>
      </c>
      <c r="P119" s="8" t="n">
        <f aca="false">IF(E119=0,0,G119/E119)</f>
        <v>0.172413793103448</v>
      </c>
      <c r="Q119" s="8" t="n">
        <f aca="false">IF(E119+N119=0,0,(G119+N119)/(E119+N119))</f>
        <v>0.225806451612903</v>
      </c>
      <c r="R119" s="8" t="n">
        <f aca="false">IF(E119=0,0,L119/E119)</f>
        <v>0.172413793103448</v>
      </c>
      <c r="S119" s="8" t="n">
        <f aca="false">R119+Q119</f>
        <v>0.398220244716352</v>
      </c>
      <c r="T119" s="8" t="n">
        <f aca="false">R119-P119</f>
        <v>0</v>
      </c>
    </row>
    <row r="120" customFormat="false" ht="14.25" hidden="false" customHeight="true" outlineLevel="0" collapsed="false">
      <c r="A120" s="6" t="n">
        <v>2026</v>
      </c>
      <c r="B120" s="6" t="s">
        <v>166</v>
      </c>
      <c r="C120" s="6" t="s">
        <v>174</v>
      </c>
      <c r="D120" s="7" t="n">
        <v>13</v>
      </c>
      <c r="E120" s="7" t="n">
        <v>21</v>
      </c>
      <c r="F120" s="7" t="n">
        <v>3</v>
      </c>
      <c r="G120" s="7" t="n">
        <v>3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3</v>
      </c>
      <c r="M120" s="7" t="n">
        <v>0</v>
      </c>
      <c r="N120" s="7" t="n">
        <v>1</v>
      </c>
      <c r="O120" s="7" t="n">
        <v>1</v>
      </c>
      <c r="P120" s="8" t="n">
        <f aca="false">IF(E120=0,0,G120/E120)</f>
        <v>0.142857142857143</v>
      </c>
      <c r="Q120" s="8" t="n">
        <f aca="false">IF(E120+N120=0,0,(G120+N120)/(E120+N120))</f>
        <v>0.181818181818182</v>
      </c>
      <c r="R120" s="8" t="n">
        <f aca="false">IF(E120=0,0,L120/E120)</f>
        <v>0.142857142857143</v>
      </c>
      <c r="S120" s="8" t="n">
        <f aca="false">R120+Q120</f>
        <v>0.324675324675325</v>
      </c>
      <c r="T120" s="8" t="n">
        <f aca="false">R120-P120</f>
        <v>0</v>
      </c>
    </row>
    <row r="121" customFormat="false" ht="14.25" hidden="false" customHeight="true" outlineLevel="0" collapsed="false">
      <c r="A121" s="6" t="n">
        <v>2026</v>
      </c>
      <c r="B121" s="6" t="s">
        <v>166</v>
      </c>
      <c r="C121" s="6" t="s">
        <v>175</v>
      </c>
      <c r="D121" s="7" t="n">
        <v>9</v>
      </c>
      <c r="E121" s="7" t="n">
        <v>29</v>
      </c>
      <c r="F121" s="7" t="n">
        <v>0</v>
      </c>
      <c r="G121" s="7" t="n">
        <v>7</v>
      </c>
      <c r="H121" s="7" t="n">
        <v>1</v>
      </c>
      <c r="I121" s="7" t="n">
        <v>0</v>
      </c>
      <c r="J121" s="7" t="n">
        <v>0</v>
      </c>
      <c r="K121" s="7" t="n">
        <v>1</v>
      </c>
      <c r="L121" s="7" t="n">
        <v>8</v>
      </c>
      <c r="M121" s="7" t="n">
        <v>3</v>
      </c>
      <c r="N121" s="7" t="n">
        <v>1</v>
      </c>
      <c r="O121" s="7" t="n">
        <v>1</v>
      </c>
      <c r="P121" s="8" t="n">
        <f aca="false">IF(E121=0,0,G121/E121)</f>
        <v>0.241379310344828</v>
      </c>
      <c r="Q121" s="8" t="n">
        <f aca="false">IF(E121+N121=0,0,(G121+N121)/(E121+N121))</f>
        <v>0.266666666666667</v>
      </c>
      <c r="R121" s="8" t="n">
        <f aca="false">IF(E121=0,0,L121/E121)</f>
        <v>0.275862068965517</v>
      </c>
      <c r="S121" s="8" t="n">
        <f aca="false">R121+Q121</f>
        <v>0.542528735632184</v>
      </c>
      <c r="T121" s="8" t="n">
        <f aca="false">R121-P121</f>
        <v>0.0344827586206896</v>
      </c>
    </row>
    <row r="122" customFormat="false" ht="14.25" hidden="false" customHeight="true" outlineLevel="0" collapsed="false">
      <c r="A122" s="6" t="n">
        <v>2026</v>
      </c>
      <c r="B122" s="6" t="s">
        <v>166</v>
      </c>
      <c r="C122" s="6" t="s">
        <v>176</v>
      </c>
      <c r="D122" s="7" t="n">
        <v>10</v>
      </c>
      <c r="E122" s="7" t="n">
        <v>29</v>
      </c>
      <c r="F122" s="7" t="n">
        <v>4</v>
      </c>
      <c r="G122" s="7" t="n">
        <v>8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8</v>
      </c>
      <c r="M122" s="7" t="n">
        <v>1</v>
      </c>
      <c r="N122" s="7" t="n">
        <v>4</v>
      </c>
      <c r="O122" s="7" t="n">
        <v>2</v>
      </c>
      <c r="P122" s="8" t="n">
        <f aca="false">IF(E122=0,0,G122/E122)</f>
        <v>0.275862068965517</v>
      </c>
      <c r="Q122" s="8" t="n">
        <f aca="false">IF(E122+N122=0,0,(G122+N122)/(E122+N122))</f>
        <v>0.363636363636364</v>
      </c>
      <c r="R122" s="8" t="n">
        <f aca="false">IF(E122=0,0,L122/E122)</f>
        <v>0.275862068965517</v>
      </c>
      <c r="S122" s="8" t="n">
        <f aca="false">R122+Q122</f>
        <v>0.639498432601881</v>
      </c>
      <c r="T122" s="8" t="n">
        <f aca="false">R122-P122</f>
        <v>0</v>
      </c>
    </row>
    <row r="123" customFormat="false" ht="14.25" hidden="false" customHeight="true" outlineLevel="0" collapsed="false">
      <c r="A123" s="6" t="n">
        <v>2026</v>
      </c>
      <c r="B123" s="6" t="s">
        <v>166</v>
      </c>
      <c r="C123" s="6" t="s">
        <v>177</v>
      </c>
      <c r="D123" s="7" t="n">
        <v>9</v>
      </c>
      <c r="E123" s="7" t="n">
        <v>27</v>
      </c>
      <c r="F123" s="7" t="n">
        <v>3</v>
      </c>
      <c r="G123" s="7" t="n">
        <v>6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6</v>
      </c>
      <c r="M123" s="7" t="n">
        <v>2</v>
      </c>
      <c r="N123" s="7" t="n">
        <v>2</v>
      </c>
      <c r="O123" s="7" t="n">
        <v>3</v>
      </c>
      <c r="P123" s="8" t="n">
        <f aca="false">IF(E123=0,0,G123/E123)</f>
        <v>0.222222222222222</v>
      </c>
      <c r="Q123" s="8" t="n">
        <f aca="false">IF(E123+N123=0,0,(G123+N123)/(E123+N123))</f>
        <v>0.275862068965517</v>
      </c>
      <c r="R123" s="8" t="n">
        <f aca="false">IF(E123=0,0,L123/E123)</f>
        <v>0.222222222222222</v>
      </c>
      <c r="S123" s="8" t="n">
        <f aca="false">R123+Q123</f>
        <v>0.498084291187739</v>
      </c>
      <c r="T123" s="8" t="n">
        <f aca="false">R123-P123</f>
        <v>0</v>
      </c>
    </row>
    <row r="124" customFormat="false" ht="14.25" hidden="false" customHeight="true" outlineLevel="0" collapsed="false">
      <c r="A124" s="6" t="n">
        <v>2026</v>
      </c>
      <c r="B124" s="6" t="s">
        <v>166</v>
      </c>
      <c r="C124" s="6" t="s">
        <v>178</v>
      </c>
      <c r="D124" s="7" t="n">
        <v>6</v>
      </c>
      <c r="E124" s="7" t="n">
        <v>13</v>
      </c>
      <c r="F124" s="7" t="n">
        <v>7</v>
      </c>
      <c r="G124" s="7" t="n">
        <v>3</v>
      </c>
      <c r="H124" s="7" t="n">
        <v>0</v>
      </c>
      <c r="I124" s="7" t="n">
        <v>0</v>
      </c>
      <c r="J124" s="7" t="n">
        <v>3</v>
      </c>
      <c r="K124" s="7" t="n">
        <v>3</v>
      </c>
      <c r="L124" s="7" t="n">
        <v>12</v>
      </c>
      <c r="M124" s="7" t="n">
        <v>7</v>
      </c>
      <c r="N124" s="7" t="n">
        <v>9</v>
      </c>
      <c r="O124" s="7" t="n">
        <v>1</v>
      </c>
      <c r="P124" s="8" t="n">
        <f aca="false">IF(E124=0,0,G124/E124)</f>
        <v>0.230769230769231</v>
      </c>
      <c r="Q124" s="8" t="n">
        <f aca="false">IF(E124+N124=0,0,(G124+N124)/(E124+N124))</f>
        <v>0.545454545454545</v>
      </c>
      <c r="R124" s="8" t="n">
        <f aca="false">IF(E124=0,0,L124/E124)</f>
        <v>0.923076923076923</v>
      </c>
      <c r="S124" s="8" t="n">
        <f aca="false">R124+Q124</f>
        <v>1.46853146853147</v>
      </c>
      <c r="T124" s="8" t="n">
        <f aca="false">R124-P124</f>
        <v>0.692307692307692</v>
      </c>
    </row>
    <row r="125" customFormat="false" ht="14.25" hidden="false" customHeight="true" outlineLevel="0" collapsed="false">
      <c r="A125" s="6" t="n">
        <v>2026</v>
      </c>
      <c r="B125" s="6" t="s">
        <v>166</v>
      </c>
      <c r="C125" s="6" t="s">
        <v>179</v>
      </c>
      <c r="D125" s="7" t="n">
        <v>3</v>
      </c>
      <c r="E125" s="7" t="n">
        <v>8</v>
      </c>
      <c r="F125" s="7" t="n">
        <v>1</v>
      </c>
      <c r="G125" s="7" t="n">
        <v>1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1</v>
      </c>
      <c r="M125" s="7" t="n">
        <v>0</v>
      </c>
      <c r="N125" s="7" t="n">
        <v>1</v>
      </c>
      <c r="O125" s="7" t="n">
        <v>1</v>
      </c>
      <c r="P125" s="8" t="n">
        <f aca="false">IF(E125=0,0,G125/E125)</f>
        <v>0.125</v>
      </c>
      <c r="Q125" s="8" t="n">
        <f aca="false">IF(E125+N125=0,0,(G125+N125)/(E125+N125))</f>
        <v>0.222222222222222</v>
      </c>
      <c r="R125" s="8" t="n">
        <f aca="false">IF(E125=0,0,L125/E125)</f>
        <v>0.125</v>
      </c>
      <c r="S125" s="8" t="n">
        <f aca="false">R125+Q125</f>
        <v>0.347222222222222</v>
      </c>
      <c r="T125" s="8" t="n">
        <f aca="false">R125-P125</f>
        <v>0</v>
      </c>
    </row>
    <row r="126" customFormat="false" ht="14.25" hidden="false" customHeight="true" outlineLevel="0" collapsed="false">
      <c r="A126" s="6" t="n">
        <v>2026</v>
      </c>
      <c r="B126" s="6" t="s">
        <v>166</v>
      </c>
      <c r="C126" s="6" t="s">
        <v>180</v>
      </c>
      <c r="D126" s="7" t="n">
        <v>1</v>
      </c>
      <c r="E126" s="7" t="n">
        <v>2</v>
      </c>
      <c r="F126" s="7" t="n">
        <v>0</v>
      </c>
      <c r="G126" s="7" t="n">
        <v>1</v>
      </c>
      <c r="H126" s="7" t="n">
        <v>0</v>
      </c>
      <c r="I126" s="7" t="n">
        <v>0</v>
      </c>
      <c r="J126" s="7" t="n">
        <v>0</v>
      </c>
      <c r="K126" s="7" t="n">
        <v>0</v>
      </c>
      <c r="L126" s="7" t="n">
        <v>1</v>
      </c>
      <c r="M126" s="7" t="n">
        <v>0</v>
      </c>
      <c r="N126" s="7" t="n">
        <v>0</v>
      </c>
      <c r="O126" s="7" t="n">
        <v>0</v>
      </c>
      <c r="P126" s="8" t="n">
        <f aca="false">IF(E126=0,0,G126/E126)</f>
        <v>0.5</v>
      </c>
      <c r="Q126" s="8" t="n">
        <f aca="false">IF(E126+N126=0,0,(G126+N126)/(E126+N126))</f>
        <v>0.5</v>
      </c>
      <c r="R126" s="8" t="n">
        <f aca="false">IF(E126=0,0,L126/E126)</f>
        <v>0.5</v>
      </c>
      <c r="S126" s="8" t="n">
        <f aca="false">R126+Q126</f>
        <v>1</v>
      </c>
      <c r="T126" s="8" t="n">
        <f aca="false">R126-P126</f>
        <v>0</v>
      </c>
    </row>
    <row r="127" customFormat="false" ht="14.25" hidden="false" customHeight="true" outlineLevel="0" collapsed="false">
      <c r="A127" s="6" t="n">
        <v>2026</v>
      </c>
      <c r="B127" s="6" t="s">
        <v>166</v>
      </c>
      <c r="C127" s="6" t="s">
        <v>181</v>
      </c>
      <c r="D127" s="7" t="n">
        <v>8</v>
      </c>
      <c r="E127" s="7" t="n">
        <v>19</v>
      </c>
      <c r="F127" s="7" t="n">
        <v>2</v>
      </c>
      <c r="G127" s="7" t="n">
        <v>3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3</v>
      </c>
      <c r="M127" s="7" t="n">
        <v>0</v>
      </c>
      <c r="N127" s="7" t="n">
        <v>4</v>
      </c>
      <c r="O127" s="7" t="n">
        <v>1</v>
      </c>
      <c r="P127" s="8" t="n">
        <f aca="false">IF(E127=0,0,G127/E127)</f>
        <v>0.157894736842105</v>
      </c>
      <c r="Q127" s="8" t="n">
        <f aca="false">IF(E127+N127=0,0,(G127+N127)/(E127+N127))</f>
        <v>0.304347826086957</v>
      </c>
      <c r="R127" s="8" t="n">
        <f aca="false">IF(E127=0,0,L127/E127)</f>
        <v>0.157894736842105</v>
      </c>
      <c r="S127" s="8" t="n">
        <f aca="false">R127+Q127</f>
        <v>0.462242562929062</v>
      </c>
      <c r="T127" s="8" t="n">
        <f aca="false">R127-P127</f>
        <v>0</v>
      </c>
    </row>
    <row r="128" customFormat="false" ht="14.25" hidden="false" customHeight="true" outlineLevel="0" collapsed="false">
      <c r="A128" s="6" t="n">
        <v>2026</v>
      </c>
      <c r="B128" s="6" t="s">
        <v>166</v>
      </c>
      <c r="C128" s="6" t="s">
        <v>182</v>
      </c>
      <c r="D128" s="7" t="n">
        <v>6</v>
      </c>
      <c r="E128" s="7" t="n">
        <v>18</v>
      </c>
      <c r="F128" s="7" t="n">
        <v>3</v>
      </c>
      <c r="G128" s="7" t="n">
        <v>2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2</v>
      </c>
      <c r="M128" s="7" t="n">
        <v>0</v>
      </c>
      <c r="N128" s="7" t="n">
        <v>2</v>
      </c>
      <c r="O128" s="7" t="n">
        <v>2</v>
      </c>
      <c r="P128" s="8" t="n">
        <f aca="false">IF(E128=0,0,G128/E128)</f>
        <v>0.111111111111111</v>
      </c>
      <c r="Q128" s="8" t="n">
        <f aca="false">IF(E128+N128=0,0,(G128+N128)/(E128+N128))</f>
        <v>0.2</v>
      </c>
      <c r="R128" s="8" t="n">
        <f aca="false">IF(E128=0,0,L128/E128)</f>
        <v>0.111111111111111</v>
      </c>
      <c r="S128" s="8" t="n">
        <f aca="false">R128+Q128</f>
        <v>0.311111111111111</v>
      </c>
      <c r="T128" s="8" t="n">
        <f aca="false">R128-P128</f>
        <v>0</v>
      </c>
    </row>
    <row r="129" customFormat="false" ht="14.25" hidden="false" customHeight="true" outlineLevel="0" collapsed="false">
      <c r="A129" s="6" t="n">
        <v>2026</v>
      </c>
      <c r="B129" s="6" t="s">
        <v>166</v>
      </c>
      <c r="C129" s="6" t="s">
        <v>183</v>
      </c>
      <c r="D129" s="7" t="n">
        <v>1</v>
      </c>
      <c r="E129" s="7" t="n">
        <v>3</v>
      </c>
      <c r="F129" s="7" t="n">
        <v>0</v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8" t="n">
        <f aca="false">IF(E129=0,0,G129/E129)</f>
        <v>0</v>
      </c>
      <c r="Q129" s="8" t="n">
        <f aca="false">IF(E129+N129=0,0,(G129+N129)/(E129+N129))</f>
        <v>0</v>
      </c>
      <c r="R129" s="8" t="n">
        <f aca="false">IF(E129=0,0,L129/E129)</f>
        <v>0</v>
      </c>
      <c r="S129" s="8" t="n">
        <f aca="false">R129+Q129</f>
        <v>0</v>
      </c>
      <c r="T129" s="8" t="n">
        <f aca="false">R129-P129</f>
        <v>0</v>
      </c>
    </row>
    <row r="130" customFormat="false" ht="14.25" hidden="false" customHeight="true" outlineLevel="0" collapsed="false">
      <c r="A130" s="6" t="n">
        <v>2026</v>
      </c>
      <c r="B130" s="6" t="s">
        <v>166</v>
      </c>
      <c r="C130" s="6" t="s">
        <v>184</v>
      </c>
      <c r="D130" s="7" t="n">
        <v>1</v>
      </c>
      <c r="E130" s="7" t="n">
        <v>0</v>
      </c>
      <c r="F130" s="7" t="n">
        <v>0</v>
      </c>
      <c r="G130" s="7" t="n">
        <v>0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7" t="n">
        <v>0</v>
      </c>
      <c r="N130" s="7" t="n">
        <v>0</v>
      </c>
      <c r="O130" s="7" t="n">
        <v>0</v>
      </c>
      <c r="P130" s="8" t="n">
        <f aca="false">IF(E130=0,0,G130/E130)</f>
        <v>0</v>
      </c>
      <c r="Q130" s="8" t="n">
        <f aca="false">IF(E130+N130=0,0,(G130+N130)/(E130+N130))</f>
        <v>0</v>
      </c>
      <c r="R130" s="8" t="n">
        <f aca="false">IF(E130=0,0,L130/E130)</f>
        <v>0</v>
      </c>
      <c r="S130" s="8" t="n">
        <f aca="false">R130+Q130</f>
        <v>0</v>
      </c>
      <c r="T130" s="8" t="n">
        <f aca="false">R130-P130</f>
        <v>0</v>
      </c>
    </row>
    <row r="131" customFormat="false" ht="14.25" hidden="false" customHeight="true" outlineLevel="0" collapsed="false">
      <c r="A131" s="6" t="n">
        <v>2026</v>
      </c>
      <c r="B131" s="6" t="s">
        <v>166</v>
      </c>
      <c r="C131" s="6" t="s">
        <v>185</v>
      </c>
      <c r="D131" s="7" t="n">
        <v>1</v>
      </c>
      <c r="E131" s="7" t="n">
        <v>2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1</v>
      </c>
      <c r="O131" s="7" t="n">
        <v>0</v>
      </c>
      <c r="P131" s="8" t="n">
        <f aca="false">IF(E131=0,0,G131/E131)</f>
        <v>0</v>
      </c>
      <c r="Q131" s="8" t="n">
        <f aca="false">IF(E131+N131=0,0,(G131+N131)/(E131+N131))</f>
        <v>0.333333333333333</v>
      </c>
      <c r="R131" s="8" t="n">
        <f aca="false">IF(E131=0,0,L131/E131)</f>
        <v>0</v>
      </c>
      <c r="S131" s="8" t="n">
        <f aca="false">R131+Q131</f>
        <v>0.333333333333333</v>
      </c>
      <c r="T131" s="8" t="n">
        <f aca="false">R131-P131</f>
        <v>0</v>
      </c>
    </row>
    <row r="132" customFormat="false" ht="14.25" hidden="false" customHeight="true" outlineLevel="0" collapsed="false">
      <c r="A132" s="6" t="n">
        <v>2026</v>
      </c>
      <c r="B132" s="6" t="s">
        <v>166</v>
      </c>
      <c r="C132" s="6" t="s">
        <v>186</v>
      </c>
      <c r="D132" s="7" t="n">
        <v>1</v>
      </c>
      <c r="E132" s="7" t="n">
        <v>1</v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7" t="n">
        <v>0</v>
      </c>
      <c r="N132" s="7" t="n">
        <v>0</v>
      </c>
      <c r="O132" s="7" t="n">
        <v>0</v>
      </c>
      <c r="P132" s="8" t="n">
        <f aca="false">IF(E132=0,0,G132/E132)</f>
        <v>0</v>
      </c>
      <c r="Q132" s="8" t="n">
        <f aca="false">IF(E132+N132=0,0,(G132+N132)/(E132+N132))</f>
        <v>0</v>
      </c>
      <c r="R132" s="8" t="n">
        <f aca="false">IF(E132=0,0,L132/E132)</f>
        <v>0</v>
      </c>
      <c r="S132" s="8" t="n">
        <f aca="false">R132+Q132</f>
        <v>0</v>
      </c>
      <c r="T132" s="8" t="n">
        <f aca="false">R132-P132</f>
        <v>0</v>
      </c>
    </row>
    <row r="133" customFormat="false" ht="14.25" hidden="false" customHeight="true" outlineLevel="0" collapsed="false">
      <c r="A133" s="6" t="n">
        <v>2026</v>
      </c>
      <c r="B133" s="6" t="s">
        <v>166</v>
      </c>
      <c r="C133" s="6" t="s">
        <v>187</v>
      </c>
      <c r="D133" s="7" t="n">
        <v>3</v>
      </c>
      <c r="E133" s="7" t="n">
        <v>9</v>
      </c>
      <c r="F133" s="7" t="n">
        <v>3</v>
      </c>
      <c r="G133" s="7" t="n">
        <v>2</v>
      </c>
      <c r="H133" s="7" t="n">
        <v>0</v>
      </c>
      <c r="I133" s="7" t="n">
        <v>1</v>
      </c>
      <c r="J133" s="7" t="n">
        <v>0</v>
      </c>
      <c r="K133" s="7" t="n">
        <v>1</v>
      </c>
      <c r="L133" s="7" t="n">
        <v>4</v>
      </c>
      <c r="M133" s="7" t="n">
        <v>2</v>
      </c>
      <c r="N133" s="7" t="n">
        <v>3</v>
      </c>
      <c r="O133" s="7" t="n">
        <v>0</v>
      </c>
      <c r="P133" s="8" t="n">
        <f aca="false">IF(E133=0,0,G133/E133)</f>
        <v>0.222222222222222</v>
      </c>
      <c r="Q133" s="8" t="n">
        <f aca="false">IF(E133+N133=0,0,(G133+N133)/(E133+N133))</f>
        <v>0.416666666666667</v>
      </c>
      <c r="R133" s="8" t="n">
        <f aca="false">IF(E133=0,0,L133/E133)</f>
        <v>0.444444444444444</v>
      </c>
      <c r="S133" s="8" t="n">
        <f aca="false">R133+Q133</f>
        <v>0.861111111111111</v>
      </c>
      <c r="T133" s="8" t="n">
        <f aca="false">R133-P133</f>
        <v>0.222222222222222</v>
      </c>
    </row>
    <row r="134" customFormat="false" ht="14.25" hidden="false" customHeight="true" outlineLevel="0" collapsed="false">
      <c r="A134" s="6" t="n">
        <v>2026</v>
      </c>
      <c r="B134" s="6" t="s">
        <v>166</v>
      </c>
      <c r="C134" s="6" t="s">
        <v>188</v>
      </c>
      <c r="D134" s="7" t="n">
        <v>3</v>
      </c>
      <c r="E134" s="7" t="n">
        <v>6</v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7" t="n">
        <v>0</v>
      </c>
      <c r="N134" s="7" t="n">
        <v>0</v>
      </c>
      <c r="O134" s="7" t="n">
        <v>0</v>
      </c>
      <c r="P134" s="8" t="n">
        <f aca="false">IF(E134=0,0,G134/E134)</f>
        <v>0</v>
      </c>
      <c r="Q134" s="8" t="n">
        <f aca="false">IF(E134+N134=0,0,(G134+N134)/(E134+N134))</f>
        <v>0</v>
      </c>
      <c r="R134" s="8" t="n">
        <f aca="false">IF(E134=0,0,L134/E134)</f>
        <v>0</v>
      </c>
      <c r="S134" s="8" t="n">
        <f aca="false">R134+Q134</f>
        <v>0</v>
      </c>
      <c r="T134" s="8" t="n">
        <f aca="false">R134-P134</f>
        <v>0</v>
      </c>
    </row>
    <row r="135" customFormat="false" ht="14.25" hidden="false" customHeight="true" outlineLevel="0" collapsed="false">
      <c r="A135" s="6" t="n">
        <v>2026</v>
      </c>
      <c r="B135" s="6" t="s">
        <v>166</v>
      </c>
      <c r="C135" s="6" t="s">
        <v>189</v>
      </c>
      <c r="D135" s="7" t="n">
        <v>4</v>
      </c>
      <c r="E135" s="7" t="n">
        <v>5</v>
      </c>
      <c r="F135" s="7" t="n">
        <v>1</v>
      </c>
      <c r="G135" s="7" t="n">
        <v>1</v>
      </c>
      <c r="H135" s="7" t="n">
        <v>0</v>
      </c>
      <c r="I135" s="7" t="n">
        <v>0</v>
      </c>
      <c r="J135" s="7" t="n">
        <v>0</v>
      </c>
      <c r="K135" s="7" t="n">
        <v>0</v>
      </c>
      <c r="L135" s="7" t="n">
        <v>1</v>
      </c>
      <c r="M135" s="7" t="n">
        <v>0</v>
      </c>
      <c r="N135" s="7" t="n">
        <v>0</v>
      </c>
      <c r="O135" s="7" t="n">
        <v>0</v>
      </c>
      <c r="P135" s="8" t="n">
        <f aca="false">IF(E135=0,0,G135/E135)</f>
        <v>0.2</v>
      </c>
      <c r="Q135" s="8" t="n">
        <f aca="false">IF(E135+N135=0,0,(G135+N135)/(E135+N135))</f>
        <v>0.2</v>
      </c>
      <c r="R135" s="8" t="n">
        <f aca="false">IF(E135=0,0,L135/E135)</f>
        <v>0.2</v>
      </c>
      <c r="S135" s="8" t="n">
        <f aca="false">R135+Q135</f>
        <v>0.4</v>
      </c>
      <c r="T135" s="8" t="n">
        <f aca="false">R135-P135</f>
        <v>0</v>
      </c>
    </row>
    <row r="136" customFormat="false" ht="14.25" hidden="false" customHeight="true" outlineLevel="0" collapsed="false">
      <c r="A136" s="6" t="n">
        <v>2026</v>
      </c>
      <c r="B136" s="6" t="s">
        <v>166</v>
      </c>
      <c r="C136" s="6" t="s">
        <v>190</v>
      </c>
      <c r="D136" s="7" t="n">
        <v>1</v>
      </c>
      <c r="E136" s="7" t="n">
        <v>2</v>
      </c>
      <c r="F136" s="7" t="n">
        <v>0</v>
      </c>
      <c r="G136" s="7" t="n">
        <v>0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7" t="n">
        <v>0</v>
      </c>
      <c r="N136" s="7" t="n">
        <v>0</v>
      </c>
      <c r="O136" s="7" t="n">
        <v>0</v>
      </c>
      <c r="P136" s="8" t="n">
        <f aca="false">IF(E136=0,0,G136/E136)</f>
        <v>0</v>
      </c>
      <c r="Q136" s="8" t="n">
        <f aca="false">IF(E136+N136=0,0,(G136+N136)/(E136+N136))</f>
        <v>0</v>
      </c>
      <c r="R136" s="8" t="n">
        <f aca="false">IF(E136=0,0,L136/E136)</f>
        <v>0</v>
      </c>
      <c r="S136" s="8" t="n">
        <f aca="false">R136+Q136</f>
        <v>0</v>
      </c>
      <c r="T136" s="8" t="n">
        <f aca="false">R136-P136</f>
        <v>0</v>
      </c>
    </row>
    <row r="137" customFormat="false" ht="14.25" hidden="false" customHeight="true" outlineLevel="0" collapsed="false">
      <c r="A137" s="6" t="n">
        <v>2026</v>
      </c>
      <c r="B137" s="6" t="s">
        <v>166</v>
      </c>
      <c r="C137" s="6" t="s">
        <v>191</v>
      </c>
      <c r="D137" s="7" t="n">
        <v>1</v>
      </c>
      <c r="E137" s="7" t="n">
        <v>2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 t="n">
        <v>0</v>
      </c>
      <c r="P137" s="8" t="n">
        <f aca="false">IF(E137=0,0,G137/E137)</f>
        <v>0</v>
      </c>
      <c r="Q137" s="8" t="n">
        <f aca="false">IF(E137+N137=0,0,(G137+N137)/(E137+N137))</f>
        <v>0</v>
      </c>
      <c r="R137" s="8" t="n">
        <f aca="false">IF(E137=0,0,L137/E137)</f>
        <v>0</v>
      </c>
      <c r="S137" s="8" t="n">
        <f aca="false">R137+Q137</f>
        <v>0</v>
      </c>
      <c r="T137" s="8" t="n">
        <f aca="false">R137-P137</f>
        <v>0</v>
      </c>
    </row>
    <row r="138" customFormat="false" ht="14.25" hidden="false" customHeight="true" outlineLevel="0" collapsed="false">
      <c r="A138" s="6" t="n">
        <v>2026</v>
      </c>
      <c r="B138" s="6" t="s">
        <v>192</v>
      </c>
      <c r="C138" s="6" t="s">
        <v>193</v>
      </c>
      <c r="D138" s="7" t="n">
        <v>14</v>
      </c>
      <c r="E138" s="7" t="n">
        <v>46</v>
      </c>
      <c r="F138" s="7" t="n">
        <v>24</v>
      </c>
      <c r="G138" s="7" t="n">
        <v>24</v>
      </c>
      <c r="H138" s="7" t="n">
        <v>12</v>
      </c>
      <c r="I138" s="7" t="n">
        <v>0</v>
      </c>
      <c r="J138" s="7" t="n">
        <v>2</v>
      </c>
      <c r="K138" s="7" t="n">
        <v>14</v>
      </c>
      <c r="L138" s="7" t="n">
        <v>42</v>
      </c>
      <c r="M138" s="7" t="n">
        <v>10</v>
      </c>
      <c r="N138" s="7" t="n">
        <v>6</v>
      </c>
      <c r="O138" s="7" t="n">
        <v>2</v>
      </c>
      <c r="P138" s="8" t="n">
        <f aca="false">IF(E138=0,0,G138/E138)</f>
        <v>0.521739130434783</v>
      </c>
      <c r="Q138" s="8" t="n">
        <f aca="false">IF(E138+N138=0,0,(G138+N138)/(E138+N138))</f>
        <v>0.576923076923077</v>
      </c>
      <c r="R138" s="8" t="n">
        <f aca="false">IF(E138=0,0,L138/E138)</f>
        <v>0.91304347826087</v>
      </c>
      <c r="S138" s="8" t="n">
        <f aca="false">R138+Q138</f>
        <v>1.48996655518395</v>
      </c>
      <c r="T138" s="8" t="n">
        <f aca="false">R138-P138</f>
        <v>0.391304347826087</v>
      </c>
    </row>
    <row r="139" customFormat="false" ht="14.25" hidden="false" customHeight="true" outlineLevel="0" collapsed="false">
      <c r="A139" s="6" t="n">
        <v>2026</v>
      </c>
      <c r="B139" s="6" t="s">
        <v>192</v>
      </c>
      <c r="C139" s="6" t="s">
        <v>194</v>
      </c>
      <c r="D139" s="7" t="n">
        <v>13</v>
      </c>
      <c r="E139" s="7" t="n">
        <v>42</v>
      </c>
      <c r="F139" s="7" t="n">
        <v>24</v>
      </c>
      <c r="G139" s="7" t="n">
        <v>25</v>
      </c>
      <c r="H139" s="7" t="n">
        <v>7</v>
      </c>
      <c r="I139" s="7" t="n">
        <v>1</v>
      </c>
      <c r="J139" s="7" t="n">
        <v>6</v>
      </c>
      <c r="K139" s="7" t="n">
        <v>14</v>
      </c>
      <c r="L139" s="7" t="n">
        <v>52</v>
      </c>
      <c r="M139" s="7" t="n">
        <v>18</v>
      </c>
      <c r="N139" s="7" t="n">
        <v>4</v>
      </c>
      <c r="O139" s="7" t="n">
        <v>1</v>
      </c>
      <c r="P139" s="8" t="n">
        <f aca="false">IF(E139=0,0,G139/E139)</f>
        <v>0.595238095238095</v>
      </c>
      <c r="Q139" s="8" t="n">
        <f aca="false">IF(E139+N139=0,0,(G139+N139)/(E139+N139))</f>
        <v>0.630434782608696</v>
      </c>
      <c r="R139" s="8" t="n">
        <f aca="false">IF(E139=0,0,L139/E139)</f>
        <v>1.23809523809524</v>
      </c>
      <c r="S139" s="8" t="n">
        <f aca="false">R139+Q139</f>
        <v>1.86853002070393</v>
      </c>
      <c r="T139" s="8" t="n">
        <f aca="false">R139-P139</f>
        <v>0.642857142857143</v>
      </c>
    </row>
    <row r="140" customFormat="false" ht="14.25" hidden="false" customHeight="true" outlineLevel="0" collapsed="false">
      <c r="A140" s="6" t="n">
        <v>2026</v>
      </c>
      <c r="B140" s="6" t="s">
        <v>192</v>
      </c>
      <c r="C140" s="6" t="s">
        <v>195</v>
      </c>
      <c r="D140" s="7" t="n">
        <v>14</v>
      </c>
      <c r="E140" s="7" t="n">
        <v>44</v>
      </c>
      <c r="F140" s="7" t="n">
        <v>12</v>
      </c>
      <c r="G140" s="7" t="n">
        <v>22</v>
      </c>
      <c r="H140" s="7" t="n">
        <v>6</v>
      </c>
      <c r="I140" s="7" t="n">
        <v>0</v>
      </c>
      <c r="J140" s="7" t="n">
        <v>2</v>
      </c>
      <c r="K140" s="7" t="n">
        <v>8</v>
      </c>
      <c r="L140" s="7" t="n">
        <v>34</v>
      </c>
      <c r="M140" s="7" t="n">
        <v>16</v>
      </c>
      <c r="N140" s="7" t="n">
        <v>4</v>
      </c>
      <c r="O140" s="7" t="n">
        <v>3</v>
      </c>
      <c r="P140" s="8" t="n">
        <f aca="false">IF(E140=0,0,G140/E140)</f>
        <v>0.5</v>
      </c>
      <c r="Q140" s="8" t="n">
        <f aca="false">IF(E140+N140=0,0,(G140+N140)/(E140+N140))</f>
        <v>0.541666666666667</v>
      </c>
      <c r="R140" s="8" t="n">
        <f aca="false">IF(E140=0,0,L140/E140)</f>
        <v>0.772727272727273</v>
      </c>
      <c r="S140" s="8" t="n">
        <f aca="false">R140+Q140</f>
        <v>1.31439393939394</v>
      </c>
      <c r="T140" s="8" t="n">
        <f aca="false">R140-P140</f>
        <v>0.272727272727273</v>
      </c>
    </row>
    <row r="141" customFormat="false" ht="14.25" hidden="false" customHeight="true" outlineLevel="0" collapsed="false">
      <c r="A141" s="6" t="n">
        <v>2026</v>
      </c>
      <c r="B141" s="6" t="s">
        <v>192</v>
      </c>
      <c r="C141" s="6" t="s">
        <v>196</v>
      </c>
      <c r="D141" s="7" t="n">
        <v>14</v>
      </c>
      <c r="E141" s="7" t="n">
        <v>44</v>
      </c>
      <c r="F141" s="7" t="n">
        <v>14</v>
      </c>
      <c r="G141" s="7" t="n">
        <v>16</v>
      </c>
      <c r="H141" s="7" t="n">
        <v>1</v>
      </c>
      <c r="I141" s="7" t="n">
        <v>0</v>
      </c>
      <c r="J141" s="7" t="n">
        <v>4</v>
      </c>
      <c r="K141" s="7" t="n">
        <v>5</v>
      </c>
      <c r="L141" s="7" t="n">
        <v>29</v>
      </c>
      <c r="M141" s="7" t="n">
        <v>19</v>
      </c>
      <c r="N141" s="7" t="n">
        <v>6</v>
      </c>
      <c r="O141" s="7" t="n">
        <v>3</v>
      </c>
      <c r="P141" s="8" t="n">
        <f aca="false">IF(E141=0,0,G141/E141)</f>
        <v>0.363636363636364</v>
      </c>
      <c r="Q141" s="8" t="n">
        <f aca="false">IF(E141+N141=0,0,(G141+N141)/(E141+N141))</f>
        <v>0.44</v>
      </c>
      <c r="R141" s="8" t="n">
        <f aca="false">IF(E141=0,0,L141/E141)</f>
        <v>0.659090909090909</v>
      </c>
      <c r="S141" s="8" t="n">
        <f aca="false">R141+Q141</f>
        <v>1.09909090909091</v>
      </c>
      <c r="T141" s="8" t="n">
        <f aca="false">R141-P141</f>
        <v>0.295454545454545</v>
      </c>
    </row>
    <row r="142" customFormat="false" ht="14.25" hidden="false" customHeight="true" outlineLevel="0" collapsed="false">
      <c r="A142" s="6" t="n">
        <v>2026</v>
      </c>
      <c r="B142" s="6" t="s">
        <v>192</v>
      </c>
      <c r="C142" s="6" t="s">
        <v>197</v>
      </c>
      <c r="D142" s="7" t="n">
        <v>13</v>
      </c>
      <c r="E142" s="7" t="n">
        <v>41</v>
      </c>
      <c r="F142" s="7" t="n">
        <v>11</v>
      </c>
      <c r="G142" s="7" t="n">
        <v>15</v>
      </c>
      <c r="H142" s="7" t="n">
        <v>0</v>
      </c>
      <c r="I142" s="7" t="n">
        <v>0</v>
      </c>
      <c r="J142" s="7" t="n">
        <v>2</v>
      </c>
      <c r="K142" s="7" t="n">
        <v>2</v>
      </c>
      <c r="L142" s="7" t="n">
        <v>21</v>
      </c>
      <c r="M142" s="7" t="n">
        <v>13</v>
      </c>
      <c r="N142" s="7" t="n">
        <v>1</v>
      </c>
      <c r="O142" s="7" t="n">
        <v>1</v>
      </c>
      <c r="P142" s="8" t="n">
        <f aca="false">IF(E142=0,0,G142/E142)</f>
        <v>0.365853658536585</v>
      </c>
      <c r="Q142" s="8" t="n">
        <f aca="false">IF(E142+N142=0,0,(G142+N142)/(E142+N142))</f>
        <v>0.380952380952381</v>
      </c>
      <c r="R142" s="8" t="n">
        <f aca="false">IF(E142=0,0,L142/E142)</f>
        <v>0.51219512195122</v>
      </c>
      <c r="S142" s="8" t="n">
        <f aca="false">R142+Q142</f>
        <v>0.893147502903601</v>
      </c>
      <c r="T142" s="8" t="n">
        <f aca="false">R142-P142</f>
        <v>0.146341463414634</v>
      </c>
    </row>
    <row r="143" customFormat="false" ht="14.25" hidden="false" customHeight="true" outlineLevel="0" collapsed="false">
      <c r="A143" s="6" t="n">
        <v>2026</v>
      </c>
      <c r="B143" s="6" t="s">
        <v>192</v>
      </c>
      <c r="C143" s="6" t="s">
        <v>198</v>
      </c>
      <c r="D143" s="7" t="n">
        <v>14</v>
      </c>
      <c r="E143" s="7" t="n">
        <v>41</v>
      </c>
      <c r="F143" s="7" t="n">
        <v>10</v>
      </c>
      <c r="G143" s="7" t="n">
        <v>16</v>
      </c>
      <c r="H143" s="7" t="n">
        <v>1</v>
      </c>
      <c r="I143" s="7" t="n">
        <v>0</v>
      </c>
      <c r="J143" s="7" t="n">
        <v>5</v>
      </c>
      <c r="K143" s="7" t="n">
        <v>6</v>
      </c>
      <c r="L143" s="7" t="n">
        <v>32</v>
      </c>
      <c r="M143" s="7" t="n">
        <v>23</v>
      </c>
      <c r="N143" s="7" t="n">
        <v>5</v>
      </c>
      <c r="O143" s="7" t="n">
        <v>3</v>
      </c>
      <c r="P143" s="8" t="n">
        <f aca="false">IF(E143=0,0,G143/E143)</f>
        <v>0.390243902439024</v>
      </c>
      <c r="Q143" s="8" t="n">
        <f aca="false">IF(E143+N143=0,0,(G143+N143)/(E143+N143))</f>
        <v>0.456521739130435</v>
      </c>
      <c r="R143" s="8" t="n">
        <f aca="false">IF(E143=0,0,L143/E143)</f>
        <v>0.780487804878049</v>
      </c>
      <c r="S143" s="8" t="n">
        <f aca="false">R143+Q143</f>
        <v>1.23700954400848</v>
      </c>
      <c r="T143" s="8" t="n">
        <f aca="false">R143-P143</f>
        <v>0.390243902439024</v>
      </c>
    </row>
    <row r="144" customFormat="false" ht="14.25" hidden="false" customHeight="true" outlineLevel="0" collapsed="false">
      <c r="A144" s="6" t="n">
        <v>2026</v>
      </c>
      <c r="B144" s="6" t="s">
        <v>192</v>
      </c>
      <c r="C144" s="6" t="s">
        <v>199</v>
      </c>
      <c r="D144" s="7" t="n">
        <v>14</v>
      </c>
      <c r="E144" s="7" t="n">
        <v>40</v>
      </c>
      <c r="F144" s="7" t="n">
        <v>8</v>
      </c>
      <c r="G144" s="7" t="n">
        <v>12</v>
      </c>
      <c r="H144" s="7" t="n">
        <v>4</v>
      </c>
      <c r="I144" s="7" t="n">
        <v>0</v>
      </c>
      <c r="J144" s="7" t="n">
        <v>0</v>
      </c>
      <c r="K144" s="7" t="n">
        <v>4</v>
      </c>
      <c r="L144" s="7" t="n">
        <v>16</v>
      </c>
      <c r="M144" s="7" t="n">
        <v>4</v>
      </c>
      <c r="N144" s="7" t="n">
        <v>7</v>
      </c>
      <c r="O144" s="7" t="n">
        <v>2</v>
      </c>
      <c r="P144" s="8" t="n">
        <f aca="false">IF(E144=0,0,G144/E144)</f>
        <v>0.3</v>
      </c>
      <c r="Q144" s="8" t="n">
        <f aca="false">IF(E144+N144=0,0,(G144+N144)/(E144+N144))</f>
        <v>0.404255319148936</v>
      </c>
      <c r="R144" s="8" t="n">
        <f aca="false">IF(E144=0,0,L144/E144)</f>
        <v>0.4</v>
      </c>
      <c r="S144" s="8" t="n">
        <f aca="false">R144+Q144</f>
        <v>0.804255319148936</v>
      </c>
      <c r="T144" s="8" t="n">
        <f aca="false">R144-P144</f>
        <v>0.1</v>
      </c>
    </row>
    <row r="145" customFormat="false" ht="14.25" hidden="false" customHeight="true" outlineLevel="0" collapsed="false">
      <c r="A145" s="6" t="n">
        <v>2026</v>
      </c>
      <c r="B145" s="6" t="s">
        <v>192</v>
      </c>
      <c r="C145" s="6" t="s">
        <v>200</v>
      </c>
      <c r="D145" s="7" t="n">
        <v>13</v>
      </c>
      <c r="E145" s="7" t="n">
        <v>38</v>
      </c>
      <c r="F145" s="7" t="n">
        <v>8</v>
      </c>
      <c r="G145" s="7" t="n">
        <v>14</v>
      </c>
      <c r="H145" s="7" t="n">
        <v>5</v>
      </c>
      <c r="I145" s="7" t="n">
        <v>0</v>
      </c>
      <c r="J145" s="7" t="n">
        <v>0</v>
      </c>
      <c r="K145" s="7" t="n">
        <v>5</v>
      </c>
      <c r="L145" s="7" t="n">
        <v>19</v>
      </c>
      <c r="M145" s="7" t="n">
        <v>8</v>
      </c>
      <c r="N145" s="7" t="n">
        <v>1</v>
      </c>
      <c r="O145" s="7" t="n">
        <v>1</v>
      </c>
      <c r="P145" s="8" t="n">
        <f aca="false">IF(E145=0,0,G145/E145)</f>
        <v>0.368421052631579</v>
      </c>
      <c r="Q145" s="8" t="n">
        <f aca="false">IF(E145+N145=0,0,(G145+N145)/(E145+N145))</f>
        <v>0.384615384615385</v>
      </c>
      <c r="R145" s="8" t="n">
        <f aca="false">IF(E145=0,0,L145/E145)</f>
        <v>0.5</v>
      </c>
      <c r="S145" s="8" t="n">
        <f aca="false">R145+Q145</f>
        <v>0.884615384615385</v>
      </c>
      <c r="T145" s="8" t="n">
        <f aca="false">R145-P145</f>
        <v>0.131578947368421</v>
      </c>
    </row>
    <row r="146" customFormat="false" ht="14.25" hidden="false" customHeight="true" outlineLevel="0" collapsed="false">
      <c r="A146" s="6" t="n">
        <v>2026</v>
      </c>
      <c r="B146" s="6" t="s">
        <v>192</v>
      </c>
      <c r="C146" s="6" t="s">
        <v>201</v>
      </c>
      <c r="D146" s="7" t="n">
        <v>13</v>
      </c>
      <c r="E146" s="7" t="n">
        <v>34</v>
      </c>
      <c r="F146" s="7" t="n">
        <v>4</v>
      </c>
      <c r="G146" s="7" t="n">
        <v>11</v>
      </c>
      <c r="H146" s="7" t="n">
        <v>2</v>
      </c>
      <c r="I146" s="7" t="n">
        <v>0</v>
      </c>
      <c r="J146" s="7" t="n">
        <v>0</v>
      </c>
      <c r="K146" s="7" t="n">
        <v>2</v>
      </c>
      <c r="L146" s="7" t="n">
        <v>13</v>
      </c>
      <c r="M146" s="7" t="n">
        <v>10</v>
      </c>
      <c r="N146" s="7" t="n">
        <v>4</v>
      </c>
      <c r="O146" s="7" t="n">
        <v>1</v>
      </c>
      <c r="P146" s="8" t="n">
        <f aca="false">IF(E146=0,0,G146/E146)</f>
        <v>0.323529411764706</v>
      </c>
      <c r="Q146" s="8" t="n">
        <f aca="false">IF(E146+N146=0,0,(G146+N146)/(E146+N146))</f>
        <v>0.394736842105263</v>
      </c>
      <c r="R146" s="8" t="n">
        <f aca="false">IF(E146=0,0,L146/E146)</f>
        <v>0.382352941176471</v>
      </c>
      <c r="S146" s="8" t="n">
        <f aca="false">R146+Q146</f>
        <v>0.777089783281734</v>
      </c>
      <c r="T146" s="8" t="n">
        <f aca="false">R146-P146</f>
        <v>0.0588235294117647</v>
      </c>
    </row>
    <row r="147" customFormat="false" ht="14.25" hidden="false" customHeight="true" outlineLevel="0" collapsed="false">
      <c r="A147" s="6" t="n">
        <v>2026</v>
      </c>
      <c r="B147" s="6" t="s">
        <v>192</v>
      </c>
      <c r="C147" s="6" t="s">
        <v>202</v>
      </c>
      <c r="D147" s="7" t="n">
        <v>10</v>
      </c>
      <c r="E147" s="7" t="n">
        <v>19</v>
      </c>
      <c r="F147" s="7" t="n">
        <v>7</v>
      </c>
      <c r="G147" s="7" t="n">
        <v>4</v>
      </c>
      <c r="H147" s="7" t="n">
        <v>1</v>
      </c>
      <c r="I147" s="7" t="n">
        <v>0</v>
      </c>
      <c r="J147" s="7" t="n">
        <v>0</v>
      </c>
      <c r="K147" s="7" t="n">
        <v>1</v>
      </c>
      <c r="L147" s="7" t="n">
        <v>5</v>
      </c>
      <c r="M147" s="7" t="n">
        <v>0</v>
      </c>
      <c r="N147" s="7" t="n">
        <v>3</v>
      </c>
      <c r="O147" s="7" t="n">
        <v>1</v>
      </c>
      <c r="P147" s="8" t="n">
        <f aca="false">IF(E147=0,0,G147/E147)</f>
        <v>0.210526315789474</v>
      </c>
      <c r="Q147" s="8" t="n">
        <f aca="false">IF(E147+N147=0,0,(G147+N147)/(E147+N147))</f>
        <v>0.318181818181818</v>
      </c>
      <c r="R147" s="8" t="n">
        <f aca="false">IF(E147=0,0,L147/E147)</f>
        <v>0.263157894736842</v>
      </c>
      <c r="S147" s="8" t="n">
        <f aca="false">R147+Q147</f>
        <v>0.58133971291866</v>
      </c>
      <c r="T147" s="8" t="n">
        <f aca="false">R147-P147</f>
        <v>0.0526315789473684</v>
      </c>
    </row>
    <row r="148" customFormat="false" ht="14.25" hidden="false" customHeight="true" outlineLevel="0" collapsed="false">
      <c r="A148" s="6" t="n">
        <v>2026</v>
      </c>
      <c r="B148" s="6" t="s">
        <v>192</v>
      </c>
      <c r="C148" s="6" t="s">
        <v>203</v>
      </c>
      <c r="D148" s="7" t="n">
        <v>4</v>
      </c>
      <c r="E148" s="7" t="n">
        <v>10</v>
      </c>
      <c r="F148" s="7" t="n">
        <v>2</v>
      </c>
      <c r="G148" s="7" t="n">
        <v>3</v>
      </c>
      <c r="H148" s="7" t="n">
        <v>0</v>
      </c>
      <c r="I148" s="7" t="n">
        <v>0</v>
      </c>
      <c r="J148" s="7" t="n">
        <v>1</v>
      </c>
      <c r="K148" s="7" t="n">
        <v>1</v>
      </c>
      <c r="L148" s="7" t="n">
        <v>6</v>
      </c>
      <c r="M148" s="7" t="n">
        <v>2</v>
      </c>
      <c r="N148" s="7" t="n">
        <v>1</v>
      </c>
      <c r="O148" s="7" t="n">
        <v>0</v>
      </c>
      <c r="P148" s="8" t="n">
        <f aca="false">IF(E148=0,0,G148/E148)</f>
        <v>0.3</v>
      </c>
      <c r="Q148" s="8" t="n">
        <f aca="false">IF(E148+N148=0,0,(G148+N148)/(E148+N148))</f>
        <v>0.363636363636364</v>
      </c>
      <c r="R148" s="8" t="n">
        <f aca="false">IF(E148=0,0,L148/E148)</f>
        <v>0.6</v>
      </c>
      <c r="S148" s="8" t="n">
        <f aca="false">R148+Q148</f>
        <v>0.963636363636364</v>
      </c>
      <c r="T148" s="8" t="n">
        <f aca="false">R148-P148</f>
        <v>0.3</v>
      </c>
    </row>
    <row r="149" customFormat="false" ht="14.25" hidden="false" customHeight="true" outlineLevel="0" collapsed="false">
      <c r="A149" s="6" t="n">
        <v>2026</v>
      </c>
      <c r="B149" s="6" t="s">
        <v>192</v>
      </c>
      <c r="C149" s="6" t="s">
        <v>204</v>
      </c>
      <c r="D149" s="7" t="n">
        <v>5</v>
      </c>
      <c r="E149" s="7" t="n">
        <v>15</v>
      </c>
      <c r="F149" s="7" t="n">
        <v>5</v>
      </c>
      <c r="G149" s="7" t="n">
        <v>6</v>
      </c>
      <c r="H149" s="7" t="n">
        <v>2</v>
      </c>
      <c r="I149" s="7" t="n">
        <v>0</v>
      </c>
      <c r="J149" s="7" t="n">
        <v>0</v>
      </c>
      <c r="K149" s="7" t="n">
        <v>2</v>
      </c>
      <c r="L149" s="7" t="n">
        <v>8</v>
      </c>
      <c r="M149" s="7" t="n">
        <v>3</v>
      </c>
      <c r="N149" s="7" t="n">
        <v>1</v>
      </c>
      <c r="O149" s="7" t="n">
        <v>0</v>
      </c>
      <c r="P149" s="8" t="n">
        <f aca="false">IF(E149=0,0,G149/E149)</f>
        <v>0.4</v>
      </c>
      <c r="Q149" s="8" t="n">
        <f aca="false">IF(E149+N149=0,0,(G149+N149)/(E149+N149))</f>
        <v>0.4375</v>
      </c>
      <c r="R149" s="8" t="n">
        <f aca="false">IF(E149=0,0,L149/E149)</f>
        <v>0.533333333333333</v>
      </c>
      <c r="S149" s="8" t="n">
        <f aca="false">R149+Q149</f>
        <v>0.970833333333333</v>
      </c>
      <c r="T149" s="8" t="n">
        <f aca="false">R149-P149</f>
        <v>0.133333333333333</v>
      </c>
    </row>
    <row r="150" customFormat="false" ht="14.25" hidden="false" customHeight="true" outlineLevel="0" collapsed="false">
      <c r="A150" s="6" t="n">
        <v>2026</v>
      </c>
      <c r="B150" s="6" t="s">
        <v>192</v>
      </c>
      <c r="C150" s="6" t="s">
        <v>205</v>
      </c>
      <c r="D150" s="7" t="n">
        <v>7</v>
      </c>
      <c r="E150" s="7" t="n">
        <v>15</v>
      </c>
      <c r="F150" s="7" t="n">
        <v>4</v>
      </c>
      <c r="G150" s="7" t="n">
        <v>3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3</v>
      </c>
      <c r="M150" s="7" t="n">
        <v>1</v>
      </c>
      <c r="N150" s="7" t="n">
        <v>1</v>
      </c>
      <c r="O150" s="7" t="n">
        <v>1</v>
      </c>
      <c r="P150" s="8" t="n">
        <f aca="false">IF(E150=0,0,G150/E150)</f>
        <v>0.2</v>
      </c>
      <c r="Q150" s="8" t="n">
        <f aca="false">IF(E150+N150=0,0,(G150+N150)/(E150+N150))</f>
        <v>0.25</v>
      </c>
      <c r="R150" s="8" t="n">
        <f aca="false">IF(E150=0,0,L150/E150)</f>
        <v>0.2</v>
      </c>
      <c r="S150" s="8" t="n">
        <f aca="false">R150+Q150</f>
        <v>0.45</v>
      </c>
      <c r="T150" s="8" t="n">
        <f aca="false">R150-P150</f>
        <v>0</v>
      </c>
    </row>
    <row r="151" customFormat="false" ht="14.25" hidden="false" customHeight="true" outlineLevel="0" collapsed="false">
      <c r="A151" s="6" t="n">
        <v>2026</v>
      </c>
      <c r="B151" s="6" t="s">
        <v>192</v>
      </c>
      <c r="C151" s="6" t="s">
        <v>206</v>
      </c>
      <c r="D151" s="7" t="n">
        <v>8</v>
      </c>
      <c r="E151" s="7" t="n">
        <v>23</v>
      </c>
      <c r="F151" s="7" t="n">
        <v>1</v>
      </c>
      <c r="G151" s="7" t="n">
        <v>0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1</v>
      </c>
      <c r="N151" s="7" t="n">
        <v>0</v>
      </c>
      <c r="O151" s="7" t="n">
        <v>2</v>
      </c>
      <c r="P151" s="8" t="n">
        <f aca="false">IF(E151=0,0,G151/E151)</f>
        <v>0</v>
      </c>
      <c r="Q151" s="8" t="n">
        <f aca="false">IF(E151+N151=0,0,(G151+N151)/(E151+N151))</f>
        <v>0</v>
      </c>
      <c r="R151" s="8" t="n">
        <f aca="false">IF(E151=0,0,L151/E151)</f>
        <v>0</v>
      </c>
      <c r="S151" s="8" t="n">
        <f aca="false">R151+Q151</f>
        <v>0</v>
      </c>
      <c r="T151" s="8" t="n">
        <f aca="false">R151-P151</f>
        <v>0</v>
      </c>
    </row>
    <row r="152" customFormat="false" ht="14.25" hidden="false" customHeight="true" outlineLevel="0" collapsed="false">
      <c r="A152" s="6" t="n">
        <v>2026</v>
      </c>
      <c r="B152" s="6" t="s">
        <v>192</v>
      </c>
      <c r="C152" s="6" t="s">
        <v>207</v>
      </c>
      <c r="D152" s="7" t="n">
        <v>2</v>
      </c>
      <c r="E152" s="7" t="n">
        <v>4</v>
      </c>
      <c r="F152" s="7" t="n">
        <v>1</v>
      </c>
      <c r="G152" s="7" t="n">
        <v>0</v>
      </c>
      <c r="H152" s="7" t="n">
        <v>0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0</v>
      </c>
      <c r="N152" s="7" t="n">
        <v>0</v>
      </c>
      <c r="O152" s="7" t="n">
        <v>1</v>
      </c>
      <c r="P152" s="8" t="n">
        <f aca="false">IF(E152=0,0,G152/E152)</f>
        <v>0</v>
      </c>
      <c r="Q152" s="8" t="n">
        <f aca="false">IF(E152+N152=0,0,(G152+N152)/(E152+N152))</f>
        <v>0</v>
      </c>
      <c r="R152" s="8" t="n">
        <f aca="false">IF(E152=0,0,L152/E152)</f>
        <v>0</v>
      </c>
      <c r="S152" s="8" t="n">
        <f aca="false">R152+Q152</f>
        <v>0</v>
      </c>
      <c r="T152" s="8" t="n">
        <f aca="false">R152-P152</f>
        <v>0</v>
      </c>
    </row>
    <row r="153" customFormat="false" ht="14.25" hidden="false" customHeight="true" outlineLevel="0" collapsed="false">
      <c r="A153" s="6" t="n">
        <v>2026</v>
      </c>
      <c r="B153" s="6" t="s">
        <v>192</v>
      </c>
      <c r="C153" s="6" t="s">
        <v>208</v>
      </c>
      <c r="D153" s="7" t="n">
        <v>5</v>
      </c>
      <c r="E153" s="7" t="n">
        <v>14</v>
      </c>
      <c r="F153" s="7" t="n">
        <v>0</v>
      </c>
      <c r="G153" s="7" t="n">
        <v>1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1</v>
      </c>
      <c r="M153" s="7" t="n">
        <v>0</v>
      </c>
      <c r="N153" s="7" t="n">
        <v>1</v>
      </c>
      <c r="O153" s="7" t="n">
        <v>0</v>
      </c>
      <c r="P153" s="8" t="n">
        <f aca="false">IF(E153=0,0,G153/E153)</f>
        <v>0.0714285714285714</v>
      </c>
      <c r="Q153" s="8" t="n">
        <f aca="false">IF(E153+N153=0,0,(G153+N153)/(E153+N153))</f>
        <v>0.133333333333333</v>
      </c>
      <c r="R153" s="8" t="n">
        <f aca="false">IF(E153=0,0,L153/E153)</f>
        <v>0.0714285714285714</v>
      </c>
      <c r="S153" s="8" t="n">
        <f aca="false">R153+Q153</f>
        <v>0.204761904761905</v>
      </c>
      <c r="T153" s="8" t="n">
        <f aca="false">R153-P153</f>
        <v>0</v>
      </c>
    </row>
    <row r="154" customFormat="false" ht="14.25" hidden="false" customHeight="true" outlineLevel="0" collapsed="false">
      <c r="A154" s="6" t="n">
        <v>2026</v>
      </c>
      <c r="B154" s="6" t="s">
        <v>192</v>
      </c>
      <c r="C154" s="6" t="s">
        <v>209</v>
      </c>
      <c r="D154" s="7" t="n">
        <v>1</v>
      </c>
      <c r="E154" s="7" t="n">
        <v>1</v>
      </c>
      <c r="F154" s="7" t="n">
        <v>0</v>
      </c>
      <c r="G154" s="7" t="n">
        <v>1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1</v>
      </c>
      <c r="M154" s="7" t="n">
        <v>0</v>
      </c>
      <c r="N154" s="7" t="n">
        <v>0</v>
      </c>
      <c r="O154" s="7" t="n">
        <v>0</v>
      </c>
      <c r="P154" s="8" t="n">
        <f aca="false">IF(E154=0,0,G154/E154)</f>
        <v>1</v>
      </c>
      <c r="Q154" s="8" t="n">
        <f aca="false">IF(E154+N154=0,0,(G154+N154)/(E154+N154))</f>
        <v>1</v>
      </c>
      <c r="R154" s="8" t="n">
        <f aca="false">IF(E154=0,0,L154/E154)</f>
        <v>1</v>
      </c>
      <c r="S154" s="8" t="n">
        <f aca="false">R154+Q154</f>
        <v>2</v>
      </c>
      <c r="T154" s="8" t="n">
        <f aca="false">R154-P154</f>
        <v>0</v>
      </c>
    </row>
    <row r="155" customFormat="false" ht="14.25" hidden="false" customHeight="true" outlineLevel="0" collapsed="false">
      <c r="A155" s="6" t="n">
        <v>2026</v>
      </c>
      <c r="B155" s="6" t="s">
        <v>192</v>
      </c>
      <c r="C155" s="6" t="s">
        <v>210</v>
      </c>
      <c r="D155" s="7" t="n">
        <v>1</v>
      </c>
      <c r="E155" s="7" t="n">
        <v>2</v>
      </c>
      <c r="F155" s="7" t="n">
        <v>0</v>
      </c>
      <c r="G155" s="7" t="n">
        <v>0</v>
      </c>
      <c r="H155" s="7" t="n">
        <v>0</v>
      </c>
      <c r="I155" s="7" t="n">
        <v>0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 t="n">
        <v>0</v>
      </c>
      <c r="P155" s="8" t="n">
        <f aca="false">IF(E155=0,0,G155/E155)</f>
        <v>0</v>
      </c>
      <c r="Q155" s="8" t="n">
        <f aca="false">IF(E155+N155=0,0,(G155+N155)/(E155+N155))</f>
        <v>0</v>
      </c>
      <c r="R155" s="8" t="n">
        <f aca="false">IF(E155=0,0,L155/E155)</f>
        <v>0</v>
      </c>
      <c r="S155" s="8" t="n">
        <f aca="false">R155+Q155</f>
        <v>0</v>
      </c>
      <c r="T155" s="8" t="n">
        <f aca="false">R155-P155</f>
        <v>0</v>
      </c>
    </row>
    <row r="156" customFormat="false" ht="14.25" hidden="false" customHeight="true" outlineLevel="0" collapsed="false">
      <c r="A156" s="6" t="n">
        <v>2026</v>
      </c>
      <c r="B156" s="6" t="s">
        <v>192</v>
      </c>
      <c r="C156" s="6" t="s">
        <v>211</v>
      </c>
      <c r="D156" s="7" t="n">
        <v>1</v>
      </c>
      <c r="E156" s="7" t="n">
        <v>1</v>
      </c>
      <c r="F156" s="7" t="n">
        <v>0</v>
      </c>
      <c r="G156" s="7" t="n">
        <v>0</v>
      </c>
      <c r="H156" s="7" t="n">
        <v>0</v>
      </c>
      <c r="I156" s="7" t="n">
        <v>0</v>
      </c>
      <c r="J156" s="7" t="n">
        <v>0</v>
      </c>
      <c r="K156" s="7" t="n">
        <v>0</v>
      </c>
      <c r="L156" s="7" t="n">
        <v>0</v>
      </c>
      <c r="M156" s="7" t="n">
        <v>0</v>
      </c>
      <c r="N156" s="7" t="n">
        <v>0</v>
      </c>
      <c r="O156" s="7" t="n">
        <v>0</v>
      </c>
      <c r="P156" s="8" t="n">
        <f aca="false">IF(E156=0,0,G156/E156)</f>
        <v>0</v>
      </c>
      <c r="Q156" s="8" t="n">
        <f aca="false">IF(E156+N156=0,0,(G156+N156)/(E156+N156))</f>
        <v>0</v>
      </c>
      <c r="R156" s="8" t="n">
        <f aca="false">IF(E156=0,0,L156/E156)</f>
        <v>0</v>
      </c>
      <c r="S156" s="8" t="n">
        <f aca="false">R156+Q156</f>
        <v>0</v>
      </c>
      <c r="T156" s="8" t="n">
        <f aca="false">R156-P156</f>
        <v>0</v>
      </c>
    </row>
    <row r="157" customFormat="false" ht="14.25" hidden="false" customHeight="true" outlineLevel="0" collapsed="false">
      <c r="A157" s="6" t="n">
        <v>2026</v>
      </c>
      <c r="B157" s="6" t="s">
        <v>212</v>
      </c>
      <c r="C157" s="6" t="s">
        <v>85</v>
      </c>
      <c r="D157" s="7" t="n">
        <v>10</v>
      </c>
      <c r="E157" s="7" t="n">
        <v>32</v>
      </c>
      <c r="F157" s="7" t="n">
        <v>15</v>
      </c>
      <c r="G157" s="7" t="n">
        <v>14</v>
      </c>
      <c r="H157" s="7" t="n">
        <v>1</v>
      </c>
      <c r="I157" s="7" t="n">
        <v>0</v>
      </c>
      <c r="J157" s="7" t="n">
        <v>6</v>
      </c>
      <c r="K157" s="7" t="n">
        <v>7</v>
      </c>
      <c r="L157" s="7" t="n">
        <v>33</v>
      </c>
      <c r="M157" s="7" t="n">
        <v>11</v>
      </c>
      <c r="N157" s="7" t="n">
        <v>1</v>
      </c>
      <c r="O157" s="7" t="n">
        <v>2</v>
      </c>
      <c r="P157" s="8" t="n">
        <f aca="false">IF(E157=0,0,G157/E157)</f>
        <v>0.4375</v>
      </c>
      <c r="Q157" s="8" t="n">
        <f aca="false">IF(E157+N157=0,0,(G157+N157)/(E157+N157))</f>
        <v>0.454545454545455</v>
      </c>
      <c r="R157" s="8" t="n">
        <f aca="false">IF(E157=0,0,L157/E157)</f>
        <v>1.03125</v>
      </c>
      <c r="S157" s="8" t="n">
        <f aca="false">R157+Q157</f>
        <v>1.48579545454545</v>
      </c>
      <c r="T157" s="8" t="n">
        <f aca="false">R157-P157</f>
        <v>0.59375</v>
      </c>
    </row>
    <row r="158" customFormat="false" ht="14.25" hidden="false" customHeight="true" outlineLevel="0" collapsed="false">
      <c r="A158" s="6" t="n">
        <v>2026</v>
      </c>
      <c r="B158" s="6" t="s">
        <v>212</v>
      </c>
      <c r="C158" s="6" t="s">
        <v>213</v>
      </c>
      <c r="D158" s="7" t="n">
        <v>8</v>
      </c>
      <c r="E158" s="7" t="n">
        <v>27</v>
      </c>
      <c r="F158" s="7" t="n">
        <v>5</v>
      </c>
      <c r="G158" s="7" t="n">
        <v>10</v>
      </c>
      <c r="H158" s="7" t="n">
        <v>4</v>
      </c>
      <c r="I158" s="7" t="n">
        <v>0</v>
      </c>
      <c r="J158" s="7" t="n">
        <v>1</v>
      </c>
      <c r="K158" s="7" t="n">
        <v>5</v>
      </c>
      <c r="L158" s="7" t="n">
        <v>17</v>
      </c>
      <c r="M158" s="7" t="n">
        <v>4</v>
      </c>
      <c r="N158" s="7" t="n">
        <v>1</v>
      </c>
      <c r="O158" s="7" t="n">
        <v>3</v>
      </c>
      <c r="P158" s="8" t="n">
        <f aca="false">IF(E158=0,0,G158/E158)</f>
        <v>0.37037037037037</v>
      </c>
      <c r="Q158" s="8" t="n">
        <f aca="false">IF(E158+N158=0,0,(G158+N158)/(E158+N158))</f>
        <v>0.392857142857143</v>
      </c>
      <c r="R158" s="8" t="n">
        <f aca="false">IF(E158=0,0,L158/E158)</f>
        <v>0.62962962962963</v>
      </c>
      <c r="S158" s="8" t="n">
        <f aca="false">R158+Q158</f>
        <v>1.02248677248677</v>
      </c>
      <c r="T158" s="8" t="n">
        <f aca="false">R158-P158</f>
        <v>0.259259259259259</v>
      </c>
    </row>
    <row r="159" customFormat="false" ht="14.25" hidden="false" customHeight="true" outlineLevel="0" collapsed="false">
      <c r="A159" s="6" t="n">
        <v>2026</v>
      </c>
      <c r="B159" s="6" t="s">
        <v>212</v>
      </c>
      <c r="C159" s="6" t="s">
        <v>214</v>
      </c>
      <c r="D159" s="7" t="n">
        <v>7</v>
      </c>
      <c r="E159" s="7" t="n">
        <v>26</v>
      </c>
      <c r="F159" s="7" t="n">
        <v>6</v>
      </c>
      <c r="G159" s="7" t="n">
        <v>9</v>
      </c>
      <c r="H159" s="7" t="n">
        <v>2</v>
      </c>
      <c r="I159" s="7" t="n">
        <v>0</v>
      </c>
      <c r="J159" s="7" t="n">
        <v>0</v>
      </c>
      <c r="K159" s="7" t="n">
        <v>2</v>
      </c>
      <c r="L159" s="7" t="n">
        <v>11</v>
      </c>
      <c r="M159" s="7" t="n">
        <v>2</v>
      </c>
      <c r="N159" s="7" t="n">
        <v>2</v>
      </c>
      <c r="O159" s="7" t="n">
        <v>2</v>
      </c>
      <c r="P159" s="8" t="n">
        <f aca="false">IF(E159=0,0,G159/E159)</f>
        <v>0.346153846153846</v>
      </c>
      <c r="Q159" s="8" t="n">
        <f aca="false">IF(E159+N159=0,0,(G159+N159)/(E159+N159))</f>
        <v>0.392857142857143</v>
      </c>
      <c r="R159" s="8" t="n">
        <f aca="false">IF(E159=0,0,L159/E159)</f>
        <v>0.423076923076923</v>
      </c>
      <c r="S159" s="8" t="n">
        <f aca="false">R159+Q159</f>
        <v>0.815934065934066</v>
      </c>
      <c r="T159" s="8" t="n">
        <f aca="false">R159-P159</f>
        <v>0.0769230769230769</v>
      </c>
    </row>
    <row r="160" customFormat="false" ht="14.25" hidden="false" customHeight="true" outlineLevel="0" collapsed="false">
      <c r="A160" s="6" t="n">
        <v>2026</v>
      </c>
      <c r="B160" s="6" t="s">
        <v>212</v>
      </c>
      <c r="C160" s="6" t="s">
        <v>215</v>
      </c>
      <c r="D160" s="7" t="n">
        <v>9</v>
      </c>
      <c r="E160" s="7" t="n">
        <v>24</v>
      </c>
      <c r="F160" s="7" t="n">
        <v>9</v>
      </c>
      <c r="G160" s="7" t="n">
        <v>9</v>
      </c>
      <c r="H160" s="7" t="n">
        <v>0</v>
      </c>
      <c r="I160" s="7" t="n">
        <v>0</v>
      </c>
      <c r="J160" s="7" t="n">
        <v>5</v>
      </c>
      <c r="K160" s="7" t="n">
        <v>5</v>
      </c>
      <c r="L160" s="7" t="n">
        <v>24</v>
      </c>
      <c r="M160" s="7" t="n">
        <v>11</v>
      </c>
      <c r="N160" s="7" t="n">
        <v>7</v>
      </c>
      <c r="O160" s="7" t="n">
        <v>1</v>
      </c>
      <c r="P160" s="8" t="n">
        <f aca="false">IF(E160=0,0,G160/E160)</f>
        <v>0.375</v>
      </c>
      <c r="Q160" s="8" t="n">
        <f aca="false">IF(E160+N160=0,0,(G160+N160)/(E160+N160))</f>
        <v>0.516129032258065</v>
      </c>
      <c r="R160" s="8" t="n">
        <f aca="false">IF(E160=0,0,L160/E160)</f>
        <v>1</v>
      </c>
      <c r="S160" s="8" t="n">
        <f aca="false">R160+Q160</f>
        <v>1.51612903225806</v>
      </c>
      <c r="T160" s="8" t="n">
        <f aca="false">R160-P160</f>
        <v>0.625</v>
      </c>
    </row>
    <row r="161" customFormat="false" ht="14.25" hidden="false" customHeight="true" outlineLevel="0" collapsed="false">
      <c r="A161" s="6" t="n">
        <v>2026</v>
      </c>
      <c r="B161" s="6" t="s">
        <v>212</v>
      </c>
      <c r="C161" s="6" t="s">
        <v>216</v>
      </c>
      <c r="D161" s="7" t="n">
        <v>9</v>
      </c>
      <c r="E161" s="7" t="n">
        <v>30</v>
      </c>
      <c r="F161" s="7" t="n">
        <v>9</v>
      </c>
      <c r="G161" s="7" t="n">
        <v>8</v>
      </c>
      <c r="H161" s="7" t="n">
        <v>1</v>
      </c>
      <c r="I161" s="7" t="n">
        <v>0</v>
      </c>
      <c r="J161" s="7" t="n">
        <v>2</v>
      </c>
      <c r="K161" s="7" t="n">
        <v>3</v>
      </c>
      <c r="L161" s="7" t="n">
        <v>15</v>
      </c>
      <c r="M161" s="7" t="n">
        <v>7</v>
      </c>
      <c r="N161" s="7" t="n">
        <v>1</v>
      </c>
      <c r="O161" s="7" t="n">
        <v>3</v>
      </c>
      <c r="P161" s="8" t="n">
        <f aca="false">IF(E161=0,0,G161/E161)</f>
        <v>0.266666666666667</v>
      </c>
      <c r="Q161" s="8" t="n">
        <f aca="false">IF(E161+N161=0,0,(G161+N161)/(E161+N161))</f>
        <v>0.290322580645161</v>
      </c>
      <c r="R161" s="8" t="n">
        <f aca="false">IF(E161=0,0,L161/E161)</f>
        <v>0.5</v>
      </c>
      <c r="S161" s="8" t="n">
        <f aca="false">R161+Q161</f>
        <v>0.790322580645161</v>
      </c>
      <c r="T161" s="8" t="n">
        <f aca="false">R161-P161</f>
        <v>0.233333333333333</v>
      </c>
    </row>
    <row r="162" customFormat="false" ht="14.25" hidden="false" customHeight="true" outlineLevel="0" collapsed="false">
      <c r="A162" s="6" t="n">
        <v>2026</v>
      </c>
      <c r="B162" s="6" t="s">
        <v>212</v>
      </c>
      <c r="C162" s="6" t="s">
        <v>217</v>
      </c>
      <c r="D162" s="7" t="n">
        <v>9</v>
      </c>
      <c r="E162" s="7" t="n">
        <v>22</v>
      </c>
      <c r="F162" s="7" t="n">
        <v>4</v>
      </c>
      <c r="G162" s="7" t="n">
        <v>5</v>
      </c>
      <c r="H162" s="7" t="n">
        <v>0</v>
      </c>
      <c r="I162" s="7" t="n">
        <v>0</v>
      </c>
      <c r="J162" s="7" t="n">
        <v>2</v>
      </c>
      <c r="K162" s="7" t="n">
        <v>2</v>
      </c>
      <c r="L162" s="7" t="n">
        <v>11</v>
      </c>
      <c r="M162" s="7" t="n">
        <v>6</v>
      </c>
      <c r="N162" s="7" t="n">
        <v>7</v>
      </c>
      <c r="O162" s="7" t="n">
        <v>0</v>
      </c>
      <c r="P162" s="8" t="n">
        <f aca="false">IF(E162=0,0,G162/E162)</f>
        <v>0.227272727272727</v>
      </c>
      <c r="Q162" s="8" t="n">
        <f aca="false">IF(E162+N162=0,0,(G162+N162)/(E162+N162))</f>
        <v>0.413793103448276</v>
      </c>
      <c r="R162" s="8" t="n">
        <f aca="false">IF(E162=0,0,L162/E162)</f>
        <v>0.5</v>
      </c>
      <c r="S162" s="8" t="n">
        <f aca="false">R162+Q162</f>
        <v>0.913793103448276</v>
      </c>
      <c r="T162" s="8" t="n">
        <f aca="false">R162-P162</f>
        <v>0.272727272727273</v>
      </c>
    </row>
    <row r="163" customFormat="false" ht="14.25" hidden="false" customHeight="true" outlineLevel="0" collapsed="false">
      <c r="A163" s="6" t="n">
        <v>2026</v>
      </c>
      <c r="B163" s="6" t="s">
        <v>212</v>
      </c>
      <c r="C163" s="6" t="s">
        <v>218</v>
      </c>
      <c r="D163" s="7" t="n">
        <v>5</v>
      </c>
      <c r="E163" s="7" t="n">
        <v>15</v>
      </c>
      <c r="F163" s="7" t="n">
        <v>1</v>
      </c>
      <c r="G163" s="7" t="n">
        <v>4</v>
      </c>
      <c r="H163" s="7" t="n">
        <v>0</v>
      </c>
      <c r="I163" s="7" t="n">
        <v>0</v>
      </c>
      <c r="J163" s="7" t="n">
        <v>1</v>
      </c>
      <c r="K163" s="7" t="n">
        <v>1</v>
      </c>
      <c r="L163" s="7" t="n">
        <v>7</v>
      </c>
      <c r="M163" s="7" t="n">
        <v>3</v>
      </c>
      <c r="N163" s="7" t="n">
        <v>0</v>
      </c>
      <c r="O163" s="7" t="n">
        <v>0</v>
      </c>
      <c r="P163" s="8" t="n">
        <f aca="false">IF(E163=0,0,G163/E163)</f>
        <v>0.266666666666667</v>
      </c>
      <c r="Q163" s="8" t="n">
        <f aca="false">IF(E163+N163=0,0,(G163+N163)/(E163+N163))</f>
        <v>0.266666666666667</v>
      </c>
      <c r="R163" s="8" t="n">
        <f aca="false">IF(E163=0,0,L163/E163)</f>
        <v>0.466666666666667</v>
      </c>
      <c r="S163" s="8" t="n">
        <f aca="false">R163+Q163</f>
        <v>0.733333333333333</v>
      </c>
      <c r="T163" s="8" t="n">
        <f aca="false">R163-P163</f>
        <v>0.2</v>
      </c>
    </row>
    <row r="164" customFormat="false" ht="14.25" hidden="false" customHeight="true" outlineLevel="0" collapsed="false">
      <c r="A164" s="6" t="n">
        <v>2026</v>
      </c>
      <c r="B164" s="6" t="s">
        <v>212</v>
      </c>
      <c r="C164" s="6" t="s">
        <v>219</v>
      </c>
      <c r="D164" s="7" t="n">
        <v>4</v>
      </c>
      <c r="E164" s="7" t="n">
        <v>11</v>
      </c>
      <c r="F164" s="7" t="n">
        <v>0</v>
      </c>
      <c r="G164" s="7" t="n">
        <v>4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4</v>
      </c>
      <c r="M164" s="7" t="n">
        <v>2</v>
      </c>
      <c r="N164" s="7" t="n">
        <v>1</v>
      </c>
      <c r="O164" s="7" t="n">
        <v>0</v>
      </c>
      <c r="P164" s="8" t="n">
        <f aca="false">IF(E164=0,0,G164/E164)</f>
        <v>0.363636363636364</v>
      </c>
      <c r="Q164" s="8" t="n">
        <f aca="false">IF(E164+N164=0,0,(G164+N164)/(E164+N164))</f>
        <v>0.416666666666667</v>
      </c>
      <c r="R164" s="8" t="n">
        <f aca="false">IF(E164=0,0,L164/E164)</f>
        <v>0.363636363636364</v>
      </c>
      <c r="S164" s="8" t="n">
        <f aca="false">R164+Q164</f>
        <v>0.78030303030303</v>
      </c>
      <c r="T164" s="8" t="n">
        <f aca="false">R164-P164</f>
        <v>0</v>
      </c>
    </row>
    <row r="165" customFormat="false" ht="14.25" hidden="false" customHeight="true" outlineLevel="0" collapsed="false">
      <c r="A165" s="6" t="n">
        <v>2026</v>
      </c>
      <c r="B165" s="6" t="s">
        <v>212</v>
      </c>
      <c r="C165" s="6" t="s">
        <v>220</v>
      </c>
      <c r="D165" s="7" t="n">
        <v>5</v>
      </c>
      <c r="E165" s="7" t="n">
        <v>14</v>
      </c>
      <c r="F165" s="7" t="n">
        <v>0</v>
      </c>
      <c r="G165" s="7" t="n">
        <v>2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2</v>
      </c>
      <c r="M165" s="7" t="n">
        <v>0</v>
      </c>
      <c r="N165" s="7" t="n">
        <v>1</v>
      </c>
      <c r="O165" s="7" t="n">
        <v>1</v>
      </c>
      <c r="P165" s="8" t="n">
        <f aca="false">IF(E165=0,0,G165/E165)</f>
        <v>0.142857142857143</v>
      </c>
      <c r="Q165" s="8" t="n">
        <f aca="false">IF(E165+N165=0,0,(G165+N165)/(E165+N165))</f>
        <v>0.2</v>
      </c>
      <c r="R165" s="8" t="n">
        <f aca="false">IF(E165=0,0,L165/E165)</f>
        <v>0.142857142857143</v>
      </c>
      <c r="S165" s="8" t="n">
        <f aca="false">R165+Q165</f>
        <v>0.342857142857143</v>
      </c>
      <c r="T165" s="8" t="n">
        <f aca="false">R165-P165</f>
        <v>0</v>
      </c>
    </row>
    <row r="166" customFormat="false" ht="14.25" hidden="false" customHeight="true" outlineLevel="0" collapsed="false">
      <c r="A166" s="6" t="n">
        <v>2026</v>
      </c>
      <c r="B166" s="6" t="s">
        <v>212</v>
      </c>
      <c r="C166" s="6" t="s">
        <v>221</v>
      </c>
      <c r="D166" s="7" t="n">
        <v>5</v>
      </c>
      <c r="E166" s="7" t="n">
        <v>16</v>
      </c>
      <c r="F166" s="7" t="n">
        <v>0</v>
      </c>
      <c r="G166" s="7" t="n">
        <v>2</v>
      </c>
      <c r="H166" s="7" t="n">
        <v>1</v>
      </c>
      <c r="I166" s="7" t="n">
        <v>0</v>
      </c>
      <c r="J166" s="7" t="n">
        <v>0</v>
      </c>
      <c r="K166" s="7" t="n">
        <v>1</v>
      </c>
      <c r="L166" s="7" t="n">
        <v>3</v>
      </c>
      <c r="M166" s="7" t="n">
        <v>0</v>
      </c>
      <c r="N166" s="7" t="n">
        <v>2</v>
      </c>
      <c r="O166" s="7" t="n">
        <v>0</v>
      </c>
      <c r="P166" s="8" t="n">
        <f aca="false">IF(E166=0,0,G166/E166)</f>
        <v>0.125</v>
      </c>
      <c r="Q166" s="8" t="n">
        <f aca="false">IF(E166+N166=0,0,(G166+N166)/(E166+N166))</f>
        <v>0.222222222222222</v>
      </c>
      <c r="R166" s="8" t="n">
        <f aca="false">IF(E166=0,0,L166/E166)</f>
        <v>0.1875</v>
      </c>
      <c r="S166" s="8" t="n">
        <f aca="false">R166+Q166</f>
        <v>0.409722222222222</v>
      </c>
      <c r="T166" s="8" t="n">
        <f aca="false">R166-P166</f>
        <v>0.0625</v>
      </c>
    </row>
    <row r="167" customFormat="false" ht="14.25" hidden="false" customHeight="true" outlineLevel="0" collapsed="false">
      <c r="A167" s="6" t="n">
        <v>2026</v>
      </c>
      <c r="B167" s="6" t="s">
        <v>212</v>
      </c>
      <c r="C167" s="6" t="s">
        <v>222</v>
      </c>
      <c r="D167" s="7" t="n">
        <v>6</v>
      </c>
      <c r="E167" s="7" t="n">
        <v>16</v>
      </c>
      <c r="F167" s="7" t="n">
        <v>2</v>
      </c>
      <c r="G167" s="7" t="n">
        <v>3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3</v>
      </c>
      <c r="M167" s="7" t="n">
        <v>2</v>
      </c>
      <c r="N167" s="7" t="n">
        <v>0</v>
      </c>
      <c r="O167" s="7" t="n">
        <v>3</v>
      </c>
      <c r="P167" s="8" t="n">
        <f aca="false">IF(E167=0,0,G167/E167)</f>
        <v>0.1875</v>
      </c>
      <c r="Q167" s="8" t="n">
        <f aca="false">IF(E167+N167=0,0,(G167+N167)/(E167+N167))</f>
        <v>0.1875</v>
      </c>
      <c r="R167" s="8" t="n">
        <f aca="false">IF(E167=0,0,L167/E167)</f>
        <v>0.1875</v>
      </c>
      <c r="S167" s="8" t="n">
        <f aca="false">R167+Q167</f>
        <v>0.375</v>
      </c>
      <c r="T167" s="8" t="n">
        <f aca="false">R167-P167</f>
        <v>0</v>
      </c>
    </row>
    <row r="168" customFormat="false" ht="14.25" hidden="false" customHeight="true" outlineLevel="0" collapsed="false">
      <c r="A168" s="6" t="n">
        <v>2026</v>
      </c>
      <c r="B168" s="6" t="s">
        <v>212</v>
      </c>
      <c r="C168" s="6" t="s">
        <v>223</v>
      </c>
      <c r="D168" s="7" t="n">
        <v>3</v>
      </c>
      <c r="E168" s="7" t="n">
        <v>7</v>
      </c>
      <c r="F168" s="7" t="n">
        <v>1</v>
      </c>
      <c r="G168" s="7" t="n">
        <v>3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3</v>
      </c>
      <c r="M168" s="7" t="n">
        <v>0</v>
      </c>
      <c r="N168" s="7" t="n">
        <v>1</v>
      </c>
      <c r="O168" s="7" t="n">
        <v>0</v>
      </c>
      <c r="P168" s="8" t="n">
        <f aca="false">IF(E168=0,0,G168/E168)</f>
        <v>0.428571428571429</v>
      </c>
      <c r="Q168" s="8" t="n">
        <f aca="false">IF(E168+N168=0,0,(G168+N168)/(E168+N168))</f>
        <v>0.5</v>
      </c>
      <c r="R168" s="8" t="n">
        <f aca="false">IF(E168=0,0,L168/E168)</f>
        <v>0.428571428571429</v>
      </c>
      <c r="S168" s="8" t="n">
        <f aca="false">R168+Q168</f>
        <v>0.928571428571429</v>
      </c>
      <c r="T168" s="8" t="n">
        <f aca="false">R168-P168</f>
        <v>0</v>
      </c>
    </row>
    <row r="169" customFormat="false" ht="14.25" hidden="false" customHeight="true" outlineLevel="0" collapsed="false">
      <c r="A169" s="6" t="n">
        <v>2026</v>
      </c>
      <c r="B169" s="6" t="s">
        <v>212</v>
      </c>
      <c r="C169" s="6" t="s">
        <v>224</v>
      </c>
      <c r="D169" s="7" t="n">
        <v>6</v>
      </c>
      <c r="E169" s="7" t="n">
        <v>13</v>
      </c>
      <c r="F169" s="7" t="n">
        <v>3</v>
      </c>
      <c r="G169" s="7" t="n">
        <v>1</v>
      </c>
      <c r="H169" s="7" t="n">
        <v>0</v>
      </c>
      <c r="I169" s="7" t="n">
        <v>0</v>
      </c>
      <c r="J169" s="7" t="n">
        <v>0</v>
      </c>
      <c r="K169" s="7" t="n">
        <v>0</v>
      </c>
      <c r="L169" s="7" t="n">
        <v>1</v>
      </c>
      <c r="M169" s="7" t="n">
        <v>0</v>
      </c>
      <c r="N169" s="7" t="n">
        <v>6</v>
      </c>
      <c r="O169" s="7" t="n">
        <v>2</v>
      </c>
      <c r="P169" s="8" t="n">
        <f aca="false">IF(E169=0,0,G169/E169)</f>
        <v>0.0769230769230769</v>
      </c>
      <c r="Q169" s="8" t="n">
        <f aca="false">IF(E169+N169=0,0,(G169+N169)/(E169+N169))</f>
        <v>0.368421052631579</v>
      </c>
      <c r="R169" s="8" t="n">
        <f aca="false">IF(E169=0,0,L169/E169)</f>
        <v>0.0769230769230769</v>
      </c>
      <c r="S169" s="8" t="n">
        <f aca="false">R169+Q169</f>
        <v>0.445344129554656</v>
      </c>
      <c r="T169" s="8" t="n">
        <f aca="false">R169-P169</f>
        <v>0</v>
      </c>
    </row>
    <row r="170" customFormat="false" ht="14.25" hidden="false" customHeight="true" outlineLevel="0" collapsed="false">
      <c r="A170" s="6" t="n">
        <v>2026</v>
      </c>
      <c r="B170" s="6" t="s">
        <v>212</v>
      </c>
      <c r="C170" s="6" t="s">
        <v>225</v>
      </c>
      <c r="D170" s="7" t="n">
        <v>8</v>
      </c>
      <c r="E170" s="7" t="n">
        <v>21</v>
      </c>
      <c r="F170" s="7" t="n">
        <v>2</v>
      </c>
      <c r="G170" s="7" t="n">
        <v>1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1</v>
      </c>
      <c r="M170" s="7" t="n">
        <v>0</v>
      </c>
      <c r="N170" s="7" t="n">
        <v>6</v>
      </c>
      <c r="O170" s="7" t="n">
        <v>3</v>
      </c>
      <c r="P170" s="8" t="n">
        <f aca="false">IF(E170=0,0,G170/E170)</f>
        <v>0.0476190476190476</v>
      </c>
      <c r="Q170" s="8" t="n">
        <f aca="false">IF(E170+N170=0,0,(G170+N170)/(E170+N170))</f>
        <v>0.259259259259259</v>
      </c>
      <c r="R170" s="8" t="n">
        <f aca="false">IF(E170=0,0,L170/E170)</f>
        <v>0.0476190476190476</v>
      </c>
      <c r="S170" s="8" t="n">
        <f aca="false">R170+Q170</f>
        <v>0.306878306878307</v>
      </c>
      <c r="T170" s="8" t="n">
        <f aca="false">R170-P170</f>
        <v>0</v>
      </c>
    </row>
    <row r="171" customFormat="false" ht="14.25" hidden="false" customHeight="true" outlineLevel="0" collapsed="false">
      <c r="A171" s="6" t="n">
        <v>2026</v>
      </c>
      <c r="B171" s="6" t="s">
        <v>212</v>
      </c>
      <c r="C171" s="6" t="s">
        <v>226</v>
      </c>
      <c r="D171" s="7" t="n">
        <v>5</v>
      </c>
      <c r="E171" s="7" t="n">
        <v>15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2</v>
      </c>
      <c r="N171" s="7" t="n">
        <v>0</v>
      </c>
      <c r="O171" s="7" t="n">
        <v>2</v>
      </c>
      <c r="P171" s="8" t="n">
        <f aca="false">IF(E171=0,0,G171/E171)</f>
        <v>0</v>
      </c>
      <c r="Q171" s="8" t="n">
        <f aca="false">IF(E171+N171=0,0,(G171+N171)/(E171+N171))</f>
        <v>0</v>
      </c>
      <c r="R171" s="8" t="n">
        <f aca="false">IF(E171=0,0,L171/E171)</f>
        <v>0</v>
      </c>
      <c r="S171" s="8" t="n">
        <f aca="false">R171+Q171</f>
        <v>0</v>
      </c>
      <c r="T171" s="8" t="n">
        <f aca="false">R171-P171</f>
        <v>0</v>
      </c>
    </row>
    <row r="172" customFormat="false" ht="14.25" hidden="false" customHeight="true" outlineLevel="0" collapsed="false">
      <c r="A172" s="6" t="n">
        <v>2026</v>
      </c>
      <c r="B172" s="6" t="s">
        <v>212</v>
      </c>
      <c r="C172" s="6" t="s">
        <v>227</v>
      </c>
      <c r="D172" s="7" t="n">
        <v>1</v>
      </c>
      <c r="E172" s="7" t="n">
        <v>0</v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7" t="n">
        <v>0</v>
      </c>
      <c r="N172" s="7" t="n">
        <v>0</v>
      </c>
      <c r="O172" s="7" t="n">
        <v>0</v>
      </c>
      <c r="P172" s="8" t="n">
        <f aca="false">IF(E172=0,0,G172/E172)</f>
        <v>0</v>
      </c>
      <c r="Q172" s="8" t="n">
        <f aca="false">IF(E172+N172=0,0,(G172+N172)/(E172+N172))</f>
        <v>0</v>
      </c>
      <c r="R172" s="8" t="n">
        <f aca="false">IF(E172=0,0,L172/E172)</f>
        <v>0</v>
      </c>
      <c r="S172" s="8" t="n">
        <f aca="false">R172+Q172</f>
        <v>0</v>
      </c>
      <c r="T172" s="8" t="n">
        <f aca="false">R172-P172</f>
        <v>0</v>
      </c>
    </row>
    <row r="173" customFormat="false" ht="14.25" hidden="false" customHeight="true" outlineLevel="0" collapsed="false">
      <c r="A173" s="6" t="n">
        <v>2026</v>
      </c>
      <c r="B173" s="6" t="s">
        <v>212</v>
      </c>
      <c r="C173" s="6" t="s">
        <v>228</v>
      </c>
      <c r="D173" s="7" t="n">
        <v>4</v>
      </c>
      <c r="E173" s="7" t="n">
        <v>10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0</v>
      </c>
      <c r="P173" s="8" t="n">
        <f aca="false">IF(E173=0,0,G173/E173)</f>
        <v>0</v>
      </c>
      <c r="Q173" s="8" t="n">
        <f aca="false">IF(E173+N173=0,0,(G173+N173)/(E173+N173))</f>
        <v>0</v>
      </c>
      <c r="R173" s="8" t="n">
        <f aca="false">IF(E173=0,0,L173/E173)</f>
        <v>0</v>
      </c>
      <c r="S173" s="8" t="n">
        <f aca="false">R173+Q173</f>
        <v>0</v>
      </c>
      <c r="T173" s="8" t="n">
        <f aca="false">R173-P173</f>
        <v>0</v>
      </c>
    </row>
    <row r="174" customFormat="false" ht="14.25" hidden="false" customHeight="true" outlineLevel="0" collapsed="false">
      <c r="A174" s="6" t="n">
        <v>2026</v>
      </c>
      <c r="B174" s="6" t="s">
        <v>212</v>
      </c>
      <c r="C174" s="6" t="s">
        <v>229</v>
      </c>
      <c r="D174" s="7" t="n">
        <v>1</v>
      </c>
      <c r="E174" s="7" t="n">
        <v>3</v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0</v>
      </c>
      <c r="N174" s="7" t="n">
        <v>0</v>
      </c>
      <c r="O174" s="7" t="n">
        <v>0</v>
      </c>
      <c r="P174" s="8" t="n">
        <f aca="false">IF(E174=0,0,G174/E174)</f>
        <v>0</v>
      </c>
      <c r="Q174" s="8" t="n">
        <f aca="false">IF(E174+N174=0,0,(G174+N174)/(E174+N174))</f>
        <v>0</v>
      </c>
      <c r="R174" s="8" t="n">
        <f aca="false">IF(E174=0,0,L174/E174)</f>
        <v>0</v>
      </c>
      <c r="S174" s="8" t="n">
        <f aca="false">R174+Q174</f>
        <v>0</v>
      </c>
      <c r="T174" s="8" t="n">
        <f aca="false">R174-P174</f>
        <v>0</v>
      </c>
    </row>
    <row r="175" customFormat="false" ht="14.25" hidden="false" customHeight="true" outlineLevel="0" collapsed="false">
      <c r="A175" s="6" t="n">
        <v>2026</v>
      </c>
      <c r="B175" s="6" t="s">
        <v>212</v>
      </c>
      <c r="C175" s="6" t="s">
        <v>230</v>
      </c>
      <c r="D175" s="7" t="n">
        <v>1</v>
      </c>
      <c r="E175" s="7" t="n">
        <v>2</v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1</v>
      </c>
      <c r="P175" s="8" t="n">
        <f aca="false">IF(E175=0,0,G175/E175)</f>
        <v>0</v>
      </c>
      <c r="Q175" s="8" t="n">
        <f aca="false">IF(E175+N175=0,0,(G175+N175)/(E175+N175))</f>
        <v>0</v>
      </c>
      <c r="R175" s="8" t="n">
        <f aca="false">IF(E175=0,0,L175/E175)</f>
        <v>0</v>
      </c>
      <c r="S175" s="8" t="n">
        <f aca="false">R175+Q175</f>
        <v>0</v>
      </c>
      <c r="T175" s="8" t="n">
        <f aca="false">R175-P175</f>
        <v>0</v>
      </c>
    </row>
    <row r="176" customFormat="false" ht="14.25" hidden="false" customHeight="true" outlineLevel="0" collapsed="false">
      <c r="A176" s="6" t="n">
        <v>2026</v>
      </c>
      <c r="B176" s="6" t="s">
        <v>212</v>
      </c>
      <c r="C176" s="6" t="s">
        <v>231</v>
      </c>
      <c r="D176" s="7" t="n">
        <v>1</v>
      </c>
      <c r="E176" s="7" t="n">
        <v>3</v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0</v>
      </c>
      <c r="N176" s="7" t="n">
        <v>0</v>
      </c>
      <c r="O176" s="7" t="n">
        <v>0</v>
      </c>
      <c r="P176" s="8" t="n">
        <f aca="false">IF(E176=0,0,G176/E176)</f>
        <v>0</v>
      </c>
      <c r="Q176" s="8" t="n">
        <f aca="false">IF(E176+N176=0,0,(G176+N176)/(E176+N176))</f>
        <v>0</v>
      </c>
      <c r="R176" s="8" t="n">
        <f aca="false">IF(E176=0,0,L176/E176)</f>
        <v>0</v>
      </c>
      <c r="S176" s="8" t="n">
        <f aca="false">R176+Q176</f>
        <v>0</v>
      </c>
      <c r="T176" s="8" t="n">
        <f aca="false">R176-P176</f>
        <v>0</v>
      </c>
    </row>
    <row r="177" customFormat="false" ht="14.25" hidden="false" customHeight="true" outlineLevel="0" collapsed="false">
      <c r="A177" s="6" t="n">
        <v>2026</v>
      </c>
      <c r="B177" s="6" t="s">
        <v>212</v>
      </c>
      <c r="C177" s="6" t="s">
        <v>232</v>
      </c>
      <c r="D177" s="7" t="n">
        <v>3</v>
      </c>
      <c r="E177" s="7" t="n">
        <v>8</v>
      </c>
      <c r="F177" s="7" t="n">
        <v>2</v>
      </c>
      <c r="G177" s="7" t="n">
        <v>2</v>
      </c>
      <c r="H177" s="7" t="n">
        <v>0</v>
      </c>
      <c r="I177" s="7" t="n">
        <v>0</v>
      </c>
      <c r="J177" s="7" t="n">
        <v>0</v>
      </c>
      <c r="K177" s="7" t="n">
        <v>0</v>
      </c>
      <c r="L177" s="7" t="n">
        <v>2</v>
      </c>
      <c r="M177" s="7" t="n">
        <v>1</v>
      </c>
      <c r="N177" s="7" t="n">
        <v>3</v>
      </c>
      <c r="O177" s="7" t="n">
        <v>3</v>
      </c>
      <c r="P177" s="8" t="n">
        <f aca="false">IF(E177=0,0,G177/E177)</f>
        <v>0.25</v>
      </c>
      <c r="Q177" s="8" t="n">
        <f aca="false">IF(E177+N177=0,0,(G177+N177)/(E177+N177))</f>
        <v>0.454545454545455</v>
      </c>
      <c r="R177" s="8" t="n">
        <f aca="false">IF(E177=0,0,L177/E177)</f>
        <v>0.25</v>
      </c>
      <c r="S177" s="8" t="n">
        <f aca="false">R177+Q177</f>
        <v>0.704545454545455</v>
      </c>
      <c r="T177" s="8" t="n">
        <f aca="false">R177-P177</f>
        <v>0</v>
      </c>
    </row>
    <row r="178" customFormat="false" ht="14.25" hidden="false" customHeight="true" outlineLevel="0" collapsed="false">
      <c r="A178" s="1" t="n">
        <v>2026</v>
      </c>
      <c r="B178" s="1" t="s">
        <v>212</v>
      </c>
      <c r="C178" s="1" t="s">
        <v>233</v>
      </c>
      <c r="D178" s="1" t="n">
        <v>1</v>
      </c>
      <c r="E178" s="1" t="n">
        <v>2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f aca="false">IF(E178=0,0,G178/E178)</f>
        <v>0</v>
      </c>
      <c r="Q178" s="1" t="n">
        <f aca="false">IF(E178+N178=0,0,(G178+N178)/(E178+N178))</f>
        <v>0</v>
      </c>
      <c r="R178" s="1" t="n">
        <f aca="false">IF(E178=0,0,L178/E178)</f>
        <v>0</v>
      </c>
      <c r="S178" s="1" t="n">
        <f aca="false">R178+Q178</f>
        <v>0</v>
      </c>
      <c r="T178" s="1" t="n">
        <f aca="false">R178-P178</f>
        <v>0</v>
      </c>
    </row>
    <row r="179" customFormat="false" ht="14.25" hidden="false" customHeight="true" outlineLevel="0" collapsed="false">
      <c r="A179" s="1" t="n">
        <v>2026</v>
      </c>
      <c r="B179" s="1" t="s">
        <v>212</v>
      </c>
      <c r="C179" s="1" t="s">
        <v>234</v>
      </c>
      <c r="D179" s="1" t="n">
        <v>1</v>
      </c>
      <c r="E179" s="1" t="n">
        <v>1</v>
      </c>
      <c r="F179" s="1" t="n">
        <v>1</v>
      </c>
      <c r="G179" s="1" t="n">
        <v>1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1</v>
      </c>
      <c r="M179" s="1" t="n">
        <v>0</v>
      </c>
      <c r="N179" s="1" t="n">
        <v>1</v>
      </c>
      <c r="O179" s="1" t="n">
        <v>0</v>
      </c>
      <c r="P179" s="1" t="n">
        <f aca="false">IF(E179=0,0,G179/E179)</f>
        <v>1</v>
      </c>
      <c r="Q179" s="1" t="n">
        <f aca="false">IF(E179+N179=0,0,(G179+N179)/(E179+N179))</f>
        <v>1</v>
      </c>
      <c r="R179" s="1" t="n">
        <f aca="false">IF(E179=0,0,L179/E179)</f>
        <v>1</v>
      </c>
      <c r="S179" s="1" t="n">
        <f aca="false">R179+Q179</f>
        <v>2</v>
      </c>
      <c r="T179" s="1" t="n">
        <f aca="false">R179-P179</f>
        <v>0</v>
      </c>
    </row>
    <row r="180" customFormat="false" ht="14.25" hidden="false" customHeight="true" outlineLevel="0" collapsed="false">
      <c r="A180" s="6" t="n">
        <v>2026</v>
      </c>
      <c r="B180" s="6" t="s">
        <v>212</v>
      </c>
      <c r="C180" s="6" t="s">
        <v>235</v>
      </c>
      <c r="D180" s="7" t="n">
        <v>1</v>
      </c>
      <c r="E180" s="7" t="n">
        <v>2</v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0</v>
      </c>
      <c r="N180" s="7" t="n">
        <v>0</v>
      </c>
      <c r="O180" s="7" t="n">
        <v>0</v>
      </c>
      <c r="P180" s="8" t="n">
        <f aca="false">IF(E180=0,0,G180/E180)</f>
        <v>0</v>
      </c>
      <c r="Q180" s="8" t="n">
        <f aca="false">IF(E180+N180=0,0,(G180+N180)/(E180+N180))</f>
        <v>0</v>
      </c>
      <c r="R180" s="8" t="n">
        <f aca="false">IF(E180=0,0,L180/E180)</f>
        <v>0</v>
      </c>
      <c r="S180" s="8" t="n">
        <f aca="false">R180+Q180</f>
        <v>0</v>
      </c>
      <c r="T180" s="8" t="n">
        <f aca="false">R180-P180</f>
        <v>0</v>
      </c>
    </row>
    <row r="181" customFormat="false" ht="14.25" hidden="false" customHeight="true" outlineLevel="0" collapsed="false">
      <c r="A181" s="6" t="n">
        <v>2026</v>
      </c>
      <c r="B181" s="6" t="s">
        <v>212</v>
      </c>
      <c r="C181" s="6" t="s">
        <v>236</v>
      </c>
      <c r="D181" s="7" t="n">
        <v>1</v>
      </c>
      <c r="E181" s="7" t="n">
        <v>1</v>
      </c>
      <c r="F181" s="7" t="n">
        <v>0</v>
      </c>
      <c r="G181" s="7" t="n">
        <v>1</v>
      </c>
      <c r="H181" s="7" t="n">
        <v>0</v>
      </c>
      <c r="I181" s="7" t="n">
        <v>0</v>
      </c>
      <c r="J181" s="7" t="n">
        <v>0</v>
      </c>
      <c r="K181" s="7" t="n">
        <v>0</v>
      </c>
      <c r="L181" s="7" t="n">
        <v>1</v>
      </c>
      <c r="M181" s="7" t="n">
        <v>2</v>
      </c>
      <c r="N181" s="7" t="n">
        <v>0</v>
      </c>
      <c r="O181" s="7" t="n">
        <v>0</v>
      </c>
      <c r="P181" s="8" t="n">
        <f aca="false">IF(E181=0,0,G181/E181)</f>
        <v>1</v>
      </c>
      <c r="Q181" s="8" t="n">
        <f aca="false">IF(E181+N181=0,0,(G181+N181)/(E181+N181))</f>
        <v>1</v>
      </c>
      <c r="R181" s="8" t="n">
        <f aca="false">IF(E181=0,0,L181/E181)</f>
        <v>1</v>
      </c>
      <c r="S181" s="8" t="n">
        <f aca="false">R181+Q181</f>
        <v>2</v>
      </c>
      <c r="T181" s="8" t="n">
        <f aca="false">R181-P181</f>
        <v>0</v>
      </c>
    </row>
    <row r="182" customFormat="false" ht="14.25" hidden="false" customHeight="true" outlineLevel="0" collapsed="false">
      <c r="A182" s="6" t="n">
        <v>2025</v>
      </c>
      <c r="B182" s="6" t="s">
        <v>50</v>
      </c>
      <c r="C182" s="6" t="s">
        <v>51</v>
      </c>
      <c r="D182" s="7" t="n">
        <v>14</v>
      </c>
      <c r="E182" s="7" t="n">
        <v>48</v>
      </c>
      <c r="F182" s="7" t="n">
        <v>20</v>
      </c>
      <c r="G182" s="7" t="n">
        <v>26</v>
      </c>
      <c r="H182" s="7" t="n">
        <v>4</v>
      </c>
      <c r="I182" s="7" t="n">
        <v>0</v>
      </c>
      <c r="J182" s="7" t="n">
        <v>6</v>
      </c>
      <c r="K182" s="7" t="n">
        <v>10</v>
      </c>
      <c r="L182" s="7" t="n">
        <v>48</v>
      </c>
      <c r="M182" s="7" t="n">
        <v>15</v>
      </c>
      <c r="N182" s="7" t="n">
        <v>5</v>
      </c>
      <c r="O182" s="7" t="n">
        <v>0</v>
      </c>
      <c r="P182" s="8" t="n">
        <f aca="false">IF(E182=0,0,G182/E182)</f>
        <v>0.541666666666667</v>
      </c>
      <c r="Q182" s="8" t="n">
        <f aca="false">IF(E182+N182=0,0,(G182+N182)/(E182+N182))</f>
        <v>0.584905660377359</v>
      </c>
      <c r="R182" s="8" t="n">
        <f aca="false">IF(E182=0,0,L182/E182)</f>
        <v>1</v>
      </c>
      <c r="S182" s="8" t="n">
        <f aca="false">R182+Q182</f>
        <v>1.58490566037736</v>
      </c>
      <c r="T182" s="8" t="n">
        <f aca="false">R182-P182</f>
        <v>0.458333333333333</v>
      </c>
    </row>
    <row r="183" customFormat="false" ht="14.25" hidden="false" customHeight="true" outlineLevel="0" collapsed="false">
      <c r="A183" s="6" t="n">
        <v>2025</v>
      </c>
      <c r="B183" s="6" t="s">
        <v>50</v>
      </c>
      <c r="C183" s="6" t="s">
        <v>55</v>
      </c>
      <c r="D183" s="7" t="n">
        <v>14</v>
      </c>
      <c r="E183" s="7" t="n">
        <v>49</v>
      </c>
      <c r="F183" s="7" t="n">
        <v>15</v>
      </c>
      <c r="G183" s="7" t="n">
        <v>18</v>
      </c>
      <c r="H183" s="7" t="n">
        <v>6</v>
      </c>
      <c r="I183" s="7" t="n">
        <v>0</v>
      </c>
      <c r="J183" s="7" t="n">
        <v>3</v>
      </c>
      <c r="K183" s="7" t="n">
        <v>9</v>
      </c>
      <c r="L183" s="7" t="n">
        <v>33</v>
      </c>
      <c r="M183" s="7" t="n">
        <v>17</v>
      </c>
      <c r="N183" s="7" t="n">
        <v>4</v>
      </c>
      <c r="O183" s="7" t="n">
        <v>1</v>
      </c>
      <c r="P183" s="8" t="n">
        <f aca="false">IF(E183=0,0,G183/E183)</f>
        <v>0.36734693877551</v>
      </c>
      <c r="Q183" s="8" t="n">
        <f aca="false">IF(E183+N183=0,0,(G183+N183)/(E183+N183))</f>
        <v>0.415094339622642</v>
      </c>
      <c r="R183" s="8" t="n">
        <f aca="false">IF(E183=0,0,L183/E183)</f>
        <v>0.673469387755102</v>
      </c>
      <c r="S183" s="8" t="n">
        <f aca="false">R183+Q183</f>
        <v>1.08856372737774</v>
      </c>
      <c r="T183" s="8" t="n">
        <f aca="false">R183-P183</f>
        <v>0.306122448979592</v>
      </c>
    </row>
    <row r="184" customFormat="false" ht="14.25" hidden="false" customHeight="true" outlineLevel="0" collapsed="false">
      <c r="A184" s="6" t="n">
        <v>2025</v>
      </c>
      <c r="B184" s="6" t="s">
        <v>50</v>
      </c>
      <c r="C184" s="6" t="s">
        <v>57</v>
      </c>
      <c r="D184" s="7" t="n">
        <v>9</v>
      </c>
      <c r="E184" s="7" t="n">
        <v>30</v>
      </c>
      <c r="F184" s="7" t="n">
        <v>6</v>
      </c>
      <c r="G184" s="7" t="n">
        <v>13</v>
      </c>
      <c r="H184" s="7" t="n">
        <v>5</v>
      </c>
      <c r="I184" s="7" t="n">
        <v>0</v>
      </c>
      <c r="J184" s="7" t="n">
        <v>0</v>
      </c>
      <c r="K184" s="7" t="n">
        <v>5</v>
      </c>
      <c r="L184" s="7" t="n">
        <v>18</v>
      </c>
      <c r="M184" s="7" t="n">
        <v>7</v>
      </c>
      <c r="N184" s="7" t="n">
        <v>3</v>
      </c>
      <c r="O184" s="7" t="n">
        <v>1</v>
      </c>
      <c r="P184" s="8" t="n">
        <f aca="false">IF(E184=0,0,G184/E184)</f>
        <v>0.433333333333333</v>
      </c>
      <c r="Q184" s="8" t="n">
        <f aca="false">IF(E184+N184=0,0,(G184+N184)/(E184+N184))</f>
        <v>0.484848484848485</v>
      </c>
      <c r="R184" s="8" t="n">
        <f aca="false">IF(E184=0,0,L184/E184)</f>
        <v>0.6</v>
      </c>
      <c r="S184" s="8" t="n">
        <f aca="false">R184+Q184</f>
        <v>1.08484848484849</v>
      </c>
      <c r="T184" s="8" t="n">
        <f aca="false">R184-P184</f>
        <v>0.166666666666667</v>
      </c>
    </row>
    <row r="185" customFormat="false" ht="14.25" hidden="false" customHeight="true" outlineLevel="0" collapsed="false">
      <c r="A185" s="6" t="n">
        <v>2025</v>
      </c>
      <c r="B185" s="6" t="s">
        <v>50</v>
      </c>
      <c r="C185" s="6" t="s">
        <v>52</v>
      </c>
      <c r="D185" s="7" t="n">
        <v>12</v>
      </c>
      <c r="E185" s="7" t="n">
        <v>35</v>
      </c>
      <c r="F185" s="7" t="n">
        <v>10</v>
      </c>
      <c r="G185" s="7" t="n">
        <v>12</v>
      </c>
      <c r="H185" s="7" t="n">
        <v>3</v>
      </c>
      <c r="I185" s="7" t="n">
        <v>0</v>
      </c>
      <c r="J185" s="7" t="n">
        <v>4</v>
      </c>
      <c r="K185" s="7" t="n">
        <v>7</v>
      </c>
      <c r="L185" s="7" t="n">
        <v>27</v>
      </c>
      <c r="M185" s="7" t="n">
        <v>14</v>
      </c>
      <c r="N185" s="7" t="n">
        <v>3</v>
      </c>
      <c r="O185" s="7" t="n">
        <v>1</v>
      </c>
      <c r="P185" s="8" t="n">
        <f aca="false">IF(E185=0,0,G185/E185)</f>
        <v>0.342857142857143</v>
      </c>
      <c r="Q185" s="8" t="n">
        <f aca="false">IF(E185+N185=0,0,(G185+N185)/(E185+N185))</f>
        <v>0.394736842105263</v>
      </c>
      <c r="R185" s="8" t="n">
        <f aca="false">IF(E185=0,0,L185/E185)</f>
        <v>0.771428571428572</v>
      </c>
      <c r="S185" s="8" t="n">
        <f aca="false">R185+Q185</f>
        <v>1.16616541353383</v>
      </c>
      <c r="T185" s="8" t="n">
        <f aca="false">R185-P185</f>
        <v>0.428571428571429</v>
      </c>
    </row>
    <row r="186" customFormat="false" ht="14.25" hidden="false" customHeight="true" outlineLevel="0" collapsed="false">
      <c r="A186" s="6" t="n">
        <v>2025</v>
      </c>
      <c r="B186" s="6" t="s">
        <v>50</v>
      </c>
      <c r="C186" s="6" t="s">
        <v>53</v>
      </c>
      <c r="D186" s="7" t="n">
        <v>9</v>
      </c>
      <c r="E186" s="7" t="n">
        <v>26</v>
      </c>
      <c r="F186" s="7" t="n">
        <v>6</v>
      </c>
      <c r="G186" s="7" t="n">
        <v>11</v>
      </c>
      <c r="H186" s="7" t="n">
        <v>5</v>
      </c>
      <c r="I186" s="7" t="n">
        <v>0</v>
      </c>
      <c r="J186" s="7" t="n">
        <v>0</v>
      </c>
      <c r="K186" s="7" t="n">
        <v>5</v>
      </c>
      <c r="L186" s="7" t="n">
        <v>16</v>
      </c>
      <c r="M186" s="7" t="n">
        <v>9</v>
      </c>
      <c r="N186" s="7" t="n">
        <v>6</v>
      </c>
      <c r="O186" s="7" t="n">
        <v>0</v>
      </c>
      <c r="P186" s="8" t="n">
        <f aca="false">IF(E186=0,0,G186/E186)</f>
        <v>0.423076923076923</v>
      </c>
      <c r="Q186" s="8" t="n">
        <f aca="false">IF(E186+N186=0,0,(G186+N186)/(E186+N186))</f>
        <v>0.53125</v>
      </c>
      <c r="R186" s="8" t="n">
        <f aca="false">IF(E186=0,0,L186/E186)</f>
        <v>0.615384615384615</v>
      </c>
      <c r="S186" s="8" t="n">
        <f aca="false">R186+Q186</f>
        <v>1.14663461538462</v>
      </c>
      <c r="T186" s="8" t="n">
        <f aca="false">R186-P186</f>
        <v>0.192307692307692</v>
      </c>
    </row>
    <row r="187" customFormat="false" ht="14.25" hidden="false" customHeight="true" outlineLevel="0" collapsed="false">
      <c r="A187" s="6" t="n">
        <v>2025</v>
      </c>
      <c r="B187" s="6" t="s">
        <v>50</v>
      </c>
      <c r="C187" s="6" t="s">
        <v>237</v>
      </c>
      <c r="D187" s="7" t="n">
        <v>6</v>
      </c>
      <c r="E187" s="7" t="n">
        <v>17</v>
      </c>
      <c r="F187" s="7" t="n">
        <v>9</v>
      </c>
      <c r="G187" s="7" t="n">
        <v>10</v>
      </c>
      <c r="H187" s="7" t="n">
        <v>1</v>
      </c>
      <c r="I187" s="7" t="n">
        <v>0</v>
      </c>
      <c r="J187" s="7" t="n">
        <v>0</v>
      </c>
      <c r="K187" s="7" t="n">
        <v>1</v>
      </c>
      <c r="L187" s="7" t="n">
        <v>11</v>
      </c>
      <c r="M187" s="7" t="n">
        <v>2</v>
      </c>
      <c r="N187" s="7" t="n">
        <v>5</v>
      </c>
      <c r="O187" s="7" t="n">
        <v>0</v>
      </c>
      <c r="P187" s="8" t="n">
        <f aca="false">IF(E187=0,0,G187/E187)</f>
        <v>0.588235294117647</v>
      </c>
      <c r="Q187" s="8" t="n">
        <f aca="false">IF(E187+N187=0,0,(G187+N187)/(E187+N187))</f>
        <v>0.681818181818182</v>
      </c>
      <c r="R187" s="8" t="n">
        <f aca="false">IF(E187=0,0,L187/E187)</f>
        <v>0.647058823529412</v>
      </c>
      <c r="S187" s="8" t="n">
        <f aca="false">R187+Q187</f>
        <v>1.32887700534759</v>
      </c>
      <c r="T187" s="8" t="n">
        <f aca="false">R187-P187</f>
        <v>0.0588235294117647</v>
      </c>
    </row>
    <row r="188" customFormat="false" ht="14.25" hidden="false" customHeight="true" outlineLevel="0" collapsed="false">
      <c r="A188" s="6" t="n">
        <v>2025</v>
      </c>
      <c r="B188" s="6" t="s">
        <v>50</v>
      </c>
      <c r="C188" s="6" t="s">
        <v>69</v>
      </c>
      <c r="D188" s="7" t="n">
        <v>10</v>
      </c>
      <c r="E188" s="7" t="n">
        <v>21</v>
      </c>
      <c r="F188" s="7" t="n">
        <v>4</v>
      </c>
      <c r="G188" s="7" t="n">
        <v>8</v>
      </c>
      <c r="H188" s="7" t="n">
        <v>0</v>
      </c>
      <c r="I188" s="7" t="n">
        <v>0</v>
      </c>
      <c r="J188" s="7" t="n">
        <v>2</v>
      </c>
      <c r="K188" s="7" t="n">
        <v>2</v>
      </c>
      <c r="L188" s="7" t="n">
        <v>14</v>
      </c>
      <c r="M188" s="7" t="n">
        <v>5</v>
      </c>
      <c r="N188" s="7" t="n">
        <v>2</v>
      </c>
      <c r="O188" s="7" t="n">
        <v>2</v>
      </c>
      <c r="P188" s="8" t="n">
        <f aca="false">IF(E188=0,0,G188/E188)</f>
        <v>0.380952380952381</v>
      </c>
      <c r="Q188" s="8" t="n">
        <f aca="false">IF(E188+N188=0,0,(G188+N188)/(E188+N188))</f>
        <v>0.434782608695652</v>
      </c>
      <c r="R188" s="8" t="n">
        <f aca="false">IF(E188=0,0,L188/E188)</f>
        <v>0.666666666666667</v>
      </c>
      <c r="S188" s="8" t="n">
        <f aca="false">R188+Q188</f>
        <v>1.10144927536232</v>
      </c>
      <c r="T188" s="8" t="n">
        <f aca="false">R188-P188</f>
        <v>0.285714285714286</v>
      </c>
    </row>
    <row r="189" customFormat="false" ht="14.25" hidden="false" customHeight="true" outlineLevel="0" collapsed="false">
      <c r="A189" s="6" t="n">
        <v>2025</v>
      </c>
      <c r="B189" s="6" t="s">
        <v>50</v>
      </c>
      <c r="C189" s="6" t="s">
        <v>60</v>
      </c>
      <c r="D189" s="7" t="n">
        <v>9</v>
      </c>
      <c r="E189" s="7" t="n">
        <v>25</v>
      </c>
      <c r="F189" s="7" t="n">
        <v>3</v>
      </c>
      <c r="G189" s="7" t="n">
        <v>8</v>
      </c>
      <c r="H189" s="7" t="n">
        <v>5</v>
      </c>
      <c r="I189" s="7" t="n">
        <v>0</v>
      </c>
      <c r="J189" s="7" t="n">
        <v>0</v>
      </c>
      <c r="K189" s="7" t="n">
        <v>5</v>
      </c>
      <c r="L189" s="7" t="n">
        <v>13</v>
      </c>
      <c r="M189" s="7" t="n">
        <v>4</v>
      </c>
      <c r="N189" s="7" t="n">
        <v>1</v>
      </c>
      <c r="O189" s="7" t="n">
        <v>2</v>
      </c>
      <c r="P189" s="8" t="n">
        <f aca="false">IF(E189=0,0,G189/E189)</f>
        <v>0.32</v>
      </c>
      <c r="Q189" s="8" t="n">
        <f aca="false">IF(E189+N189=0,0,(G189+N189)/(E189+N189))</f>
        <v>0.346153846153846</v>
      </c>
      <c r="R189" s="8" t="n">
        <f aca="false">IF(E189=0,0,L189/E189)</f>
        <v>0.52</v>
      </c>
      <c r="S189" s="8" t="n">
        <f aca="false">R189+Q189</f>
        <v>0.866153846153846</v>
      </c>
      <c r="T189" s="8" t="n">
        <f aca="false">R189-P189</f>
        <v>0.2</v>
      </c>
    </row>
    <row r="190" customFormat="false" ht="14.25" hidden="false" customHeight="true" outlineLevel="0" collapsed="false">
      <c r="A190" s="6" t="n">
        <v>2025</v>
      </c>
      <c r="B190" s="6" t="s">
        <v>50</v>
      </c>
      <c r="C190" s="6" t="s">
        <v>54</v>
      </c>
      <c r="D190" s="7" t="n">
        <v>12</v>
      </c>
      <c r="E190" s="7" t="n">
        <v>40</v>
      </c>
      <c r="F190" s="7" t="n">
        <v>9</v>
      </c>
      <c r="G190" s="7" t="n">
        <v>8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8</v>
      </c>
      <c r="M190" s="7" t="n">
        <v>4</v>
      </c>
      <c r="N190" s="7" t="n">
        <v>4</v>
      </c>
      <c r="O190" s="7" t="n">
        <v>0</v>
      </c>
      <c r="P190" s="8" t="n">
        <f aca="false">IF(E190=0,0,G190/E190)</f>
        <v>0.2</v>
      </c>
      <c r="Q190" s="8" t="n">
        <f aca="false">IF(E190+N190=0,0,(G190+N190)/(E190+N190))</f>
        <v>0.272727272727273</v>
      </c>
      <c r="R190" s="8" t="n">
        <f aca="false">IF(E190=0,0,L190/E190)</f>
        <v>0.2</v>
      </c>
      <c r="S190" s="8" t="n">
        <f aca="false">R190+Q190</f>
        <v>0.472727272727273</v>
      </c>
      <c r="T190" s="8" t="n">
        <f aca="false">R190-P190</f>
        <v>0</v>
      </c>
    </row>
    <row r="191" customFormat="false" ht="14.25" hidden="false" customHeight="true" outlineLevel="0" collapsed="false">
      <c r="A191" s="6" t="n">
        <v>2025</v>
      </c>
      <c r="B191" s="6" t="s">
        <v>50</v>
      </c>
      <c r="C191" s="6" t="s">
        <v>56</v>
      </c>
      <c r="D191" s="7" t="n">
        <v>13</v>
      </c>
      <c r="E191" s="7" t="n">
        <v>27</v>
      </c>
      <c r="F191" s="7" t="n">
        <v>5</v>
      </c>
      <c r="G191" s="7" t="n">
        <v>7</v>
      </c>
      <c r="H191" s="7" t="n">
        <v>0</v>
      </c>
      <c r="I191" s="7" t="n">
        <v>0</v>
      </c>
      <c r="J191" s="7" t="n">
        <v>0</v>
      </c>
      <c r="K191" s="7" t="n">
        <v>0</v>
      </c>
      <c r="L191" s="7" t="n">
        <v>7</v>
      </c>
      <c r="M191" s="7" t="n">
        <v>3</v>
      </c>
      <c r="N191" s="7" t="n">
        <v>3</v>
      </c>
      <c r="O191" s="7" t="n">
        <v>2</v>
      </c>
      <c r="P191" s="8" t="n">
        <f aca="false">IF(E191=0,0,G191/E191)</f>
        <v>0.259259259259259</v>
      </c>
      <c r="Q191" s="8" t="n">
        <f aca="false">IF(E191+N191=0,0,(G191+N191)/(E191+N191))</f>
        <v>0.333333333333333</v>
      </c>
      <c r="R191" s="8" t="n">
        <f aca="false">IF(E191=0,0,L191/E191)</f>
        <v>0.259259259259259</v>
      </c>
      <c r="S191" s="8" t="n">
        <f aca="false">R191+Q191</f>
        <v>0.592592592592593</v>
      </c>
      <c r="T191" s="8" t="n">
        <f aca="false">R191-P191</f>
        <v>0</v>
      </c>
    </row>
    <row r="192" customFormat="false" ht="14.25" hidden="false" customHeight="true" outlineLevel="0" collapsed="false">
      <c r="A192" s="6" t="n">
        <v>2025</v>
      </c>
      <c r="B192" s="6" t="s">
        <v>50</v>
      </c>
      <c r="C192" s="6" t="s">
        <v>62</v>
      </c>
      <c r="D192" s="7" t="n">
        <v>10</v>
      </c>
      <c r="E192" s="7" t="n">
        <v>25</v>
      </c>
      <c r="F192" s="7" t="n">
        <v>2</v>
      </c>
      <c r="G192" s="7" t="n">
        <v>5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5</v>
      </c>
      <c r="M192" s="7" t="n">
        <v>7</v>
      </c>
      <c r="N192" s="7" t="n">
        <v>3</v>
      </c>
      <c r="O192" s="7" t="n">
        <v>1</v>
      </c>
      <c r="P192" s="8" t="n">
        <f aca="false">IF(E192=0,0,G192/E192)</f>
        <v>0.2</v>
      </c>
      <c r="Q192" s="8" t="n">
        <f aca="false">IF(E192+N192=0,0,(G192+N192)/(E192+N192))</f>
        <v>0.285714285714286</v>
      </c>
      <c r="R192" s="8" t="n">
        <f aca="false">IF(E192=0,0,L192/E192)</f>
        <v>0.2</v>
      </c>
      <c r="S192" s="8" t="n">
        <f aca="false">R192+Q192</f>
        <v>0.485714285714286</v>
      </c>
      <c r="T192" s="8" t="n">
        <f aca="false">R192-P192</f>
        <v>0</v>
      </c>
    </row>
    <row r="193" customFormat="false" ht="14.25" hidden="false" customHeight="true" outlineLevel="0" collapsed="false">
      <c r="A193" s="6" t="n">
        <v>2025</v>
      </c>
      <c r="B193" s="6" t="s">
        <v>50</v>
      </c>
      <c r="C193" s="6" t="s">
        <v>59</v>
      </c>
      <c r="D193" s="7" t="n">
        <v>14</v>
      </c>
      <c r="E193" s="7" t="n">
        <v>42</v>
      </c>
      <c r="F193" s="7" t="n">
        <v>3</v>
      </c>
      <c r="G193" s="7" t="n">
        <v>5</v>
      </c>
      <c r="H193" s="7" t="n">
        <v>0</v>
      </c>
      <c r="I193" s="7" t="n">
        <v>0</v>
      </c>
      <c r="J193" s="7" t="n">
        <v>0</v>
      </c>
      <c r="K193" s="7" t="n">
        <v>0</v>
      </c>
      <c r="L193" s="7" t="n">
        <v>5</v>
      </c>
      <c r="M193" s="7" t="n">
        <v>2</v>
      </c>
      <c r="N193" s="7" t="n">
        <v>1</v>
      </c>
      <c r="O193" s="7" t="n">
        <v>6</v>
      </c>
      <c r="P193" s="8" t="n">
        <f aca="false">IF(E193=0,0,G193/E193)</f>
        <v>0.119047619047619</v>
      </c>
      <c r="Q193" s="8" t="n">
        <f aca="false">IF(E193+N193=0,0,(G193+N193)/(E193+N193))</f>
        <v>0.13953488372093</v>
      </c>
      <c r="R193" s="8" t="n">
        <f aca="false">IF(E193=0,0,L193/E193)</f>
        <v>0.119047619047619</v>
      </c>
      <c r="S193" s="8" t="n">
        <f aca="false">R193+Q193</f>
        <v>0.258582502768549</v>
      </c>
      <c r="T193" s="8" t="n">
        <f aca="false">R193-P193</f>
        <v>0</v>
      </c>
    </row>
    <row r="194" customFormat="false" ht="14.25" hidden="false" customHeight="true" outlineLevel="0" collapsed="false">
      <c r="A194" s="6" t="n">
        <v>2025</v>
      </c>
      <c r="B194" s="6" t="s">
        <v>50</v>
      </c>
      <c r="C194" s="6" t="s">
        <v>64</v>
      </c>
      <c r="D194" s="7" t="n">
        <v>7</v>
      </c>
      <c r="E194" s="7" t="n">
        <v>13</v>
      </c>
      <c r="F194" s="7" t="n">
        <v>2</v>
      </c>
      <c r="G194" s="7" t="n">
        <v>3</v>
      </c>
      <c r="H194" s="7" t="n">
        <v>0</v>
      </c>
      <c r="I194" s="7" t="n">
        <v>0</v>
      </c>
      <c r="J194" s="7" t="n">
        <v>1</v>
      </c>
      <c r="K194" s="7" t="n">
        <v>1</v>
      </c>
      <c r="L194" s="7" t="n">
        <v>6</v>
      </c>
      <c r="M194" s="7" t="n">
        <v>5</v>
      </c>
      <c r="N194" s="7" t="n">
        <v>3</v>
      </c>
      <c r="O194" s="7" t="n">
        <v>0</v>
      </c>
      <c r="P194" s="8" t="n">
        <f aca="false">IF(E194=0,0,G194/E194)</f>
        <v>0.230769230769231</v>
      </c>
      <c r="Q194" s="8" t="n">
        <f aca="false">IF(E194+N194=0,0,(G194+N194)/(E194+N194))</f>
        <v>0.375</v>
      </c>
      <c r="R194" s="8" t="n">
        <f aca="false">IF(E194=0,0,L194/E194)</f>
        <v>0.461538461538462</v>
      </c>
      <c r="S194" s="8" t="n">
        <f aca="false">R194+Q194</f>
        <v>0.836538461538462</v>
      </c>
      <c r="T194" s="8" t="n">
        <f aca="false">R194-P194</f>
        <v>0.230769230769231</v>
      </c>
    </row>
    <row r="195" customFormat="false" ht="14.25" hidden="false" customHeight="true" outlineLevel="0" collapsed="false">
      <c r="A195" s="6" t="n">
        <v>2025</v>
      </c>
      <c r="B195" s="6" t="s">
        <v>50</v>
      </c>
      <c r="C195" s="6" t="s">
        <v>63</v>
      </c>
      <c r="D195" s="7" t="n">
        <v>6</v>
      </c>
      <c r="E195" s="7" t="n">
        <v>11</v>
      </c>
      <c r="F195" s="7" t="n">
        <v>1</v>
      </c>
      <c r="G195" s="7" t="n">
        <v>3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3</v>
      </c>
      <c r="M195" s="7" t="n">
        <v>0</v>
      </c>
      <c r="N195" s="7" t="n">
        <v>2</v>
      </c>
      <c r="O195" s="7" t="n">
        <v>1</v>
      </c>
      <c r="P195" s="8" t="n">
        <f aca="false">IF(E195=0,0,G195/E195)</f>
        <v>0.272727272727273</v>
      </c>
      <c r="Q195" s="8" t="n">
        <f aca="false">IF(E195+N195=0,0,(G195+N195)/(E195+N195))</f>
        <v>0.384615384615385</v>
      </c>
      <c r="R195" s="8" t="n">
        <f aca="false">IF(E195=0,0,L195/E195)</f>
        <v>0.272727272727273</v>
      </c>
      <c r="S195" s="8" t="n">
        <f aca="false">R195+Q195</f>
        <v>0.657342657342657</v>
      </c>
      <c r="T195" s="8" t="n">
        <f aca="false">R195-P195</f>
        <v>0</v>
      </c>
    </row>
    <row r="196" customFormat="false" ht="14.25" hidden="false" customHeight="true" outlineLevel="0" collapsed="false">
      <c r="A196" s="6" t="n">
        <v>2025</v>
      </c>
      <c r="B196" s="6" t="s">
        <v>50</v>
      </c>
      <c r="C196" s="6" t="s">
        <v>66</v>
      </c>
      <c r="D196" s="7" t="n">
        <v>4</v>
      </c>
      <c r="E196" s="7" t="n">
        <v>7</v>
      </c>
      <c r="F196" s="7" t="n">
        <v>2</v>
      </c>
      <c r="G196" s="7" t="n">
        <v>1</v>
      </c>
      <c r="H196" s="7" t="n">
        <v>0</v>
      </c>
      <c r="I196" s="7" t="n">
        <v>0</v>
      </c>
      <c r="J196" s="7" t="n">
        <v>0</v>
      </c>
      <c r="K196" s="7" t="n">
        <v>0</v>
      </c>
      <c r="L196" s="7" t="n">
        <v>1</v>
      </c>
      <c r="M196" s="7" t="n">
        <v>1</v>
      </c>
      <c r="N196" s="7" t="n">
        <v>3</v>
      </c>
      <c r="O196" s="7" t="n">
        <v>0</v>
      </c>
      <c r="P196" s="8" t="n">
        <f aca="false">IF(E196=0,0,G196/E196)</f>
        <v>0.142857142857143</v>
      </c>
      <c r="Q196" s="8" t="n">
        <f aca="false">IF(E196+N196=0,0,(G196+N196)/(E196+N196))</f>
        <v>0.4</v>
      </c>
      <c r="R196" s="8" t="n">
        <f aca="false">IF(E196=0,0,L196/E196)</f>
        <v>0.142857142857143</v>
      </c>
      <c r="S196" s="8" t="n">
        <f aca="false">R196+Q196</f>
        <v>0.542857142857143</v>
      </c>
      <c r="T196" s="8" t="n">
        <f aca="false">R196-P196</f>
        <v>0</v>
      </c>
    </row>
    <row r="197" customFormat="false" ht="14.25" hidden="false" customHeight="true" outlineLevel="0" collapsed="false">
      <c r="A197" s="6" t="n">
        <v>2025</v>
      </c>
      <c r="B197" s="6" t="s">
        <v>50</v>
      </c>
      <c r="C197" s="6" t="s">
        <v>238</v>
      </c>
      <c r="D197" s="7" t="n">
        <v>1</v>
      </c>
      <c r="E197" s="7" t="n">
        <v>2</v>
      </c>
      <c r="F197" s="7" t="n">
        <v>0</v>
      </c>
      <c r="G197" s="7" t="n">
        <v>1</v>
      </c>
      <c r="H197" s="7" t="n">
        <v>0</v>
      </c>
      <c r="I197" s="7" t="n">
        <v>0</v>
      </c>
      <c r="J197" s="7" t="n">
        <v>0</v>
      </c>
      <c r="K197" s="7" t="n">
        <v>0</v>
      </c>
      <c r="L197" s="7" t="n">
        <v>1</v>
      </c>
      <c r="M197" s="7" t="n">
        <v>0</v>
      </c>
      <c r="N197" s="7" t="n">
        <v>0</v>
      </c>
      <c r="O197" s="7" t="n">
        <v>0</v>
      </c>
      <c r="P197" s="8" t="n">
        <f aca="false">IF(E197=0,0,G197/E197)</f>
        <v>0.5</v>
      </c>
      <c r="Q197" s="8" t="n">
        <f aca="false">IF(E197+N197=0,0,(G197+N197)/(E197+N197))</f>
        <v>0.5</v>
      </c>
      <c r="R197" s="8" t="n">
        <f aca="false">IF(E197=0,0,L197/E197)</f>
        <v>0.5</v>
      </c>
      <c r="S197" s="8" t="n">
        <f aca="false">R197+Q197</f>
        <v>1</v>
      </c>
      <c r="T197" s="8" t="n">
        <f aca="false">R197-P197</f>
        <v>0</v>
      </c>
    </row>
    <row r="198" customFormat="false" ht="14.25" hidden="false" customHeight="true" outlineLevel="0" collapsed="false">
      <c r="A198" s="6" t="n">
        <v>2025</v>
      </c>
      <c r="B198" s="6" t="s">
        <v>50</v>
      </c>
      <c r="C198" s="6" t="s">
        <v>67</v>
      </c>
      <c r="D198" s="7" t="n">
        <v>6</v>
      </c>
      <c r="E198" s="7" t="n">
        <v>7</v>
      </c>
      <c r="F198" s="7" t="n">
        <v>2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0</v>
      </c>
      <c r="N198" s="7" t="n">
        <v>4</v>
      </c>
      <c r="O198" s="7" t="n">
        <v>0</v>
      </c>
      <c r="P198" s="8" t="n">
        <f aca="false">IF(E198=0,0,G198/E198)</f>
        <v>0</v>
      </c>
      <c r="Q198" s="8" t="n">
        <f aca="false">IF(E198+N198=0,0,(G198+N198)/(E198+N198))</f>
        <v>0.363636363636364</v>
      </c>
      <c r="R198" s="8" t="n">
        <f aca="false">IF(E198=0,0,L198/E198)</f>
        <v>0</v>
      </c>
      <c r="S198" s="8" t="n">
        <f aca="false">R198+Q198</f>
        <v>0.363636363636364</v>
      </c>
      <c r="T198" s="8" t="n">
        <f aca="false">R198-P198</f>
        <v>0</v>
      </c>
    </row>
    <row r="199" customFormat="false" ht="14.25" hidden="false" customHeight="true" outlineLevel="0" collapsed="false">
      <c r="A199" s="6" t="n">
        <v>2025</v>
      </c>
      <c r="B199" s="6" t="s">
        <v>50</v>
      </c>
      <c r="C199" s="6" t="s">
        <v>61</v>
      </c>
      <c r="D199" s="7" t="n">
        <v>1</v>
      </c>
      <c r="E199" s="7" t="n">
        <v>1</v>
      </c>
      <c r="F199" s="7" t="n">
        <v>1</v>
      </c>
      <c r="G199" s="7" t="n">
        <v>0</v>
      </c>
      <c r="H199" s="7" t="n">
        <v>0</v>
      </c>
      <c r="I199" s="7" t="n">
        <v>0</v>
      </c>
      <c r="J199" s="7" t="n">
        <v>0</v>
      </c>
      <c r="K199" s="7" t="n">
        <v>0</v>
      </c>
      <c r="L199" s="7" t="n">
        <v>0</v>
      </c>
      <c r="M199" s="7" t="n">
        <v>0</v>
      </c>
      <c r="N199" s="7" t="n">
        <v>1</v>
      </c>
      <c r="O199" s="7" t="n">
        <v>0</v>
      </c>
      <c r="P199" s="8" t="n">
        <f aca="false">IF(E199=0,0,G199/E199)</f>
        <v>0</v>
      </c>
      <c r="Q199" s="8" t="n">
        <f aca="false">IF(E199+N199=0,0,(G199+N199)/(E199+N199))</f>
        <v>0.5</v>
      </c>
      <c r="R199" s="8" t="n">
        <f aca="false">IF(E199=0,0,L199/E199)</f>
        <v>0</v>
      </c>
      <c r="S199" s="8" t="n">
        <f aca="false">R199+Q199</f>
        <v>0.5</v>
      </c>
      <c r="T199" s="8" t="n">
        <f aca="false">R199-P199</f>
        <v>0</v>
      </c>
    </row>
    <row r="200" customFormat="false" ht="14.25" hidden="false" customHeight="true" outlineLevel="0" collapsed="false">
      <c r="A200" s="6" t="n">
        <v>2025</v>
      </c>
      <c r="B200" s="6" t="s">
        <v>50</v>
      </c>
      <c r="C200" s="6" t="s">
        <v>239</v>
      </c>
      <c r="D200" s="7" t="n">
        <v>1</v>
      </c>
      <c r="E200" s="7" t="n">
        <v>3</v>
      </c>
      <c r="F200" s="7" t="n">
        <v>0</v>
      </c>
      <c r="G200" s="7" t="n">
        <v>0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  <c r="M200" s="7" t="n">
        <v>0</v>
      </c>
      <c r="N200" s="7" t="n">
        <v>0</v>
      </c>
      <c r="O200" s="7" t="n">
        <v>0</v>
      </c>
      <c r="P200" s="8" t="n">
        <f aca="false">IF(E200=0,0,G200/E200)</f>
        <v>0</v>
      </c>
      <c r="Q200" s="8" t="n">
        <f aca="false">IF(E200+N200=0,0,(G200+N200)/(E200+N200))</f>
        <v>0</v>
      </c>
      <c r="R200" s="8" t="n">
        <f aca="false">IF(E200=0,0,L200/E200)</f>
        <v>0</v>
      </c>
      <c r="S200" s="8" t="n">
        <f aca="false">R200+Q200</f>
        <v>0</v>
      </c>
      <c r="T200" s="8" t="n">
        <f aca="false">R200-P200</f>
        <v>0</v>
      </c>
    </row>
    <row r="201" customFormat="false" ht="14.25" hidden="false" customHeight="true" outlineLevel="0" collapsed="false">
      <c r="A201" s="6" t="n">
        <v>2025</v>
      </c>
      <c r="B201" s="6" t="s">
        <v>50</v>
      </c>
      <c r="C201" s="6" t="s">
        <v>240</v>
      </c>
      <c r="D201" s="7" t="n">
        <v>2</v>
      </c>
      <c r="E201" s="7" t="n">
        <v>2</v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0</v>
      </c>
      <c r="L201" s="7" t="n">
        <v>0</v>
      </c>
      <c r="M201" s="7" t="n">
        <v>0</v>
      </c>
      <c r="N201" s="7" t="n">
        <v>0</v>
      </c>
      <c r="O201" s="7" t="n">
        <v>0</v>
      </c>
      <c r="P201" s="8" t="n">
        <f aca="false">IF(E201=0,0,G201/E201)</f>
        <v>0</v>
      </c>
      <c r="Q201" s="8" t="n">
        <f aca="false">IF(E201+N201=0,0,(G201+N201)/(E201+N201))</f>
        <v>0</v>
      </c>
      <c r="R201" s="8" t="n">
        <f aca="false">IF(E201=0,0,L201/E201)</f>
        <v>0</v>
      </c>
      <c r="S201" s="8" t="n">
        <f aca="false">R201+Q201</f>
        <v>0</v>
      </c>
      <c r="T201" s="8" t="n">
        <f aca="false">R201-P201</f>
        <v>0</v>
      </c>
    </row>
    <row r="202" customFormat="false" ht="14.25" hidden="false" customHeight="true" outlineLevel="0" collapsed="false">
      <c r="A202" s="6" t="n">
        <v>2025</v>
      </c>
      <c r="B202" s="6" t="s">
        <v>50</v>
      </c>
      <c r="C202" s="6" t="s">
        <v>241</v>
      </c>
      <c r="D202" s="7" t="n">
        <v>1</v>
      </c>
      <c r="E202" s="7" t="n">
        <v>1</v>
      </c>
      <c r="F202" s="7" t="n">
        <v>0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0</v>
      </c>
      <c r="N202" s="7" t="n">
        <v>0</v>
      </c>
      <c r="O202" s="7" t="n">
        <v>0</v>
      </c>
      <c r="P202" s="8" t="n">
        <f aca="false">IF(E202=0,0,G202/E202)</f>
        <v>0</v>
      </c>
      <c r="Q202" s="8" t="n">
        <f aca="false">IF(E202+N202=0,0,(G202+N202)/(E202+N202))</f>
        <v>0</v>
      </c>
      <c r="R202" s="8" t="n">
        <f aca="false">IF(E202=0,0,L202/E202)</f>
        <v>0</v>
      </c>
      <c r="S202" s="8" t="n">
        <f aca="false">R202+Q202</f>
        <v>0</v>
      </c>
      <c r="T202" s="8" t="n">
        <f aca="false">R202-P202</f>
        <v>0</v>
      </c>
    </row>
    <row r="203" customFormat="false" ht="14.25" hidden="false" customHeight="true" outlineLevel="0" collapsed="false">
      <c r="A203" s="6" t="n">
        <v>2025</v>
      </c>
      <c r="B203" s="6" t="s">
        <v>71</v>
      </c>
      <c r="C203" s="6" t="s">
        <v>72</v>
      </c>
      <c r="D203" s="7" t="n">
        <v>12</v>
      </c>
      <c r="E203" s="7" t="n">
        <v>40</v>
      </c>
      <c r="F203" s="7" t="n">
        <v>14</v>
      </c>
      <c r="G203" s="7" t="n">
        <v>18</v>
      </c>
      <c r="H203" s="7" t="n">
        <v>2</v>
      </c>
      <c r="I203" s="7" t="n">
        <v>0</v>
      </c>
      <c r="J203" s="7" t="n">
        <v>9</v>
      </c>
      <c r="K203" s="7" t="n">
        <v>11</v>
      </c>
      <c r="L203" s="7" t="n">
        <v>47</v>
      </c>
      <c r="M203" s="7" t="n">
        <v>16</v>
      </c>
      <c r="N203" s="7" t="n">
        <v>3</v>
      </c>
      <c r="O203" s="7" t="n">
        <v>3</v>
      </c>
      <c r="P203" s="8" t="n">
        <f aca="false">IF(E203=0,0,G203/E203)</f>
        <v>0.45</v>
      </c>
      <c r="Q203" s="8" t="n">
        <f aca="false">IF(E203+N203=0,0,(G203+N203)/(E203+N203))</f>
        <v>0.488372093023256</v>
      </c>
      <c r="R203" s="8" t="n">
        <f aca="false">IF(E203=0,0,L203/E203)</f>
        <v>1.175</v>
      </c>
      <c r="S203" s="8" t="n">
        <f aca="false">R203+Q203</f>
        <v>1.66337209302326</v>
      </c>
      <c r="T203" s="8" t="n">
        <f aca="false">R203-P203</f>
        <v>0.725</v>
      </c>
    </row>
    <row r="204" customFormat="false" ht="14.25" hidden="false" customHeight="true" outlineLevel="0" collapsed="false">
      <c r="A204" s="6" t="n">
        <v>2025</v>
      </c>
      <c r="B204" s="6" t="s">
        <v>71</v>
      </c>
      <c r="C204" s="6" t="s">
        <v>76</v>
      </c>
      <c r="D204" s="7" t="n">
        <v>12</v>
      </c>
      <c r="E204" s="7" t="n">
        <v>41</v>
      </c>
      <c r="F204" s="7" t="n">
        <v>9</v>
      </c>
      <c r="G204" s="7" t="n">
        <v>16</v>
      </c>
      <c r="H204" s="7" t="n">
        <v>5</v>
      </c>
      <c r="I204" s="7" t="n">
        <v>0</v>
      </c>
      <c r="J204" s="7" t="n">
        <v>0</v>
      </c>
      <c r="K204" s="7" t="n">
        <v>5</v>
      </c>
      <c r="L204" s="7" t="n">
        <v>21</v>
      </c>
      <c r="M204" s="7" t="n">
        <v>6</v>
      </c>
      <c r="N204" s="7" t="n">
        <v>4</v>
      </c>
      <c r="O204" s="7" t="n">
        <v>0</v>
      </c>
      <c r="P204" s="8" t="n">
        <f aca="false">IF(E204=0,0,G204/E204)</f>
        <v>0.390243902439024</v>
      </c>
      <c r="Q204" s="8" t="n">
        <f aca="false">IF(E204+N204=0,0,(G204+N204)/(E204+N204))</f>
        <v>0.444444444444444</v>
      </c>
      <c r="R204" s="8" t="n">
        <f aca="false">IF(E204=0,0,L204/E204)</f>
        <v>0.51219512195122</v>
      </c>
      <c r="S204" s="8" t="n">
        <f aca="false">R204+Q204</f>
        <v>0.956639566395664</v>
      </c>
      <c r="T204" s="8" t="n">
        <f aca="false">R204-P204</f>
        <v>0.121951219512195</v>
      </c>
    </row>
    <row r="205" customFormat="false" ht="14.25" hidden="false" customHeight="true" outlineLevel="0" collapsed="false">
      <c r="A205" s="6" t="n">
        <v>2025</v>
      </c>
      <c r="B205" s="6" t="s">
        <v>71</v>
      </c>
      <c r="C205" s="6" t="s">
        <v>75</v>
      </c>
      <c r="D205" s="7" t="n">
        <v>10</v>
      </c>
      <c r="E205" s="7" t="n">
        <v>28</v>
      </c>
      <c r="F205" s="7" t="n">
        <v>15</v>
      </c>
      <c r="G205" s="7" t="n">
        <v>12</v>
      </c>
      <c r="H205" s="7" t="n">
        <v>2</v>
      </c>
      <c r="I205" s="7" t="n">
        <v>0</v>
      </c>
      <c r="J205" s="7" t="n">
        <v>5</v>
      </c>
      <c r="K205" s="7" t="n">
        <v>7</v>
      </c>
      <c r="L205" s="7" t="n">
        <v>29</v>
      </c>
      <c r="M205" s="7" t="n">
        <v>9</v>
      </c>
      <c r="N205" s="7" t="n">
        <v>7</v>
      </c>
      <c r="O205" s="7" t="n">
        <v>1</v>
      </c>
      <c r="P205" s="8" t="n">
        <f aca="false">IF(E205=0,0,G205/E205)</f>
        <v>0.428571428571429</v>
      </c>
      <c r="Q205" s="8" t="n">
        <f aca="false">IF(E205+N205=0,0,(G205+N205)/(E205+N205))</f>
        <v>0.542857142857143</v>
      </c>
      <c r="R205" s="8" t="n">
        <f aca="false">IF(E205=0,0,L205/E205)</f>
        <v>1.03571428571429</v>
      </c>
      <c r="S205" s="8" t="n">
        <f aca="false">R205+Q205</f>
        <v>1.57857142857143</v>
      </c>
      <c r="T205" s="8" t="n">
        <f aca="false">R205-P205</f>
        <v>0.607142857142857</v>
      </c>
    </row>
    <row r="206" customFormat="false" ht="14.25" hidden="false" customHeight="true" outlineLevel="0" collapsed="false">
      <c r="A206" s="6" t="n">
        <v>2025</v>
      </c>
      <c r="B206" s="6" t="s">
        <v>71</v>
      </c>
      <c r="C206" s="6" t="s">
        <v>73</v>
      </c>
      <c r="D206" s="7" t="n">
        <v>11</v>
      </c>
      <c r="E206" s="7" t="n">
        <v>32</v>
      </c>
      <c r="F206" s="7" t="n">
        <v>12</v>
      </c>
      <c r="G206" s="7" t="n">
        <v>12</v>
      </c>
      <c r="H206" s="7" t="n">
        <v>3</v>
      </c>
      <c r="I206" s="7" t="n">
        <v>0</v>
      </c>
      <c r="J206" s="7" t="n">
        <v>4</v>
      </c>
      <c r="K206" s="7" t="n">
        <v>7</v>
      </c>
      <c r="L206" s="7" t="n">
        <v>27</v>
      </c>
      <c r="M206" s="7" t="n">
        <v>12</v>
      </c>
      <c r="N206" s="7" t="n">
        <v>7</v>
      </c>
      <c r="O206" s="7" t="n">
        <v>1</v>
      </c>
      <c r="P206" s="8" t="n">
        <f aca="false">IF(E206=0,0,G206/E206)</f>
        <v>0.375</v>
      </c>
      <c r="Q206" s="8" t="n">
        <f aca="false">IF(E206+N206=0,0,(G206+N206)/(E206+N206))</f>
        <v>0.487179487179487</v>
      </c>
      <c r="R206" s="8" t="n">
        <f aca="false">IF(E206=0,0,L206/E206)</f>
        <v>0.84375</v>
      </c>
      <c r="S206" s="8" t="n">
        <f aca="false">R206+Q206</f>
        <v>1.33092948717949</v>
      </c>
      <c r="T206" s="8" t="n">
        <f aca="false">R206-P206</f>
        <v>0.46875</v>
      </c>
    </row>
    <row r="207" customFormat="false" ht="14.25" hidden="false" customHeight="true" outlineLevel="0" collapsed="false">
      <c r="A207" s="6" t="n">
        <v>2025</v>
      </c>
      <c r="B207" s="6" t="s">
        <v>71</v>
      </c>
      <c r="C207" s="6" t="s">
        <v>81</v>
      </c>
      <c r="D207" s="7" t="n">
        <v>11</v>
      </c>
      <c r="E207" s="7" t="n">
        <v>31</v>
      </c>
      <c r="F207" s="7" t="n">
        <v>10</v>
      </c>
      <c r="G207" s="7" t="n">
        <v>9</v>
      </c>
      <c r="H207" s="7" t="n">
        <v>0</v>
      </c>
      <c r="I207" s="7" t="n">
        <v>0</v>
      </c>
      <c r="J207" s="7" t="n">
        <v>4</v>
      </c>
      <c r="K207" s="7" t="n">
        <v>4</v>
      </c>
      <c r="L207" s="7" t="n">
        <v>21</v>
      </c>
      <c r="M207" s="7" t="n">
        <v>14</v>
      </c>
      <c r="N207" s="7" t="n">
        <v>7</v>
      </c>
      <c r="O207" s="7" t="n">
        <v>1</v>
      </c>
      <c r="P207" s="8" t="n">
        <f aca="false">IF(E207=0,0,G207/E207)</f>
        <v>0.290322580645161</v>
      </c>
      <c r="Q207" s="8" t="n">
        <f aca="false">IF(E207+N207=0,0,(G207+N207)/(E207+N207))</f>
        <v>0.421052631578947</v>
      </c>
      <c r="R207" s="8" t="n">
        <f aca="false">IF(E207=0,0,L207/E207)</f>
        <v>0.67741935483871</v>
      </c>
      <c r="S207" s="8" t="n">
        <f aca="false">R207+Q207</f>
        <v>1.09847198641766</v>
      </c>
      <c r="T207" s="8" t="n">
        <f aca="false">R207-P207</f>
        <v>0.387096774193548</v>
      </c>
    </row>
    <row r="208" customFormat="false" ht="14.25" hidden="false" customHeight="true" outlineLevel="0" collapsed="false">
      <c r="A208" s="6" t="n">
        <v>2025</v>
      </c>
      <c r="B208" s="6" t="s">
        <v>71</v>
      </c>
      <c r="C208" s="6" t="s">
        <v>77</v>
      </c>
      <c r="D208" s="7" t="n">
        <v>10</v>
      </c>
      <c r="E208" s="7" t="n">
        <v>28</v>
      </c>
      <c r="F208" s="7" t="n">
        <v>5</v>
      </c>
      <c r="G208" s="7" t="n">
        <v>9</v>
      </c>
      <c r="H208" s="7" t="n">
        <v>1</v>
      </c>
      <c r="I208" s="7" t="n">
        <v>0</v>
      </c>
      <c r="J208" s="7" t="n">
        <v>2</v>
      </c>
      <c r="K208" s="7" t="n">
        <v>3</v>
      </c>
      <c r="L208" s="7" t="n">
        <v>16</v>
      </c>
      <c r="M208" s="7" t="n">
        <v>6</v>
      </c>
      <c r="N208" s="7" t="n">
        <v>5</v>
      </c>
      <c r="O208" s="7" t="n">
        <v>0</v>
      </c>
      <c r="P208" s="8" t="n">
        <f aca="false">IF(E208=0,0,G208/E208)</f>
        <v>0.321428571428571</v>
      </c>
      <c r="Q208" s="8" t="n">
        <f aca="false">IF(E208+N208=0,0,(G208+N208)/(E208+N208))</f>
        <v>0.424242424242424</v>
      </c>
      <c r="R208" s="8" t="n">
        <f aca="false">IF(E208=0,0,L208/E208)</f>
        <v>0.571428571428571</v>
      </c>
      <c r="S208" s="8" t="n">
        <f aca="false">R208+Q208</f>
        <v>0.995670995670996</v>
      </c>
      <c r="T208" s="8" t="n">
        <f aca="false">R208-P208</f>
        <v>0.25</v>
      </c>
    </row>
    <row r="209" customFormat="false" ht="14.25" hidden="false" customHeight="true" outlineLevel="0" collapsed="false">
      <c r="A209" s="6" t="n">
        <v>2025</v>
      </c>
      <c r="B209" s="6" t="s">
        <v>71</v>
      </c>
      <c r="C209" s="6" t="s">
        <v>79</v>
      </c>
      <c r="D209" s="7" t="n">
        <v>13</v>
      </c>
      <c r="E209" s="7" t="n">
        <v>31</v>
      </c>
      <c r="F209" s="7" t="n">
        <v>4</v>
      </c>
      <c r="G209" s="7" t="n">
        <v>8</v>
      </c>
      <c r="H209" s="7" t="n">
        <v>0</v>
      </c>
      <c r="I209" s="7" t="n">
        <v>0</v>
      </c>
      <c r="J209" s="7" t="n">
        <v>0</v>
      </c>
      <c r="K209" s="7" t="n">
        <v>0</v>
      </c>
      <c r="L209" s="7" t="n">
        <v>8</v>
      </c>
      <c r="M209" s="7" t="n">
        <v>4</v>
      </c>
      <c r="N209" s="7" t="n">
        <v>9</v>
      </c>
      <c r="O209" s="7" t="n">
        <v>6</v>
      </c>
      <c r="P209" s="8" t="n">
        <f aca="false">IF(E209=0,0,G209/E209)</f>
        <v>0.258064516129032</v>
      </c>
      <c r="Q209" s="8" t="n">
        <f aca="false">IF(E209+N209=0,0,(G209+N209)/(E209+N209))</f>
        <v>0.425</v>
      </c>
      <c r="R209" s="8" t="n">
        <f aca="false">IF(E209=0,0,L209/E209)</f>
        <v>0.258064516129032</v>
      </c>
      <c r="S209" s="8" t="n">
        <f aca="false">R209+Q209</f>
        <v>0.683064516129032</v>
      </c>
      <c r="T209" s="8" t="n">
        <f aca="false">R209-P209</f>
        <v>0</v>
      </c>
    </row>
    <row r="210" customFormat="false" ht="14.25" hidden="false" customHeight="true" outlineLevel="0" collapsed="false">
      <c r="A210" s="6" t="n">
        <v>2025</v>
      </c>
      <c r="B210" s="6" t="s">
        <v>71</v>
      </c>
      <c r="C210" s="6" t="s">
        <v>80</v>
      </c>
      <c r="D210" s="7" t="n">
        <v>8</v>
      </c>
      <c r="E210" s="7" t="n">
        <v>24</v>
      </c>
      <c r="F210" s="7" t="n">
        <v>5</v>
      </c>
      <c r="G210" s="7" t="n">
        <v>6</v>
      </c>
      <c r="H210" s="7" t="n">
        <v>1</v>
      </c>
      <c r="I210" s="7" t="n">
        <v>0</v>
      </c>
      <c r="J210" s="7" t="n">
        <v>3</v>
      </c>
      <c r="K210" s="7" t="n">
        <v>4</v>
      </c>
      <c r="L210" s="7" t="n">
        <v>16</v>
      </c>
      <c r="M210" s="7" t="n">
        <v>5</v>
      </c>
      <c r="N210" s="7" t="n">
        <v>2</v>
      </c>
      <c r="O210" s="7" t="n">
        <v>3</v>
      </c>
      <c r="P210" s="8" t="n">
        <f aca="false">IF(E210=0,0,G210/E210)</f>
        <v>0.25</v>
      </c>
      <c r="Q210" s="8" t="n">
        <f aca="false">IF(E210+N210=0,0,(G210+N210)/(E210+N210))</f>
        <v>0.307692307692308</v>
      </c>
      <c r="R210" s="8" t="n">
        <f aca="false">IF(E210=0,0,L210/E210)</f>
        <v>0.666666666666667</v>
      </c>
      <c r="S210" s="8" t="n">
        <f aca="false">R210+Q210</f>
        <v>0.974358974358974</v>
      </c>
      <c r="T210" s="8" t="n">
        <f aca="false">R210-P210</f>
        <v>0.416666666666667</v>
      </c>
    </row>
    <row r="211" customFormat="false" ht="14.25" hidden="false" customHeight="true" outlineLevel="0" collapsed="false">
      <c r="A211" s="6" t="n">
        <v>2025</v>
      </c>
      <c r="B211" s="6" t="s">
        <v>71</v>
      </c>
      <c r="C211" s="6" t="s">
        <v>242</v>
      </c>
      <c r="D211" s="7" t="n">
        <v>10</v>
      </c>
      <c r="E211" s="7" t="n">
        <v>22</v>
      </c>
      <c r="F211" s="7" t="n">
        <v>1</v>
      </c>
      <c r="G211" s="7" t="n">
        <v>4</v>
      </c>
      <c r="H211" s="7" t="n">
        <v>0</v>
      </c>
      <c r="I211" s="7" t="n">
        <v>0</v>
      </c>
      <c r="J211" s="7" t="n">
        <v>0</v>
      </c>
      <c r="K211" s="7" t="n">
        <v>0</v>
      </c>
      <c r="L211" s="7" t="n">
        <v>4</v>
      </c>
      <c r="M211" s="7" t="n">
        <v>1</v>
      </c>
      <c r="N211" s="7" t="n">
        <v>1</v>
      </c>
      <c r="O211" s="7" t="n">
        <v>0</v>
      </c>
      <c r="P211" s="8" t="n">
        <f aca="false">IF(E211=0,0,G211/E211)</f>
        <v>0.181818181818182</v>
      </c>
      <c r="Q211" s="8" t="n">
        <f aca="false">IF(E211+N211=0,0,(G211+N211)/(E211+N211))</f>
        <v>0.217391304347826</v>
      </c>
      <c r="R211" s="8" t="n">
        <f aca="false">IF(E211=0,0,L211/E211)</f>
        <v>0.181818181818182</v>
      </c>
      <c r="S211" s="8" t="n">
        <f aca="false">R211+Q211</f>
        <v>0.399209486166008</v>
      </c>
      <c r="T211" s="8" t="n">
        <f aca="false">R211-P211</f>
        <v>0</v>
      </c>
    </row>
    <row r="212" customFormat="false" ht="14.25" hidden="false" customHeight="true" outlineLevel="0" collapsed="false">
      <c r="A212" s="6" t="n">
        <v>2025</v>
      </c>
      <c r="B212" s="6" t="s">
        <v>71</v>
      </c>
      <c r="C212" s="6" t="s">
        <v>83</v>
      </c>
      <c r="D212" s="7" t="n">
        <v>7</v>
      </c>
      <c r="E212" s="7" t="n">
        <v>17</v>
      </c>
      <c r="F212" s="7" t="n">
        <v>1</v>
      </c>
      <c r="G212" s="7" t="n">
        <v>4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4</v>
      </c>
      <c r="M212" s="7" t="n">
        <v>1</v>
      </c>
      <c r="N212" s="7" t="n">
        <v>0</v>
      </c>
      <c r="O212" s="7" t="n">
        <v>0</v>
      </c>
      <c r="P212" s="8" t="n">
        <f aca="false">IF(E212=0,0,G212/E212)</f>
        <v>0.235294117647059</v>
      </c>
      <c r="Q212" s="8" t="n">
        <f aca="false">IF(E212+N212=0,0,(G212+N212)/(E212+N212))</f>
        <v>0.235294117647059</v>
      </c>
      <c r="R212" s="8" t="n">
        <f aca="false">IF(E212=0,0,L212/E212)</f>
        <v>0.235294117647059</v>
      </c>
      <c r="S212" s="8" t="n">
        <f aca="false">R212+Q212</f>
        <v>0.470588235294118</v>
      </c>
      <c r="T212" s="8" t="n">
        <f aca="false">R212-P212</f>
        <v>0</v>
      </c>
    </row>
    <row r="213" customFormat="false" ht="14.25" hidden="false" customHeight="true" outlineLevel="0" collapsed="false">
      <c r="A213" s="6" t="n">
        <v>2025</v>
      </c>
      <c r="B213" s="6" t="s">
        <v>71</v>
      </c>
      <c r="C213" s="6" t="s">
        <v>85</v>
      </c>
      <c r="D213" s="7" t="n">
        <v>12</v>
      </c>
      <c r="E213" s="7" t="n">
        <v>20</v>
      </c>
      <c r="F213" s="7" t="n">
        <v>2</v>
      </c>
      <c r="G213" s="7" t="n">
        <v>3</v>
      </c>
      <c r="H213" s="7" t="n">
        <v>2</v>
      </c>
      <c r="I213" s="7" t="n">
        <v>0</v>
      </c>
      <c r="J213" s="7" t="n">
        <v>0</v>
      </c>
      <c r="K213" s="7" t="n">
        <v>2</v>
      </c>
      <c r="L213" s="7" t="n">
        <v>5</v>
      </c>
      <c r="M213" s="7" t="n">
        <v>0</v>
      </c>
      <c r="N213" s="7" t="n">
        <v>1</v>
      </c>
      <c r="O213" s="7" t="n">
        <v>1</v>
      </c>
      <c r="P213" s="8" t="n">
        <f aca="false">IF(E213=0,0,G213/E213)</f>
        <v>0.15</v>
      </c>
      <c r="Q213" s="8" t="n">
        <f aca="false">IF(E213+N213=0,0,(G213+N213)/(E213+N213))</f>
        <v>0.19047619047619</v>
      </c>
      <c r="R213" s="8" t="n">
        <f aca="false">IF(E213=0,0,L213/E213)</f>
        <v>0.25</v>
      </c>
      <c r="S213" s="8" t="n">
        <f aca="false">R213+Q213</f>
        <v>0.44047619047619</v>
      </c>
      <c r="T213" s="8" t="n">
        <f aca="false">R213-P213</f>
        <v>0.1</v>
      </c>
    </row>
    <row r="214" customFormat="false" ht="14.25" hidden="false" customHeight="true" outlineLevel="0" collapsed="false">
      <c r="A214" s="6" t="n">
        <v>2025</v>
      </c>
      <c r="B214" s="6" t="s">
        <v>71</v>
      </c>
      <c r="C214" s="6" t="s">
        <v>88</v>
      </c>
      <c r="D214" s="7" t="n">
        <v>6</v>
      </c>
      <c r="E214" s="7" t="n">
        <v>14</v>
      </c>
      <c r="F214" s="7" t="n">
        <v>1</v>
      </c>
      <c r="G214" s="7" t="n">
        <v>3</v>
      </c>
      <c r="H214" s="7" t="n">
        <v>1</v>
      </c>
      <c r="I214" s="7" t="n">
        <v>0</v>
      </c>
      <c r="J214" s="7" t="n">
        <v>0</v>
      </c>
      <c r="K214" s="7" t="n">
        <v>1</v>
      </c>
      <c r="L214" s="7" t="n">
        <v>4</v>
      </c>
      <c r="M214" s="7" t="n">
        <v>3</v>
      </c>
      <c r="N214" s="7" t="n">
        <v>2</v>
      </c>
      <c r="O214" s="7" t="n">
        <v>1</v>
      </c>
      <c r="P214" s="8" t="n">
        <f aca="false">IF(E214=0,0,G214/E214)</f>
        <v>0.214285714285714</v>
      </c>
      <c r="Q214" s="8" t="n">
        <f aca="false">IF(E214+N214=0,0,(G214+N214)/(E214+N214))</f>
        <v>0.3125</v>
      </c>
      <c r="R214" s="8" t="n">
        <f aca="false">IF(E214=0,0,L214/E214)</f>
        <v>0.285714285714286</v>
      </c>
      <c r="S214" s="8" t="n">
        <f aca="false">R214+Q214</f>
        <v>0.598214285714286</v>
      </c>
      <c r="T214" s="8" t="n">
        <f aca="false">R214-P214</f>
        <v>0.0714285714285714</v>
      </c>
    </row>
    <row r="215" customFormat="false" ht="14.25" hidden="false" customHeight="true" outlineLevel="0" collapsed="false">
      <c r="A215" s="6" t="n">
        <v>2025</v>
      </c>
      <c r="B215" s="6" t="s">
        <v>71</v>
      </c>
      <c r="C215" s="6" t="s">
        <v>92</v>
      </c>
      <c r="D215" s="7" t="n">
        <v>7</v>
      </c>
      <c r="E215" s="7" t="n">
        <v>18</v>
      </c>
      <c r="F215" s="7" t="n">
        <v>2</v>
      </c>
      <c r="G215" s="7" t="n">
        <v>3</v>
      </c>
      <c r="H215" s="7" t="n">
        <v>0</v>
      </c>
      <c r="I215" s="7" t="n">
        <v>0</v>
      </c>
      <c r="J215" s="7" t="n">
        <v>0</v>
      </c>
      <c r="K215" s="7" t="n">
        <v>0</v>
      </c>
      <c r="L215" s="7" t="n">
        <v>3</v>
      </c>
      <c r="M215" s="7" t="n">
        <v>1</v>
      </c>
      <c r="N215" s="7" t="n">
        <v>0</v>
      </c>
      <c r="O215" s="7" t="n">
        <v>0</v>
      </c>
      <c r="P215" s="8" t="n">
        <f aca="false">IF(E215=0,0,G215/E215)</f>
        <v>0.166666666666667</v>
      </c>
      <c r="Q215" s="8" t="n">
        <f aca="false">IF(E215+N215=0,0,(G215+N215)/(E215+N215))</f>
        <v>0.166666666666667</v>
      </c>
      <c r="R215" s="8" t="n">
        <f aca="false">IF(E215=0,0,L215/E215)</f>
        <v>0.166666666666667</v>
      </c>
      <c r="S215" s="8" t="n">
        <f aca="false">R215+Q215</f>
        <v>0.333333333333333</v>
      </c>
      <c r="T215" s="8" t="n">
        <f aca="false">R215-P215</f>
        <v>0</v>
      </c>
    </row>
    <row r="216" customFormat="false" ht="14.25" hidden="false" customHeight="true" outlineLevel="0" collapsed="false">
      <c r="A216" s="6" t="n">
        <v>2025</v>
      </c>
      <c r="B216" s="6" t="s">
        <v>71</v>
      </c>
      <c r="C216" s="6" t="s">
        <v>90</v>
      </c>
      <c r="D216" s="7" t="n">
        <v>3</v>
      </c>
      <c r="E216" s="7" t="n">
        <v>5</v>
      </c>
      <c r="F216" s="7" t="n">
        <v>1</v>
      </c>
      <c r="G216" s="7" t="n">
        <v>1</v>
      </c>
      <c r="H216" s="7" t="n">
        <v>1</v>
      </c>
      <c r="I216" s="7" t="n">
        <v>0</v>
      </c>
      <c r="J216" s="7" t="n">
        <v>0</v>
      </c>
      <c r="K216" s="7" t="n">
        <v>1</v>
      </c>
      <c r="L216" s="7" t="n">
        <v>2</v>
      </c>
      <c r="M216" s="7" t="n">
        <v>1</v>
      </c>
      <c r="N216" s="7" t="n">
        <v>1</v>
      </c>
      <c r="O216" s="7" t="n">
        <v>1</v>
      </c>
      <c r="P216" s="8" t="n">
        <f aca="false">IF(E216=0,0,G216/E216)</f>
        <v>0.2</v>
      </c>
      <c r="Q216" s="8" t="n">
        <f aca="false">IF(E216+N216=0,0,(G216+N216)/(E216+N216))</f>
        <v>0.333333333333333</v>
      </c>
      <c r="R216" s="8" t="n">
        <f aca="false">IF(E216=0,0,L216/E216)</f>
        <v>0.4</v>
      </c>
      <c r="S216" s="8" t="n">
        <f aca="false">R216+Q216</f>
        <v>0.733333333333333</v>
      </c>
      <c r="T216" s="8" t="n">
        <f aca="false">R216-P216</f>
        <v>0.2</v>
      </c>
    </row>
    <row r="217" customFormat="false" ht="14.25" hidden="false" customHeight="true" outlineLevel="0" collapsed="false">
      <c r="A217" s="6" t="n">
        <v>2025</v>
      </c>
      <c r="B217" s="6" t="s">
        <v>71</v>
      </c>
      <c r="C217" s="6" t="s">
        <v>243</v>
      </c>
      <c r="D217" s="7" t="n">
        <v>1</v>
      </c>
      <c r="E217" s="7" t="n">
        <v>3</v>
      </c>
      <c r="F217" s="7" t="n">
        <v>0</v>
      </c>
      <c r="G217" s="7" t="n">
        <v>1</v>
      </c>
      <c r="H217" s="7" t="n">
        <v>0</v>
      </c>
      <c r="I217" s="7" t="n">
        <v>0</v>
      </c>
      <c r="J217" s="7" t="n">
        <v>0</v>
      </c>
      <c r="K217" s="7" t="n">
        <v>0</v>
      </c>
      <c r="L217" s="7" t="n">
        <v>1</v>
      </c>
      <c r="M217" s="7" t="n">
        <v>0</v>
      </c>
      <c r="N217" s="7" t="n">
        <v>1</v>
      </c>
      <c r="O217" s="7" t="n">
        <v>1</v>
      </c>
      <c r="P217" s="8" t="n">
        <f aca="false">IF(E217=0,0,G217/E217)</f>
        <v>0.333333333333333</v>
      </c>
      <c r="Q217" s="8" t="n">
        <f aca="false">IF(E217+N217=0,0,(G217+N217)/(E217+N217))</f>
        <v>0.5</v>
      </c>
      <c r="R217" s="8" t="n">
        <f aca="false">IF(E217=0,0,L217/E217)</f>
        <v>0.333333333333333</v>
      </c>
      <c r="S217" s="8" t="n">
        <f aca="false">R217+Q217</f>
        <v>0.833333333333333</v>
      </c>
      <c r="T217" s="8" t="n">
        <f aca="false">R217-P217</f>
        <v>0</v>
      </c>
    </row>
    <row r="218" customFormat="false" ht="14.25" hidden="false" customHeight="true" outlineLevel="0" collapsed="false">
      <c r="A218" s="6" t="n">
        <v>2025</v>
      </c>
      <c r="B218" s="6" t="s">
        <v>71</v>
      </c>
      <c r="C218" s="6" t="s">
        <v>89</v>
      </c>
      <c r="D218" s="7" t="n">
        <v>3</v>
      </c>
      <c r="E218" s="7" t="n">
        <v>5</v>
      </c>
      <c r="F218" s="7" t="n">
        <v>3</v>
      </c>
      <c r="G218" s="7" t="n">
        <v>1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1</v>
      </c>
      <c r="M218" s="7" t="n">
        <v>0</v>
      </c>
      <c r="N218" s="7" t="n">
        <v>2</v>
      </c>
      <c r="O218" s="7" t="n">
        <v>0</v>
      </c>
      <c r="P218" s="8" t="n">
        <f aca="false">IF(E218=0,0,G218/E218)</f>
        <v>0.2</v>
      </c>
      <c r="Q218" s="8" t="n">
        <f aca="false">IF(E218+N218=0,0,(G218+N218)/(E218+N218))</f>
        <v>0.428571428571429</v>
      </c>
      <c r="R218" s="8" t="n">
        <f aca="false">IF(E218=0,0,L218/E218)</f>
        <v>0.2</v>
      </c>
      <c r="S218" s="8" t="n">
        <f aca="false">R218+Q218</f>
        <v>0.628571428571429</v>
      </c>
      <c r="T218" s="8" t="n">
        <f aca="false">R218-P218</f>
        <v>0</v>
      </c>
    </row>
    <row r="219" customFormat="false" ht="14.25" hidden="false" customHeight="true" outlineLevel="0" collapsed="false">
      <c r="A219" s="6" t="n">
        <v>2025</v>
      </c>
      <c r="B219" s="6" t="s">
        <v>71</v>
      </c>
      <c r="C219" s="6" t="s">
        <v>87</v>
      </c>
      <c r="D219" s="7" t="n">
        <v>2</v>
      </c>
      <c r="E219" s="7" t="n">
        <v>5</v>
      </c>
      <c r="F219" s="7" t="n">
        <v>1</v>
      </c>
      <c r="G219" s="7" t="n">
        <v>0</v>
      </c>
      <c r="H219" s="7" t="n">
        <v>0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2</v>
      </c>
      <c r="N219" s="7" t="n">
        <v>0</v>
      </c>
      <c r="O219" s="7" t="n">
        <v>0</v>
      </c>
      <c r="P219" s="8" t="n">
        <f aca="false">IF(E219=0,0,G219/E219)</f>
        <v>0</v>
      </c>
      <c r="Q219" s="8" t="n">
        <f aca="false">IF(E219+N219=0,0,(G219+N219)/(E219+N219))</f>
        <v>0</v>
      </c>
      <c r="R219" s="8" t="n">
        <f aca="false">IF(E219=0,0,L219/E219)</f>
        <v>0</v>
      </c>
      <c r="S219" s="8" t="n">
        <f aca="false">R219+Q219</f>
        <v>0</v>
      </c>
      <c r="T219" s="8" t="n">
        <f aca="false">R219-P219</f>
        <v>0</v>
      </c>
    </row>
    <row r="220" customFormat="false" ht="14.25" hidden="false" customHeight="true" outlineLevel="0" collapsed="false">
      <c r="A220" s="6" t="n">
        <v>2025</v>
      </c>
      <c r="B220" s="6" t="s">
        <v>71</v>
      </c>
      <c r="C220" s="6" t="s">
        <v>244</v>
      </c>
      <c r="D220" s="7" t="n">
        <v>1</v>
      </c>
      <c r="E220" s="7" t="n">
        <v>4</v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0</v>
      </c>
      <c r="N220" s="7" t="n">
        <v>0</v>
      </c>
      <c r="O220" s="7" t="n">
        <v>4</v>
      </c>
      <c r="P220" s="8" t="n">
        <f aca="false">IF(E220=0,0,G220/E220)</f>
        <v>0</v>
      </c>
      <c r="Q220" s="8" t="n">
        <f aca="false">IF(E220+N220=0,0,(G220+N220)/(E220+N220))</f>
        <v>0</v>
      </c>
      <c r="R220" s="8" t="n">
        <f aca="false">IF(E220=0,0,L220/E220)</f>
        <v>0</v>
      </c>
      <c r="S220" s="8" t="n">
        <f aca="false">R220+Q220</f>
        <v>0</v>
      </c>
      <c r="T220" s="8" t="n">
        <f aca="false">R220-P220</f>
        <v>0</v>
      </c>
    </row>
    <row r="221" customFormat="false" ht="14.25" hidden="false" customHeight="true" outlineLevel="0" collapsed="false">
      <c r="A221" s="6" t="n">
        <v>2025</v>
      </c>
      <c r="B221" s="6" t="s">
        <v>71</v>
      </c>
      <c r="C221" s="6" t="s">
        <v>245</v>
      </c>
      <c r="D221" s="7" t="n">
        <v>2</v>
      </c>
      <c r="E221" s="7" t="n">
        <v>3</v>
      </c>
      <c r="F221" s="7" t="n">
        <v>1</v>
      </c>
      <c r="G221" s="7" t="n">
        <v>0</v>
      </c>
      <c r="H221" s="7" t="n">
        <v>0</v>
      </c>
      <c r="I221" s="7" t="n">
        <v>0</v>
      </c>
      <c r="J221" s="7" t="n">
        <v>0</v>
      </c>
      <c r="K221" s="7" t="n">
        <v>0</v>
      </c>
      <c r="L221" s="7" t="n">
        <v>0</v>
      </c>
      <c r="M221" s="7" t="n">
        <v>0</v>
      </c>
      <c r="N221" s="7" t="n">
        <v>0</v>
      </c>
      <c r="O221" s="7" t="n">
        <v>2</v>
      </c>
      <c r="P221" s="8" t="n">
        <f aca="false">IF(E221=0,0,G221/E221)</f>
        <v>0</v>
      </c>
      <c r="Q221" s="8" t="n">
        <f aca="false">IF(E221+N221=0,0,(G221+N221)/(E221+N221))</f>
        <v>0</v>
      </c>
      <c r="R221" s="8" t="n">
        <f aca="false">IF(E221=0,0,L221/E221)</f>
        <v>0</v>
      </c>
      <c r="S221" s="8" t="n">
        <f aca="false">R221+Q221</f>
        <v>0</v>
      </c>
      <c r="T221" s="8" t="n">
        <f aca="false">R221-P221</f>
        <v>0</v>
      </c>
    </row>
    <row r="222" customFormat="false" ht="14.25" hidden="false" customHeight="true" outlineLevel="0" collapsed="false">
      <c r="A222" s="6" t="n">
        <v>2025</v>
      </c>
      <c r="B222" s="6" t="s">
        <v>71</v>
      </c>
      <c r="C222" s="6" t="s">
        <v>246</v>
      </c>
      <c r="D222" s="7" t="n">
        <v>1</v>
      </c>
      <c r="E222" s="7" t="n">
        <v>1</v>
      </c>
      <c r="F222" s="7" t="n">
        <v>0</v>
      </c>
      <c r="G222" s="7" t="n">
        <v>0</v>
      </c>
      <c r="H222" s="7" t="n">
        <v>0</v>
      </c>
      <c r="I222" s="7" t="n">
        <v>0</v>
      </c>
      <c r="J222" s="7" t="n">
        <v>0</v>
      </c>
      <c r="K222" s="7" t="n">
        <v>0</v>
      </c>
      <c r="L222" s="7" t="n">
        <v>0</v>
      </c>
      <c r="M222" s="7" t="n">
        <v>0</v>
      </c>
      <c r="N222" s="7" t="n">
        <v>0</v>
      </c>
      <c r="O222" s="7" t="n">
        <v>1</v>
      </c>
      <c r="P222" s="8" t="n">
        <f aca="false">IF(E222=0,0,G222/E222)</f>
        <v>0</v>
      </c>
      <c r="Q222" s="8" t="n">
        <f aca="false">IF(E222+N222=0,0,(G222+N222)/(E222+N222))</f>
        <v>0</v>
      </c>
      <c r="R222" s="8" t="n">
        <f aca="false">IF(E222=0,0,L222/E222)</f>
        <v>0</v>
      </c>
      <c r="S222" s="8" t="n">
        <f aca="false">R222+Q222</f>
        <v>0</v>
      </c>
      <c r="T222" s="8" t="n">
        <f aca="false">R222-P222</f>
        <v>0</v>
      </c>
    </row>
    <row r="223" customFormat="false" ht="14.25" hidden="false" customHeight="true" outlineLevel="0" collapsed="false">
      <c r="A223" s="6" t="n">
        <v>2025</v>
      </c>
      <c r="B223" s="6" t="s">
        <v>71</v>
      </c>
      <c r="C223" s="6" t="s">
        <v>247</v>
      </c>
      <c r="D223" s="7" t="n">
        <v>1</v>
      </c>
      <c r="E223" s="7" t="n">
        <v>2</v>
      </c>
      <c r="F223" s="7" t="n">
        <v>1</v>
      </c>
      <c r="G223" s="7" t="n">
        <v>0</v>
      </c>
      <c r="H223" s="7" t="n">
        <v>0</v>
      </c>
      <c r="I223" s="7" t="n">
        <v>0</v>
      </c>
      <c r="J223" s="7" t="n">
        <v>0</v>
      </c>
      <c r="K223" s="7" t="n">
        <v>0</v>
      </c>
      <c r="L223" s="7" t="n">
        <v>0</v>
      </c>
      <c r="M223" s="7" t="n">
        <v>0</v>
      </c>
      <c r="N223" s="7" t="n">
        <v>1</v>
      </c>
      <c r="O223" s="7" t="n">
        <v>0</v>
      </c>
      <c r="P223" s="8" t="n">
        <f aca="false">IF(E223=0,0,G223/E223)</f>
        <v>0</v>
      </c>
      <c r="Q223" s="8" t="n">
        <f aca="false">IF(E223+N223=0,0,(G223+N223)/(E223+N223))</f>
        <v>0.333333333333333</v>
      </c>
      <c r="R223" s="8" t="n">
        <f aca="false">IF(E223=0,0,L223/E223)</f>
        <v>0</v>
      </c>
      <c r="S223" s="8" t="n">
        <f aca="false">R223+Q223</f>
        <v>0.333333333333333</v>
      </c>
      <c r="T223" s="8" t="n">
        <f aca="false">R223-P223</f>
        <v>0</v>
      </c>
    </row>
    <row r="224" customFormat="false" ht="14.25" hidden="false" customHeight="true" outlineLevel="0" collapsed="false">
      <c r="A224" s="6" t="n">
        <v>2025</v>
      </c>
      <c r="B224" s="6" t="s">
        <v>71</v>
      </c>
      <c r="C224" s="6" t="s">
        <v>248</v>
      </c>
      <c r="D224" s="7" t="n">
        <v>1</v>
      </c>
      <c r="E224" s="7" t="n">
        <v>3</v>
      </c>
      <c r="F224" s="7" t="n">
        <v>0</v>
      </c>
      <c r="G224" s="7" t="n">
        <v>0</v>
      </c>
      <c r="H224" s="7" t="n">
        <v>0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7" t="n">
        <v>0</v>
      </c>
      <c r="O224" s="7" t="n">
        <v>0</v>
      </c>
      <c r="P224" s="8" t="n">
        <f aca="false">IF(E224=0,0,G224/E224)</f>
        <v>0</v>
      </c>
      <c r="Q224" s="8" t="n">
        <f aca="false">IF(E224+N224=0,0,(G224+N224)/(E224+N224))</f>
        <v>0</v>
      </c>
      <c r="R224" s="8" t="n">
        <f aca="false">IF(E224=0,0,L224/E224)</f>
        <v>0</v>
      </c>
      <c r="S224" s="8" t="n">
        <f aca="false">R224+Q224</f>
        <v>0</v>
      </c>
      <c r="T224" s="8" t="n">
        <f aca="false">R224-P224</f>
        <v>0</v>
      </c>
    </row>
    <row r="225" customFormat="false" ht="14.25" hidden="false" customHeight="true" outlineLevel="0" collapsed="false">
      <c r="A225" s="6" t="n">
        <v>2025</v>
      </c>
      <c r="B225" s="6" t="s">
        <v>71</v>
      </c>
      <c r="C225" s="6" t="s">
        <v>249</v>
      </c>
      <c r="D225" s="7" t="n">
        <v>1</v>
      </c>
      <c r="E225" s="7" t="n">
        <v>2</v>
      </c>
      <c r="F225" s="7" t="n">
        <v>0</v>
      </c>
      <c r="G225" s="7" t="n">
        <v>0</v>
      </c>
      <c r="H225" s="7" t="n">
        <v>0</v>
      </c>
      <c r="I225" s="7" t="n">
        <v>0</v>
      </c>
      <c r="J225" s="7" t="n">
        <v>0</v>
      </c>
      <c r="K225" s="7" t="n">
        <v>0</v>
      </c>
      <c r="L225" s="7" t="n">
        <v>0</v>
      </c>
      <c r="M225" s="7" t="n">
        <v>0</v>
      </c>
      <c r="N225" s="7" t="n">
        <v>0</v>
      </c>
      <c r="O225" s="7" t="n">
        <v>0</v>
      </c>
      <c r="P225" s="8" t="n">
        <f aca="false">IF(E225=0,0,G225/E225)</f>
        <v>0</v>
      </c>
      <c r="Q225" s="8" t="n">
        <f aca="false">IF(E225+N225=0,0,(G225+N225)/(E225+N225))</f>
        <v>0</v>
      </c>
      <c r="R225" s="8" t="n">
        <f aca="false">IF(E225=0,0,L225/E225)</f>
        <v>0</v>
      </c>
      <c r="S225" s="8" t="n">
        <f aca="false">R225+Q225</f>
        <v>0</v>
      </c>
      <c r="T225" s="8" t="n">
        <f aca="false">R225-P225</f>
        <v>0</v>
      </c>
    </row>
    <row r="226" customFormat="false" ht="14.25" hidden="false" customHeight="true" outlineLevel="0" collapsed="false">
      <c r="A226" s="6" t="n">
        <v>2025</v>
      </c>
      <c r="B226" s="6" t="s">
        <v>97</v>
      </c>
      <c r="C226" s="6" t="s">
        <v>99</v>
      </c>
      <c r="D226" s="7" t="n">
        <v>9</v>
      </c>
      <c r="E226" s="7" t="n">
        <v>27</v>
      </c>
      <c r="F226" s="7" t="n">
        <v>4</v>
      </c>
      <c r="G226" s="7" t="n">
        <v>8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8</v>
      </c>
      <c r="M226" s="7" t="n">
        <v>1</v>
      </c>
      <c r="N226" s="7" t="n">
        <v>3</v>
      </c>
      <c r="O226" s="7" t="n">
        <v>1</v>
      </c>
      <c r="P226" s="8" t="n">
        <f aca="false">IF(E226=0,0,G226/E226)</f>
        <v>0.296296296296296</v>
      </c>
      <c r="Q226" s="8" t="n">
        <f aca="false">IF(E226+N226=0,0,(G226+N226)/(E226+N226))</f>
        <v>0.366666666666667</v>
      </c>
      <c r="R226" s="8" t="n">
        <f aca="false">IF(E226=0,0,L226/E226)</f>
        <v>0.296296296296296</v>
      </c>
      <c r="S226" s="8" t="n">
        <f aca="false">R226+Q226</f>
        <v>0.662962962962963</v>
      </c>
      <c r="T226" s="8" t="n">
        <f aca="false">R226-P226</f>
        <v>0</v>
      </c>
    </row>
    <row r="227" customFormat="false" ht="14.25" hidden="false" customHeight="true" outlineLevel="0" collapsed="false">
      <c r="A227" s="6" t="n">
        <v>2025</v>
      </c>
      <c r="B227" s="6" t="s">
        <v>97</v>
      </c>
      <c r="C227" s="6" t="s">
        <v>98</v>
      </c>
      <c r="D227" s="7" t="n">
        <v>9</v>
      </c>
      <c r="E227" s="7" t="n">
        <v>22</v>
      </c>
      <c r="F227" s="7" t="n">
        <v>4</v>
      </c>
      <c r="G227" s="7" t="n">
        <v>7</v>
      </c>
      <c r="H227" s="7" t="n">
        <v>0</v>
      </c>
      <c r="I227" s="7" t="n">
        <v>1</v>
      </c>
      <c r="J227" s="7" t="n">
        <v>0</v>
      </c>
      <c r="K227" s="7" t="n">
        <v>1</v>
      </c>
      <c r="L227" s="7" t="n">
        <v>9</v>
      </c>
      <c r="M227" s="7" t="n">
        <v>3</v>
      </c>
      <c r="N227" s="7" t="n">
        <v>6</v>
      </c>
      <c r="O227" s="7" t="n">
        <v>0</v>
      </c>
      <c r="P227" s="8" t="n">
        <f aca="false">IF(E227=0,0,G227/E227)</f>
        <v>0.318181818181818</v>
      </c>
      <c r="Q227" s="8" t="n">
        <f aca="false">IF(E227+N227=0,0,(G227+N227)/(E227+N227))</f>
        <v>0.464285714285714</v>
      </c>
      <c r="R227" s="8" t="n">
        <f aca="false">IF(E227=0,0,L227/E227)</f>
        <v>0.409090909090909</v>
      </c>
      <c r="S227" s="8" t="n">
        <f aca="false">R227+Q227</f>
        <v>0.873376623376623</v>
      </c>
      <c r="T227" s="8" t="n">
        <f aca="false">R227-P227</f>
        <v>0.0909090909090909</v>
      </c>
    </row>
    <row r="228" customFormat="false" ht="14.25" hidden="false" customHeight="true" outlineLevel="0" collapsed="false">
      <c r="A228" s="6" t="n">
        <v>2025</v>
      </c>
      <c r="B228" s="6" t="s">
        <v>97</v>
      </c>
      <c r="C228" s="6" t="s">
        <v>117</v>
      </c>
      <c r="D228" s="7" t="n">
        <v>8</v>
      </c>
      <c r="E228" s="7" t="n">
        <v>20</v>
      </c>
      <c r="F228" s="7" t="n">
        <v>3</v>
      </c>
      <c r="G228" s="7" t="n">
        <v>7</v>
      </c>
      <c r="H228" s="7" t="n">
        <v>1</v>
      </c>
      <c r="I228" s="7" t="n">
        <v>0</v>
      </c>
      <c r="J228" s="7" t="n">
        <v>0</v>
      </c>
      <c r="K228" s="7" t="n">
        <v>1</v>
      </c>
      <c r="L228" s="7" t="n">
        <v>8</v>
      </c>
      <c r="M228" s="7" t="n">
        <v>1</v>
      </c>
      <c r="N228" s="7" t="n">
        <v>2</v>
      </c>
      <c r="O228" s="7" t="n">
        <v>0</v>
      </c>
      <c r="P228" s="8" t="n">
        <f aca="false">IF(E228=0,0,G228/E228)</f>
        <v>0.35</v>
      </c>
      <c r="Q228" s="8" t="n">
        <f aca="false">IF(E228+N228=0,0,(G228+N228)/(E228+N228))</f>
        <v>0.409090909090909</v>
      </c>
      <c r="R228" s="8" t="n">
        <f aca="false">IF(E228=0,0,L228/E228)</f>
        <v>0.4</v>
      </c>
      <c r="S228" s="8" t="n">
        <f aca="false">R228+Q228</f>
        <v>0.809090909090909</v>
      </c>
      <c r="T228" s="8" t="n">
        <f aca="false">R228-P228</f>
        <v>0.05</v>
      </c>
    </row>
    <row r="229" customFormat="false" ht="14.25" hidden="false" customHeight="true" outlineLevel="0" collapsed="false">
      <c r="A229" s="6" t="n">
        <v>2025</v>
      </c>
      <c r="B229" s="6" t="s">
        <v>97</v>
      </c>
      <c r="C229" s="6" t="s">
        <v>103</v>
      </c>
      <c r="D229" s="7" t="n">
        <v>5</v>
      </c>
      <c r="E229" s="7" t="n">
        <v>14</v>
      </c>
      <c r="F229" s="7" t="n">
        <v>2</v>
      </c>
      <c r="G229" s="7" t="n">
        <v>5</v>
      </c>
      <c r="H229" s="7" t="n">
        <v>0</v>
      </c>
      <c r="I229" s="7" t="n">
        <v>1</v>
      </c>
      <c r="J229" s="7" t="n">
        <v>1</v>
      </c>
      <c r="K229" s="7" t="n">
        <v>2</v>
      </c>
      <c r="L229" s="7" t="n">
        <v>10</v>
      </c>
      <c r="M229" s="7" t="n">
        <v>4</v>
      </c>
      <c r="N229" s="7" t="n">
        <v>1</v>
      </c>
      <c r="O229" s="7" t="n">
        <v>0</v>
      </c>
      <c r="P229" s="8" t="n">
        <f aca="false">IF(E229=0,0,G229/E229)</f>
        <v>0.357142857142857</v>
      </c>
      <c r="Q229" s="8" t="n">
        <f aca="false">IF(E229+N229=0,0,(G229+N229)/(E229+N229))</f>
        <v>0.4</v>
      </c>
      <c r="R229" s="8" t="n">
        <f aca="false">IF(E229=0,0,L229/E229)</f>
        <v>0.714285714285714</v>
      </c>
      <c r="S229" s="8" t="n">
        <f aca="false">R229+Q229</f>
        <v>1.11428571428571</v>
      </c>
      <c r="T229" s="8" t="n">
        <f aca="false">R229-P229</f>
        <v>0.357142857142857</v>
      </c>
    </row>
    <row r="230" customFormat="false" ht="14.25" hidden="false" customHeight="true" outlineLevel="0" collapsed="false">
      <c r="A230" s="6" t="n">
        <v>2025</v>
      </c>
      <c r="B230" s="6" t="s">
        <v>97</v>
      </c>
      <c r="C230" s="6" t="s">
        <v>250</v>
      </c>
      <c r="D230" s="7" t="n">
        <v>5</v>
      </c>
      <c r="E230" s="7" t="n">
        <v>12</v>
      </c>
      <c r="F230" s="7" t="n">
        <v>2</v>
      </c>
      <c r="G230" s="7" t="n">
        <v>4</v>
      </c>
      <c r="H230" s="7" t="n">
        <v>1</v>
      </c>
      <c r="I230" s="7" t="n">
        <v>0</v>
      </c>
      <c r="J230" s="7" t="n">
        <v>0</v>
      </c>
      <c r="K230" s="7" t="n">
        <v>1</v>
      </c>
      <c r="L230" s="7" t="n">
        <v>5</v>
      </c>
      <c r="M230" s="7" t="n">
        <v>3</v>
      </c>
      <c r="N230" s="7" t="n">
        <v>2</v>
      </c>
      <c r="O230" s="7" t="n">
        <v>1</v>
      </c>
      <c r="P230" s="8" t="n">
        <f aca="false">IF(E230=0,0,G230/E230)</f>
        <v>0.333333333333333</v>
      </c>
      <c r="Q230" s="8" t="n">
        <f aca="false">IF(E230+N230=0,0,(G230+N230)/(E230+N230))</f>
        <v>0.428571428571429</v>
      </c>
      <c r="R230" s="8" t="n">
        <f aca="false">IF(E230=0,0,L230/E230)</f>
        <v>0.416666666666667</v>
      </c>
      <c r="S230" s="8" t="n">
        <f aca="false">R230+Q230</f>
        <v>0.845238095238095</v>
      </c>
      <c r="T230" s="8" t="n">
        <f aca="false">R230-P230</f>
        <v>0.0833333333333334</v>
      </c>
    </row>
    <row r="231" customFormat="false" ht="14.25" hidden="false" customHeight="true" outlineLevel="0" collapsed="false">
      <c r="A231" s="6" t="n">
        <v>2025</v>
      </c>
      <c r="B231" s="6" t="s">
        <v>97</v>
      </c>
      <c r="C231" s="6" t="s">
        <v>109</v>
      </c>
      <c r="D231" s="7" t="n">
        <v>8</v>
      </c>
      <c r="E231" s="7" t="n">
        <v>22</v>
      </c>
      <c r="F231" s="7" t="n">
        <v>0</v>
      </c>
      <c r="G231" s="7" t="n">
        <v>4</v>
      </c>
      <c r="H231" s="7" t="n">
        <v>0</v>
      </c>
      <c r="I231" s="7" t="n">
        <v>0</v>
      </c>
      <c r="J231" s="7" t="n">
        <v>0</v>
      </c>
      <c r="K231" s="7" t="n">
        <v>0</v>
      </c>
      <c r="L231" s="7" t="n">
        <v>4</v>
      </c>
      <c r="M231" s="7" t="n">
        <v>0</v>
      </c>
      <c r="N231" s="7" t="n">
        <v>0</v>
      </c>
      <c r="O231" s="7" t="n">
        <v>2</v>
      </c>
      <c r="P231" s="8" t="n">
        <f aca="false">IF(E231=0,0,G231/E231)</f>
        <v>0.181818181818182</v>
      </c>
      <c r="Q231" s="8" t="n">
        <f aca="false">IF(E231+N231=0,0,(G231+N231)/(E231+N231))</f>
        <v>0.181818181818182</v>
      </c>
      <c r="R231" s="8" t="n">
        <f aca="false">IF(E231=0,0,L231/E231)</f>
        <v>0.181818181818182</v>
      </c>
      <c r="S231" s="8" t="n">
        <f aca="false">R231+Q231</f>
        <v>0.363636363636364</v>
      </c>
      <c r="T231" s="8" t="n">
        <f aca="false">R231-P231</f>
        <v>0</v>
      </c>
    </row>
    <row r="232" customFormat="false" ht="14.25" hidden="false" customHeight="true" outlineLevel="0" collapsed="false">
      <c r="A232" s="6" t="n">
        <v>2025</v>
      </c>
      <c r="B232" s="6" t="s">
        <v>97</v>
      </c>
      <c r="C232" s="6" t="s">
        <v>101</v>
      </c>
      <c r="D232" s="7" t="n">
        <v>2</v>
      </c>
      <c r="E232" s="7" t="n">
        <v>6</v>
      </c>
      <c r="F232" s="7" t="n">
        <v>1</v>
      </c>
      <c r="G232" s="7" t="n">
        <v>3</v>
      </c>
      <c r="H232" s="7" t="n">
        <v>0</v>
      </c>
      <c r="I232" s="7" t="n">
        <v>0</v>
      </c>
      <c r="J232" s="7" t="n">
        <v>1</v>
      </c>
      <c r="K232" s="7" t="n">
        <v>1</v>
      </c>
      <c r="L232" s="7" t="n">
        <v>6</v>
      </c>
      <c r="M232" s="7" t="n">
        <v>3</v>
      </c>
      <c r="N232" s="7" t="n">
        <v>0</v>
      </c>
      <c r="O232" s="7" t="n">
        <v>0</v>
      </c>
      <c r="P232" s="8" t="n">
        <f aca="false">IF(E232=0,0,G232/E232)</f>
        <v>0.5</v>
      </c>
      <c r="Q232" s="8" t="n">
        <f aca="false">IF(E232+N232=0,0,(G232+N232)/(E232+N232))</f>
        <v>0.5</v>
      </c>
      <c r="R232" s="8" t="n">
        <f aca="false">IF(E232=0,0,L232/E232)</f>
        <v>1</v>
      </c>
      <c r="S232" s="8" t="n">
        <f aca="false">R232+Q232</f>
        <v>1.5</v>
      </c>
      <c r="T232" s="8" t="n">
        <f aca="false">R232-P232</f>
        <v>0.5</v>
      </c>
    </row>
    <row r="233" customFormat="false" ht="14.25" hidden="false" customHeight="true" outlineLevel="0" collapsed="false">
      <c r="A233" s="6" t="n">
        <v>2025</v>
      </c>
      <c r="B233" s="6" t="s">
        <v>97</v>
      </c>
      <c r="C233" s="6" t="s">
        <v>251</v>
      </c>
      <c r="D233" s="7" t="n">
        <v>4</v>
      </c>
      <c r="E233" s="7" t="n">
        <v>12</v>
      </c>
      <c r="F233" s="7" t="n">
        <v>0</v>
      </c>
      <c r="G233" s="7" t="n">
        <v>3</v>
      </c>
      <c r="H233" s="7" t="n">
        <v>0</v>
      </c>
      <c r="I233" s="7" t="n">
        <v>0</v>
      </c>
      <c r="J233" s="7" t="n">
        <v>0</v>
      </c>
      <c r="K233" s="7" t="n">
        <v>0</v>
      </c>
      <c r="L233" s="7" t="n">
        <v>3</v>
      </c>
      <c r="M233" s="7" t="n">
        <v>0</v>
      </c>
      <c r="N233" s="7" t="n">
        <v>1</v>
      </c>
      <c r="O233" s="7" t="n">
        <v>3</v>
      </c>
      <c r="P233" s="8" t="n">
        <f aca="false">IF(E233=0,0,G233/E233)</f>
        <v>0.25</v>
      </c>
      <c r="Q233" s="8" t="n">
        <f aca="false">IF(E233+N233=0,0,(G233+N233)/(E233+N233))</f>
        <v>0.307692307692308</v>
      </c>
      <c r="R233" s="8" t="n">
        <f aca="false">IF(E233=0,0,L233/E233)</f>
        <v>0.25</v>
      </c>
      <c r="S233" s="8" t="n">
        <f aca="false">R233+Q233</f>
        <v>0.557692307692308</v>
      </c>
      <c r="T233" s="8" t="n">
        <f aca="false">R233-P233</f>
        <v>0</v>
      </c>
    </row>
    <row r="234" customFormat="false" ht="14.25" hidden="false" customHeight="true" outlineLevel="0" collapsed="false">
      <c r="A234" s="6" t="n">
        <v>2025</v>
      </c>
      <c r="B234" s="6" t="s">
        <v>97</v>
      </c>
      <c r="C234" s="6" t="s">
        <v>252</v>
      </c>
      <c r="D234" s="7" t="n">
        <v>5</v>
      </c>
      <c r="E234" s="7" t="n">
        <v>16</v>
      </c>
      <c r="F234" s="7" t="n">
        <v>0</v>
      </c>
      <c r="G234" s="7" t="n">
        <v>3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3</v>
      </c>
      <c r="M234" s="7" t="n">
        <v>0</v>
      </c>
      <c r="N234" s="7" t="n">
        <v>0</v>
      </c>
      <c r="O234" s="7" t="n">
        <v>1</v>
      </c>
      <c r="P234" s="8" t="n">
        <f aca="false">IF(E234=0,0,G234/E234)</f>
        <v>0.1875</v>
      </c>
      <c r="Q234" s="8" t="n">
        <f aca="false">IF(E234+N234=0,0,(G234+N234)/(E234+N234))</f>
        <v>0.1875</v>
      </c>
      <c r="R234" s="8" t="n">
        <f aca="false">IF(E234=0,0,L234/E234)</f>
        <v>0.1875</v>
      </c>
      <c r="S234" s="8" t="n">
        <f aca="false">R234+Q234</f>
        <v>0.375</v>
      </c>
      <c r="T234" s="8" t="n">
        <f aca="false">R234-P234</f>
        <v>0</v>
      </c>
    </row>
    <row r="235" customFormat="false" ht="14.25" hidden="false" customHeight="true" outlineLevel="0" collapsed="false">
      <c r="A235" s="6" t="n">
        <v>2025</v>
      </c>
      <c r="B235" s="6" t="s">
        <v>97</v>
      </c>
      <c r="C235" s="6" t="s">
        <v>100</v>
      </c>
      <c r="D235" s="7" t="n">
        <v>6</v>
      </c>
      <c r="E235" s="7" t="n">
        <v>14</v>
      </c>
      <c r="F235" s="7" t="n">
        <v>2</v>
      </c>
      <c r="G235" s="7" t="n">
        <v>2</v>
      </c>
      <c r="H235" s="7" t="n">
        <v>1</v>
      </c>
      <c r="I235" s="7" t="n">
        <v>0</v>
      </c>
      <c r="J235" s="7" t="n">
        <v>1</v>
      </c>
      <c r="K235" s="7" t="n">
        <v>2</v>
      </c>
      <c r="L235" s="7" t="n">
        <v>6</v>
      </c>
      <c r="M235" s="7" t="n">
        <v>3</v>
      </c>
      <c r="N235" s="7" t="n">
        <v>1</v>
      </c>
      <c r="O235" s="7" t="n">
        <v>2</v>
      </c>
      <c r="P235" s="8" t="n">
        <f aca="false">IF(E235=0,0,G235/E235)</f>
        <v>0.142857142857143</v>
      </c>
      <c r="Q235" s="8" t="n">
        <f aca="false">IF(E235+N235=0,0,(G235+N235)/(E235+N235))</f>
        <v>0.2</v>
      </c>
      <c r="R235" s="8" t="n">
        <f aca="false">IF(E235=0,0,L235/E235)</f>
        <v>0.428571428571429</v>
      </c>
      <c r="S235" s="8" t="n">
        <f aca="false">R235+Q235</f>
        <v>0.628571428571429</v>
      </c>
      <c r="T235" s="8" t="n">
        <f aca="false">R235-P235</f>
        <v>0.285714285714286</v>
      </c>
    </row>
    <row r="236" customFormat="false" ht="14.25" hidden="false" customHeight="true" outlineLevel="0" collapsed="false">
      <c r="A236" s="6" t="n">
        <v>2025</v>
      </c>
      <c r="B236" s="6" t="s">
        <v>97</v>
      </c>
      <c r="C236" s="6" t="s">
        <v>108</v>
      </c>
      <c r="D236" s="7" t="n">
        <v>8</v>
      </c>
      <c r="E236" s="7" t="n">
        <v>16</v>
      </c>
      <c r="F236" s="7" t="n">
        <v>0</v>
      </c>
      <c r="G236" s="7" t="n">
        <v>2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2</v>
      </c>
      <c r="M236" s="7" t="n">
        <v>1</v>
      </c>
      <c r="N236" s="7" t="n">
        <v>1</v>
      </c>
      <c r="O236" s="7" t="n">
        <v>4</v>
      </c>
      <c r="P236" s="8" t="n">
        <f aca="false">IF(E236=0,0,G236/E236)</f>
        <v>0.125</v>
      </c>
      <c r="Q236" s="8" t="n">
        <f aca="false">IF(E236+N236=0,0,(G236+N236)/(E236+N236))</f>
        <v>0.176470588235294</v>
      </c>
      <c r="R236" s="8" t="n">
        <f aca="false">IF(E236=0,0,L236/E236)</f>
        <v>0.125</v>
      </c>
      <c r="S236" s="8" t="n">
        <f aca="false">R236+Q236</f>
        <v>0.301470588235294</v>
      </c>
      <c r="T236" s="8" t="n">
        <f aca="false">R236-P236</f>
        <v>0</v>
      </c>
    </row>
    <row r="237" customFormat="false" ht="14.25" hidden="false" customHeight="true" outlineLevel="0" collapsed="false">
      <c r="A237" s="6" t="n">
        <v>2025</v>
      </c>
      <c r="B237" s="6" t="s">
        <v>97</v>
      </c>
      <c r="C237" s="6" t="s">
        <v>102</v>
      </c>
      <c r="D237" s="7" t="n">
        <v>10</v>
      </c>
      <c r="E237" s="7" t="n">
        <v>24</v>
      </c>
      <c r="F237" s="7" t="n">
        <v>1</v>
      </c>
      <c r="G237" s="7" t="n">
        <v>2</v>
      </c>
      <c r="H237" s="7" t="n">
        <v>0</v>
      </c>
      <c r="I237" s="7" t="n">
        <v>0</v>
      </c>
      <c r="J237" s="7" t="n">
        <v>0</v>
      </c>
      <c r="K237" s="7" t="n">
        <v>0</v>
      </c>
      <c r="L237" s="7" t="n">
        <v>2</v>
      </c>
      <c r="M237" s="7" t="n">
        <v>1</v>
      </c>
      <c r="N237" s="7" t="n">
        <v>1</v>
      </c>
      <c r="O237" s="7" t="n">
        <v>0</v>
      </c>
      <c r="P237" s="8" t="n">
        <f aca="false">IF(E237=0,0,G237/E237)</f>
        <v>0.0833333333333333</v>
      </c>
      <c r="Q237" s="8" t="n">
        <f aca="false">IF(E237+N237=0,0,(G237+N237)/(E237+N237))</f>
        <v>0.12</v>
      </c>
      <c r="R237" s="8" t="n">
        <f aca="false">IF(E237=0,0,L237/E237)</f>
        <v>0.0833333333333333</v>
      </c>
      <c r="S237" s="8" t="n">
        <f aca="false">R237+Q237</f>
        <v>0.203333333333333</v>
      </c>
      <c r="T237" s="8" t="n">
        <f aca="false">R237-P237</f>
        <v>0</v>
      </c>
    </row>
    <row r="238" customFormat="false" ht="14.25" hidden="false" customHeight="true" outlineLevel="0" collapsed="false">
      <c r="A238" s="6" t="n">
        <v>2025</v>
      </c>
      <c r="B238" s="6" t="s">
        <v>97</v>
      </c>
      <c r="C238" s="6" t="s">
        <v>253</v>
      </c>
      <c r="D238" s="7" t="n">
        <v>2</v>
      </c>
      <c r="E238" s="7" t="n">
        <v>8</v>
      </c>
      <c r="F238" s="7" t="n">
        <v>0</v>
      </c>
      <c r="G238" s="7" t="n">
        <v>2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2</v>
      </c>
      <c r="M238" s="7" t="n">
        <v>1</v>
      </c>
      <c r="N238" s="7" t="n">
        <v>0</v>
      </c>
      <c r="O238" s="7" t="n">
        <v>0</v>
      </c>
      <c r="P238" s="8" t="n">
        <f aca="false">IF(E238=0,0,G238/E238)</f>
        <v>0.25</v>
      </c>
      <c r="Q238" s="8" t="n">
        <f aca="false">IF(E238+N238=0,0,(G238+N238)/(E238+N238))</f>
        <v>0.25</v>
      </c>
      <c r="R238" s="8" t="n">
        <f aca="false">IF(E238=0,0,L238/E238)</f>
        <v>0.25</v>
      </c>
      <c r="S238" s="8" t="n">
        <f aca="false">R238+Q238</f>
        <v>0.5</v>
      </c>
      <c r="T238" s="8" t="n">
        <f aca="false">R238-P238</f>
        <v>0</v>
      </c>
    </row>
    <row r="239" customFormat="false" ht="14.25" hidden="false" customHeight="true" outlineLevel="0" collapsed="false">
      <c r="A239" s="6" t="n">
        <v>2025</v>
      </c>
      <c r="B239" s="6" t="s">
        <v>97</v>
      </c>
      <c r="C239" s="6" t="s">
        <v>254</v>
      </c>
      <c r="D239" s="7" t="n">
        <v>10</v>
      </c>
      <c r="E239" s="7" t="n">
        <v>28</v>
      </c>
      <c r="F239" s="7" t="n">
        <v>3</v>
      </c>
      <c r="G239" s="7" t="n">
        <v>2</v>
      </c>
      <c r="H239" s="7" t="n">
        <v>0</v>
      </c>
      <c r="I239" s="7" t="n">
        <v>0</v>
      </c>
      <c r="J239" s="7" t="n">
        <v>0</v>
      </c>
      <c r="K239" s="7" t="n">
        <v>0</v>
      </c>
      <c r="L239" s="7" t="n">
        <v>2</v>
      </c>
      <c r="M239" s="7" t="n">
        <v>0</v>
      </c>
      <c r="N239" s="7" t="n">
        <v>2</v>
      </c>
      <c r="O239" s="7" t="n">
        <v>4</v>
      </c>
      <c r="P239" s="8" t="n">
        <f aca="false">IF(E239=0,0,G239/E239)</f>
        <v>0.0714285714285714</v>
      </c>
      <c r="Q239" s="8" t="n">
        <f aca="false">IF(E239+N239=0,0,(G239+N239)/(E239+N239))</f>
        <v>0.133333333333333</v>
      </c>
      <c r="R239" s="8" t="n">
        <f aca="false">IF(E239=0,0,L239/E239)</f>
        <v>0.0714285714285714</v>
      </c>
      <c r="S239" s="8" t="n">
        <f aca="false">R239+Q239</f>
        <v>0.204761904761905</v>
      </c>
      <c r="T239" s="8" t="n">
        <f aca="false">R239-P239</f>
        <v>0</v>
      </c>
    </row>
    <row r="240" customFormat="false" ht="14.25" hidden="false" customHeight="true" outlineLevel="0" collapsed="false">
      <c r="A240" s="6" t="n">
        <v>2025</v>
      </c>
      <c r="B240" s="6" t="s">
        <v>97</v>
      </c>
      <c r="C240" s="6" t="s">
        <v>255</v>
      </c>
      <c r="D240" s="7" t="n">
        <v>1</v>
      </c>
      <c r="E240" s="7" t="n">
        <v>3</v>
      </c>
      <c r="F240" s="7" t="n">
        <v>1</v>
      </c>
      <c r="G240" s="7" t="n">
        <v>2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2</v>
      </c>
      <c r="M240" s="7" t="n">
        <v>0</v>
      </c>
      <c r="N240" s="7" t="n">
        <v>0</v>
      </c>
      <c r="O240" s="7" t="n">
        <v>0</v>
      </c>
      <c r="P240" s="8" t="n">
        <f aca="false">IF(E240=0,0,G240/E240)</f>
        <v>0.666666666666667</v>
      </c>
      <c r="Q240" s="8" t="n">
        <f aca="false">IF(E240+N240=0,0,(G240+N240)/(E240+N240))</f>
        <v>0.666666666666667</v>
      </c>
      <c r="R240" s="8" t="n">
        <f aca="false">IF(E240=0,0,L240/E240)</f>
        <v>0.666666666666667</v>
      </c>
      <c r="S240" s="8" t="n">
        <f aca="false">R240+Q240</f>
        <v>1.33333333333333</v>
      </c>
      <c r="T240" s="8" t="n">
        <f aca="false">R240-P240</f>
        <v>0</v>
      </c>
    </row>
    <row r="241" customFormat="false" ht="14.25" hidden="false" customHeight="true" outlineLevel="0" collapsed="false">
      <c r="A241" s="6" t="n">
        <v>2025</v>
      </c>
      <c r="B241" s="6" t="s">
        <v>97</v>
      </c>
      <c r="C241" s="6" t="s">
        <v>256</v>
      </c>
      <c r="D241" s="7" t="n">
        <v>2</v>
      </c>
      <c r="E241" s="7" t="n">
        <v>5</v>
      </c>
      <c r="F241" s="7" t="n">
        <v>0</v>
      </c>
      <c r="G241" s="7" t="n">
        <v>2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2</v>
      </c>
      <c r="M241" s="7" t="n">
        <v>0</v>
      </c>
      <c r="N241" s="7" t="n">
        <v>0</v>
      </c>
      <c r="O241" s="7" t="n">
        <v>0</v>
      </c>
      <c r="P241" s="8" t="n">
        <f aca="false">IF(E241=0,0,G241/E241)</f>
        <v>0.4</v>
      </c>
      <c r="Q241" s="8" t="n">
        <f aca="false">IF(E241+N241=0,0,(G241+N241)/(E241+N241))</f>
        <v>0.4</v>
      </c>
      <c r="R241" s="8" t="n">
        <f aca="false">IF(E241=0,0,L241/E241)</f>
        <v>0.4</v>
      </c>
      <c r="S241" s="8" t="n">
        <f aca="false">R241+Q241</f>
        <v>0.8</v>
      </c>
      <c r="T241" s="8" t="n">
        <f aca="false">R241-P241</f>
        <v>0</v>
      </c>
    </row>
    <row r="242" customFormat="false" ht="14.25" hidden="false" customHeight="true" outlineLevel="0" collapsed="false">
      <c r="A242" s="6" t="n">
        <v>2025</v>
      </c>
      <c r="B242" s="6" t="s">
        <v>97</v>
      </c>
      <c r="C242" s="6" t="s">
        <v>257</v>
      </c>
      <c r="D242" s="7" t="n">
        <v>3</v>
      </c>
      <c r="E242" s="7" t="n">
        <v>8</v>
      </c>
      <c r="F242" s="7" t="n">
        <v>1</v>
      </c>
      <c r="G242" s="7" t="n">
        <v>1</v>
      </c>
      <c r="H242" s="7" t="n">
        <v>0</v>
      </c>
      <c r="I242" s="7" t="n">
        <v>0</v>
      </c>
      <c r="J242" s="7" t="n">
        <v>0</v>
      </c>
      <c r="K242" s="7" t="n">
        <v>0</v>
      </c>
      <c r="L242" s="7" t="n">
        <v>1</v>
      </c>
      <c r="M242" s="7" t="n">
        <v>1</v>
      </c>
      <c r="N242" s="7" t="n">
        <v>0</v>
      </c>
      <c r="O242" s="7" t="n">
        <v>1</v>
      </c>
      <c r="P242" s="8" t="n">
        <f aca="false">IF(E242=0,0,G242/E242)</f>
        <v>0.125</v>
      </c>
      <c r="Q242" s="8" t="n">
        <f aca="false">IF(E242+N242=0,0,(G242+N242)/(E242+N242))</f>
        <v>0.125</v>
      </c>
      <c r="R242" s="8" t="n">
        <f aca="false">IF(E242=0,0,L242/E242)</f>
        <v>0.125</v>
      </c>
      <c r="S242" s="8" t="n">
        <f aca="false">R242+Q242</f>
        <v>0.25</v>
      </c>
      <c r="T242" s="8" t="n">
        <f aca="false">R242-P242</f>
        <v>0</v>
      </c>
    </row>
    <row r="243" customFormat="false" ht="14.25" hidden="false" customHeight="true" outlineLevel="0" collapsed="false">
      <c r="A243" s="6" t="n">
        <v>2025</v>
      </c>
      <c r="B243" s="6" t="s">
        <v>97</v>
      </c>
      <c r="C243" s="6" t="s">
        <v>258</v>
      </c>
      <c r="D243" s="7" t="n">
        <v>4</v>
      </c>
      <c r="E243" s="7" t="n">
        <v>12</v>
      </c>
      <c r="F243" s="7" t="n">
        <v>0</v>
      </c>
      <c r="G243" s="7" t="n">
        <v>1</v>
      </c>
      <c r="H243" s="7" t="n">
        <v>0</v>
      </c>
      <c r="I243" s="7" t="n">
        <v>0</v>
      </c>
      <c r="J243" s="7" t="n">
        <v>0</v>
      </c>
      <c r="K243" s="7" t="n">
        <v>0</v>
      </c>
      <c r="L243" s="7" t="n">
        <v>1</v>
      </c>
      <c r="M243" s="7" t="n">
        <v>1</v>
      </c>
      <c r="N243" s="7" t="n">
        <v>0</v>
      </c>
      <c r="O243" s="7" t="n">
        <v>1</v>
      </c>
      <c r="P243" s="8" t="n">
        <f aca="false">IF(E243=0,0,G243/E243)</f>
        <v>0.0833333333333333</v>
      </c>
      <c r="Q243" s="8" t="n">
        <f aca="false">IF(E243+N243=0,0,(G243+N243)/(E243+N243))</f>
        <v>0.0833333333333333</v>
      </c>
      <c r="R243" s="8" t="n">
        <f aca="false">IF(E243=0,0,L243/E243)</f>
        <v>0.0833333333333333</v>
      </c>
      <c r="S243" s="8" t="n">
        <f aca="false">R243+Q243</f>
        <v>0.166666666666667</v>
      </c>
      <c r="T243" s="8" t="n">
        <f aca="false">R243-P243</f>
        <v>0</v>
      </c>
    </row>
    <row r="244" customFormat="false" ht="14.25" hidden="false" customHeight="true" outlineLevel="0" collapsed="false">
      <c r="A244" s="6" t="n">
        <v>2025</v>
      </c>
      <c r="B244" s="6" t="s">
        <v>97</v>
      </c>
      <c r="C244" s="6" t="s">
        <v>113</v>
      </c>
      <c r="D244" s="7" t="n">
        <v>2</v>
      </c>
      <c r="E244" s="7" t="n">
        <v>4</v>
      </c>
      <c r="F244" s="7" t="n">
        <v>0</v>
      </c>
      <c r="G244" s="7" t="n">
        <v>1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1</v>
      </c>
      <c r="M244" s="7" t="n">
        <v>0</v>
      </c>
      <c r="N244" s="7" t="n">
        <v>0</v>
      </c>
      <c r="O244" s="7" t="n">
        <v>1</v>
      </c>
      <c r="P244" s="8" t="n">
        <f aca="false">IF(E244=0,0,G244/E244)</f>
        <v>0.25</v>
      </c>
      <c r="Q244" s="8" t="n">
        <f aca="false">IF(E244+N244=0,0,(G244+N244)/(E244+N244))</f>
        <v>0.25</v>
      </c>
      <c r="R244" s="8" t="n">
        <f aca="false">IF(E244=0,0,L244/E244)</f>
        <v>0.25</v>
      </c>
      <c r="S244" s="8" t="n">
        <f aca="false">R244+Q244</f>
        <v>0.5</v>
      </c>
      <c r="T244" s="8" t="n">
        <f aca="false">R244-P244</f>
        <v>0</v>
      </c>
    </row>
    <row r="245" customFormat="false" ht="14.25" hidden="false" customHeight="true" outlineLevel="0" collapsed="false">
      <c r="A245" s="6" t="n">
        <v>2025</v>
      </c>
      <c r="B245" s="6" t="s">
        <v>97</v>
      </c>
      <c r="C245" s="6" t="s">
        <v>259</v>
      </c>
      <c r="D245" s="7" t="n">
        <v>1</v>
      </c>
      <c r="E245" s="7" t="n">
        <v>2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0</v>
      </c>
      <c r="L245" s="7" t="n">
        <v>0</v>
      </c>
      <c r="M245" s="7" t="n">
        <v>0</v>
      </c>
      <c r="N245" s="7" t="n">
        <v>0</v>
      </c>
      <c r="O245" s="7" t="n">
        <v>2</v>
      </c>
      <c r="P245" s="8" t="n">
        <f aca="false">IF(E245=0,0,G245/E245)</f>
        <v>0</v>
      </c>
      <c r="Q245" s="8" t="n">
        <f aca="false">IF(E245+N245=0,0,(G245+N245)/(E245+N245))</f>
        <v>0</v>
      </c>
      <c r="R245" s="8" t="n">
        <f aca="false">IF(E245=0,0,L245/E245)</f>
        <v>0</v>
      </c>
      <c r="S245" s="8" t="n">
        <f aca="false">R245+Q245</f>
        <v>0</v>
      </c>
      <c r="T245" s="8" t="n">
        <f aca="false">R245-P245</f>
        <v>0</v>
      </c>
    </row>
    <row r="246" customFormat="false" ht="14.25" hidden="false" customHeight="true" outlineLevel="0" collapsed="false">
      <c r="A246" s="6" t="n">
        <v>2025</v>
      </c>
      <c r="B246" s="6" t="s">
        <v>97</v>
      </c>
      <c r="C246" s="6" t="s">
        <v>260</v>
      </c>
      <c r="D246" s="7" t="n">
        <v>1</v>
      </c>
      <c r="E246" s="7" t="n">
        <v>2</v>
      </c>
      <c r="F246" s="7" t="n">
        <v>0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0</v>
      </c>
      <c r="N246" s="7" t="n">
        <v>0</v>
      </c>
      <c r="O246" s="7" t="n">
        <v>1</v>
      </c>
      <c r="P246" s="8" t="n">
        <f aca="false">IF(E246=0,0,G246/E246)</f>
        <v>0</v>
      </c>
      <c r="Q246" s="8" t="n">
        <f aca="false">IF(E246+N246=0,0,(G246+N246)/(E246+N246))</f>
        <v>0</v>
      </c>
      <c r="R246" s="8" t="n">
        <f aca="false">IF(E246=0,0,L246/E246)</f>
        <v>0</v>
      </c>
      <c r="S246" s="8" t="n">
        <f aca="false">R246+Q246</f>
        <v>0</v>
      </c>
      <c r="T246" s="8" t="n">
        <f aca="false">R246-P246</f>
        <v>0</v>
      </c>
    </row>
    <row r="247" customFormat="false" ht="14.25" hidden="false" customHeight="true" outlineLevel="0" collapsed="false">
      <c r="A247" s="6" t="n">
        <v>2025</v>
      </c>
      <c r="B247" s="6" t="s">
        <v>97</v>
      </c>
      <c r="C247" s="6" t="s">
        <v>261</v>
      </c>
      <c r="D247" s="7" t="n">
        <v>1</v>
      </c>
      <c r="E247" s="7" t="n">
        <v>1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1</v>
      </c>
      <c r="P247" s="8" t="n">
        <f aca="false">IF(E247=0,0,G247/E247)</f>
        <v>0</v>
      </c>
      <c r="Q247" s="8" t="n">
        <f aca="false">IF(E247+N247=0,0,(G247+N247)/(E247+N247))</f>
        <v>0</v>
      </c>
      <c r="R247" s="8" t="n">
        <f aca="false">IF(E247=0,0,L247/E247)</f>
        <v>0</v>
      </c>
      <c r="S247" s="8" t="n">
        <f aca="false">R247+Q247</f>
        <v>0</v>
      </c>
      <c r="T247" s="8" t="n">
        <f aca="false">R247-P247</f>
        <v>0</v>
      </c>
    </row>
    <row r="248" customFormat="false" ht="14.25" hidden="false" customHeight="true" outlineLevel="0" collapsed="false">
      <c r="A248" s="6" t="n">
        <v>2025</v>
      </c>
      <c r="B248" s="6" t="s">
        <v>97</v>
      </c>
      <c r="C248" s="6" t="s">
        <v>262</v>
      </c>
      <c r="D248" s="7" t="n">
        <v>2</v>
      </c>
      <c r="E248" s="7" t="n">
        <v>4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0</v>
      </c>
      <c r="N248" s="7" t="n">
        <v>0</v>
      </c>
      <c r="O248" s="7" t="n">
        <v>0</v>
      </c>
      <c r="P248" s="8" t="n">
        <f aca="false">IF(E248=0,0,G248/E248)</f>
        <v>0</v>
      </c>
      <c r="Q248" s="8" t="n">
        <f aca="false">IF(E248+N248=0,0,(G248+N248)/(E248+N248))</f>
        <v>0</v>
      </c>
      <c r="R248" s="8" t="n">
        <f aca="false">IF(E248=0,0,L248/E248)</f>
        <v>0</v>
      </c>
      <c r="S248" s="8" t="n">
        <f aca="false">R248+Q248</f>
        <v>0</v>
      </c>
      <c r="T248" s="8" t="n">
        <f aca="false">R248-P248</f>
        <v>0</v>
      </c>
    </row>
    <row r="249" customFormat="false" ht="14.25" hidden="false" customHeight="true" outlineLevel="0" collapsed="false">
      <c r="A249" s="6" t="n">
        <v>2025</v>
      </c>
      <c r="B249" s="6" t="s">
        <v>97</v>
      </c>
      <c r="C249" s="6" t="s">
        <v>263</v>
      </c>
      <c r="D249" s="7" t="n">
        <v>1</v>
      </c>
      <c r="E249" s="7" t="n">
        <v>2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8" t="n">
        <f aca="false">IF(E249=0,0,G249/E249)</f>
        <v>0</v>
      </c>
      <c r="Q249" s="8" t="n">
        <f aca="false">IF(E249+N249=0,0,(G249+N249)/(E249+N249))</f>
        <v>0</v>
      </c>
      <c r="R249" s="8" t="n">
        <f aca="false">IF(E249=0,0,L249/E249)</f>
        <v>0</v>
      </c>
      <c r="S249" s="8" t="n">
        <f aca="false">R249+Q249</f>
        <v>0</v>
      </c>
      <c r="T249" s="8" t="n">
        <f aca="false">R249-P249</f>
        <v>0</v>
      </c>
    </row>
    <row r="250" customFormat="false" ht="14.25" hidden="false" customHeight="true" outlineLevel="0" collapsed="false">
      <c r="A250" s="6" t="n">
        <v>2025</v>
      </c>
      <c r="B250" s="6" t="s">
        <v>97</v>
      </c>
      <c r="C250" s="6" t="s">
        <v>264</v>
      </c>
      <c r="D250" s="7" t="n">
        <v>1</v>
      </c>
      <c r="E250" s="7" t="n">
        <v>2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8" t="n">
        <f aca="false">IF(E250=0,0,G250/E250)</f>
        <v>0</v>
      </c>
      <c r="Q250" s="8" t="n">
        <f aca="false">IF(E250+N250=0,0,(G250+N250)/(E250+N250))</f>
        <v>0</v>
      </c>
      <c r="R250" s="8" t="n">
        <f aca="false">IF(E250=0,0,L250/E250)</f>
        <v>0</v>
      </c>
      <c r="S250" s="8" t="n">
        <f aca="false">R250+Q250</f>
        <v>0</v>
      </c>
      <c r="T250" s="8" t="n">
        <f aca="false">R250-P250</f>
        <v>0</v>
      </c>
    </row>
    <row r="251" customFormat="false" ht="14.25" hidden="false" customHeight="true" outlineLevel="0" collapsed="false">
      <c r="A251" s="6" t="n">
        <v>2025</v>
      </c>
      <c r="B251" s="6" t="s">
        <v>121</v>
      </c>
      <c r="C251" s="6" t="s">
        <v>125</v>
      </c>
      <c r="D251" s="7" t="n">
        <v>14</v>
      </c>
      <c r="E251" s="7" t="n">
        <v>40</v>
      </c>
      <c r="F251" s="7" t="n">
        <v>7</v>
      </c>
      <c r="G251" s="7" t="n">
        <v>15</v>
      </c>
      <c r="H251" s="7" t="n">
        <v>1</v>
      </c>
      <c r="I251" s="7" t="n">
        <v>0</v>
      </c>
      <c r="J251" s="7" t="n">
        <v>2</v>
      </c>
      <c r="K251" s="7" t="n">
        <v>3</v>
      </c>
      <c r="L251" s="7" t="n">
        <v>22</v>
      </c>
      <c r="M251" s="7" t="n">
        <v>10</v>
      </c>
      <c r="N251" s="7" t="n">
        <v>0</v>
      </c>
      <c r="O251" s="7" t="n">
        <v>2</v>
      </c>
      <c r="P251" s="8" t="n">
        <f aca="false">IF(E251=0,0,G251/E251)</f>
        <v>0.375</v>
      </c>
      <c r="Q251" s="8" t="n">
        <f aca="false">IF(E251+N251=0,0,(G251+N251)/(E251+N251))</f>
        <v>0.375</v>
      </c>
      <c r="R251" s="8" t="n">
        <f aca="false">IF(E251=0,0,L251/E251)</f>
        <v>0.55</v>
      </c>
      <c r="S251" s="8" t="n">
        <f aca="false">R251+Q251</f>
        <v>0.925</v>
      </c>
      <c r="T251" s="8" t="n">
        <f aca="false">R251-P251</f>
        <v>0.175</v>
      </c>
    </row>
    <row r="252" customFormat="false" ht="14.25" hidden="false" customHeight="true" outlineLevel="0" collapsed="false">
      <c r="A252" s="6" t="n">
        <v>2025</v>
      </c>
      <c r="B252" s="6" t="s">
        <v>121</v>
      </c>
      <c r="C252" s="6" t="s">
        <v>123</v>
      </c>
      <c r="D252" s="7" t="n">
        <v>12</v>
      </c>
      <c r="E252" s="7" t="n">
        <v>43</v>
      </c>
      <c r="F252" s="7" t="n">
        <v>11</v>
      </c>
      <c r="G252" s="7" t="n">
        <v>14</v>
      </c>
      <c r="H252" s="7" t="n">
        <v>1</v>
      </c>
      <c r="I252" s="7" t="n">
        <v>0</v>
      </c>
      <c r="J252" s="7" t="n">
        <v>4</v>
      </c>
      <c r="K252" s="7" t="n">
        <v>5</v>
      </c>
      <c r="L252" s="7" t="n">
        <v>27</v>
      </c>
      <c r="M252" s="7" t="n">
        <v>10</v>
      </c>
      <c r="N252" s="7" t="n">
        <v>2</v>
      </c>
      <c r="O252" s="7" t="n">
        <v>3</v>
      </c>
      <c r="P252" s="8" t="n">
        <f aca="false">IF(E252=0,0,G252/E252)</f>
        <v>0.325581395348837</v>
      </c>
      <c r="Q252" s="8" t="n">
        <f aca="false">IF(E252+N252=0,0,(G252+N252)/(E252+N252))</f>
        <v>0.355555555555556</v>
      </c>
      <c r="R252" s="8" t="n">
        <f aca="false">IF(E252=0,0,L252/E252)</f>
        <v>0.627906976744186</v>
      </c>
      <c r="S252" s="8" t="n">
        <f aca="false">R252+Q252</f>
        <v>0.983462532299742</v>
      </c>
      <c r="T252" s="8" t="n">
        <f aca="false">R252-P252</f>
        <v>0.302325581395349</v>
      </c>
    </row>
    <row r="253" customFormat="false" ht="14.25" hidden="false" customHeight="true" outlineLevel="0" collapsed="false">
      <c r="A253" s="6" t="n">
        <v>2025</v>
      </c>
      <c r="B253" s="6" t="s">
        <v>121</v>
      </c>
      <c r="C253" s="6" t="s">
        <v>137</v>
      </c>
      <c r="D253" s="7" t="n">
        <v>9</v>
      </c>
      <c r="E253" s="7" t="n">
        <v>31</v>
      </c>
      <c r="F253" s="7" t="n">
        <v>10</v>
      </c>
      <c r="G253" s="7" t="n">
        <v>13</v>
      </c>
      <c r="H253" s="7" t="n">
        <v>0</v>
      </c>
      <c r="I253" s="7" t="n">
        <v>0</v>
      </c>
      <c r="J253" s="7" t="n">
        <v>5</v>
      </c>
      <c r="K253" s="7" t="n">
        <v>5</v>
      </c>
      <c r="L253" s="7" t="n">
        <v>28</v>
      </c>
      <c r="M253" s="7" t="n">
        <v>13</v>
      </c>
      <c r="N253" s="7" t="n">
        <v>1</v>
      </c>
      <c r="O253" s="7" t="n">
        <v>0</v>
      </c>
      <c r="P253" s="8" t="n">
        <f aca="false">IF(E253=0,0,G253/E253)</f>
        <v>0.419354838709677</v>
      </c>
      <c r="Q253" s="8" t="n">
        <f aca="false">IF(E253+N253=0,0,(G253+N253)/(E253+N253))</f>
        <v>0.4375</v>
      </c>
      <c r="R253" s="8" t="n">
        <f aca="false">IF(E253=0,0,L253/E253)</f>
        <v>0.903225806451613</v>
      </c>
      <c r="S253" s="8" t="n">
        <f aca="false">R253+Q253</f>
        <v>1.34072580645161</v>
      </c>
      <c r="T253" s="8" t="n">
        <f aca="false">R253-P253</f>
        <v>0.483870967741935</v>
      </c>
    </row>
    <row r="254" customFormat="false" ht="14.25" hidden="false" customHeight="true" outlineLevel="0" collapsed="false">
      <c r="A254" s="6" t="n">
        <v>2025</v>
      </c>
      <c r="B254" s="6" t="s">
        <v>121</v>
      </c>
      <c r="C254" s="6" t="s">
        <v>124</v>
      </c>
      <c r="D254" s="7" t="n">
        <v>11</v>
      </c>
      <c r="E254" s="7" t="n">
        <v>34</v>
      </c>
      <c r="F254" s="7" t="n">
        <v>8</v>
      </c>
      <c r="G254" s="7" t="n">
        <v>13</v>
      </c>
      <c r="H254" s="7" t="n">
        <v>7</v>
      </c>
      <c r="I254" s="7" t="n">
        <v>0</v>
      </c>
      <c r="J254" s="7" t="n">
        <v>0</v>
      </c>
      <c r="K254" s="7" t="n">
        <v>7</v>
      </c>
      <c r="L254" s="7" t="n">
        <v>20</v>
      </c>
      <c r="M254" s="7" t="n">
        <v>7</v>
      </c>
      <c r="N254" s="7" t="n">
        <v>3</v>
      </c>
      <c r="O254" s="7" t="n">
        <v>1</v>
      </c>
      <c r="P254" s="8" t="n">
        <f aca="false">IF(E254=0,0,G254/E254)</f>
        <v>0.382352941176471</v>
      </c>
      <c r="Q254" s="8" t="n">
        <f aca="false">IF(E254+N254=0,0,(G254+N254)/(E254+N254))</f>
        <v>0.432432432432432</v>
      </c>
      <c r="R254" s="8" t="n">
        <f aca="false">IF(E254=0,0,L254/E254)</f>
        <v>0.588235294117647</v>
      </c>
      <c r="S254" s="8" t="n">
        <f aca="false">R254+Q254</f>
        <v>1.02066772655008</v>
      </c>
      <c r="T254" s="8" t="n">
        <f aca="false">R254-P254</f>
        <v>0.205882352941177</v>
      </c>
    </row>
    <row r="255" customFormat="false" ht="14.25" hidden="false" customHeight="true" outlineLevel="0" collapsed="false">
      <c r="A255" s="6" t="n">
        <v>2025</v>
      </c>
      <c r="B255" s="6" t="s">
        <v>121</v>
      </c>
      <c r="C255" s="6" t="s">
        <v>130</v>
      </c>
      <c r="D255" s="7" t="n">
        <v>14</v>
      </c>
      <c r="E255" s="7" t="n">
        <v>35</v>
      </c>
      <c r="F255" s="7" t="n">
        <v>5</v>
      </c>
      <c r="G255" s="7" t="n">
        <v>12</v>
      </c>
      <c r="H255" s="7" t="n">
        <v>1</v>
      </c>
      <c r="I255" s="7" t="n">
        <v>0</v>
      </c>
      <c r="J255" s="7" t="n">
        <v>0</v>
      </c>
      <c r="K255" s="7" t="n">
        <v>1</v>
      </c>
      <c r="L255" s="7" t="n">
        <v>13</v>
      </c>
      <c r="M255" s="7" t="n">
        <v>5</v>
      </c>
      <c r="N255" s="7" t="n">
        <v>5</v>
      </c>
      <c r="O255" s="7" t="n">
        <v>3</v>
      </c>
      <c r="P255" s="8" t="n">
        <f aca="false">IF(E255=0,0,G255/E255)</f>
        <v>0.342857142857143</v>
      </c>
      <c r="Q255" s="8" t="n">
        <f aca="false">IF(E255+N255=0,0,(G255+N255)/(E255+N255))</f>
        <v>0.425</v>
      </c>
      <c r="R255" s="8" t="n">
        <f aca="false">IF(E255=0,0,L255/E255)</f>
        <v>0.371428571428571</v>
      </c>
      <c r="S255" s="8" t="n">
        <f aca="false">R255+Q255</f>
        <v>0.796428571428572</v>
      </c>
      <c r="T255" s="8" t="n">
        <f aca="false">R255-P255</f>
        <v>0.0285714285714286</v>
      </c>
    </row>
    <row r="256" customFormat="false" ht="14.25" hidden="false" customHeight="true" outlineLevel="0" collapsed="false">
      <c r="A256" s="6" t="n">
        <v>2025</v>
      </c>
      <c r="B256" s="6" t="s">
        <v>121</v>
      </c>
      <c r="C256" s="6" t="s">
        <v>127</v>
      </c>
      <c r="D256" s="7" t="n">
        <v>6</v>
      </c>
      <c r="E256" s="7" t="n">
        <v>22</v>
      </c>
      <c r="F256" s="7" t="n">
        <v>3</v>
      </c>
      <c r="G256" s="7" t="n">
        <v>10</v>
      </c>
      <c r="H256" s="7" t="n">
        <v>5</v>
      </c>
      <c r="I256" s="7" t="n">
        <v>0</v>
      </c>
      <c r="J256" s="7" t="n">
        <v>0</v>
      </c>
      <c r="K256" s="7" t="n">
        <v>5</v>
      </c>
      <c r="L256" s="7" t="n">
        <v>15</v>
      </c>
      <c r="M256" s="7" t="n">
        <v>3</v>
      </c>
      <c r="N256" s="7" t="n">
        <v>0</v>
      </c>
      <c r="O256" s="7" t="n">
        <v>0</v>
      </c>
      <c r="P256" s="8" t="n">
        <f aca="false">IF(E256=0,0,G256/E256)</f>
        <v>0.454545454545455</v>
      </c>
      <c r="Q256" s="8" t="n">
        <f aca="false">IF(E256+N256=0,0,(G256+N256)/(E256+N256))</f>
        <v>0.454545454545455</v>
      </c>
      <c r="R256" s="8" t="n">
        <f aca="false">IF(E256=0,0,L256/E256)</f>
        <v>0.681818181818182</v>
      </c>
      <c r="S256" s="8" t="n">
        <f aca="false">R256+Q256</f>
        <v>1.13636363636364</v>
      </c>
      <c r="T256" s="8" t="n">
        <f aca="false">R256-P256</f>
        <v>0.227272727272727</v>
      </c>
    </row>
    <row r="257" customFormat="false" ht="14.25" hidden="false" customHeight="true" outlineLevel="0" collapsed="false">
      <c r="A257" s="6" t="n">
        <v>2025</v>
      </c>
      <c r="B257" s="6" t="s">
        <v>121</v>
      </c>
      <c r="C257" s="6" t="s">
        <v>138</v>
      </c>
      <c r="D257" s="7" t="n">
        <v>10</v>
      </c>
      <c r="E257" s="7" t="n">
        <v>29</v>
      </c>
      <c r="F257" s="7" t="n">
        <v>6</v>
      </c>
      <c r="G257" s="7" t="n">
        <v>8</v>
      </c>
      <c r="H257" s="7" t="n">
        <v>1</v>
      </c>
      <c r="I257" s="7" t="n">
        <v>0</v>
      </c>
      <c r="J257" s="7" t="n">
        <v>3</v>
      </c>
      <c r="K257" s="7" t="n">
        <v>4</v>
      </c>
      <c r="L257" s="7" t="n">
        <v>18</v>
      </c>
      <c r="M257" s="7" t="n">
        <v>6</v>
      </c>
      <c r="N257" s="7" t="n">
        <v>0</v>
      </c>
      <c r="O257" s="7" t="n">
        <v>2</v>
      </c>
      <c r="P257" s="8" t="n">
        <f aca="false">IF(E257=0,0,G257/E257)</f>
        <v>0.275862068965517</v>
      </c>
      <c r="Q257" s="8" t="n">
        <f aca="false">IF(E257+N257=0,0,(G257+N257)/(E257+N257))</f>
        <v>0.275862068965517</v>
      </c>
      <c r="R257" s="8" t="n">
        <f aca="false">IF(E257=0,0,L257/E257)</f>
        <v>0.620689655172414</v>
      </c>
      <c r="S257" s="8" t="n">
        <f aca="false">R257+Q257</f>
        <v>0.896551724137931</v>
      </c>
      <c r="T257" s="8" t="n">
        <f aca="false">R257-P257</f>
        <v>0.344827586206897</v>
      </c>
    </row>
    <row r="258" customFormat="false" ht="14.25" hidden="false" customHeight="true" outlineLevel="0" collapsed="false">
      <c r="A258" s="6" t="n">
        <v>2025</v>
      </c>
      <c r="B258" s="6" t="s">
        <v>121</v>
      </c>
      <c r="C258" s="6" t="s">
        <v>122</v>
      </c>
      <c r="D258" s="7" t="n">
        <v>10</v>
      </c>
      <c r="E258" s="7" t="n">
        <v>29</v>
      </c>
      <c r="F258" s="7" t="n">
        <v>7</v>
      </c>
      <c r="G258" s="7" t="n">
        <v>8</v>
      </c>
      <c r="H258" s="7" t="n">
        <v>1</v>
      </c>
      <c r="I258" s="7" t="n">
        <v>0</v>
      </c>
      <c r="J258" s="7" t="n">
        <v>0</v>
      </c>
      <c r="K258" s="7" t="n">
        <v>1</v>
      </c>
      <c r="L258" s="7" t="n">
        <v>9</v>
      </c>
      <c r="M258" s="7" t="n">
        <v>5</v>
      </c>
      <c r="N258" s="7" t="n">
        <v>3</v>
      </c>
      <c r="O258" s="7" t="n">
        <v>1</v>
      </c>
      <c r="P258" s="8" t="n">
        <f aca="false">IF(E258=0,0,G258/E258)</f>
        <v>0.275862068965517</v>
      </c>
      <c r="Q258" s="8" t="n">
        <f aca="false">IF(E258+N258=0,0,(G258+N258)/(E258+N258))</f>
        <v>0.34375</v>
      </c>
      <c r="R258" s="8" t="n">
        <f aca="false">IF(E258=0,0,L258/E258)</f>
        <v>0.310344827586207</v>
      </c>
      <c r="S258" s="8" t="n">
        <f aca="false">R258+Q258</f>
        <v>0.654094827586207</v>
      </c>
      <c r="T258" s="8" t="n">
        <f aca="false">R258-P258</f>
        <v>0.0344827586206897</v>
      </c>
    </row>
    <row r="259" customFormat="false" ht="14.25" hidden="false" customHeight="true" outlineLevel="0" collapsed="false">
      <c r="A259" s="6" t="n">
        <v>2025</v>
      </c>
      <c r="B259" s="6" t="s">
        <v>121</v>
      </c>
      <c r="C259" s="6" t="s">
        <v>143</v>
      </c>
      <c r="D259" s="7" t="n">
        <v>4</v>
      </c>
      <c r="E259" s="7" t="n">
        <v>11</v>
      </c>
      <c r="F259" s="7" t="n">
        <v>2</v>
      </c>
      <c r="G259" s="7" t="n">
        <v>5</v>
      </c>
      <c r="H259" s="7" t="n">
        <v>1</v>
      </c>
      <c r="I259" s="7" t="n">
        <v>0</v>
      </c>
      <c r="J259" s="7" t="n">
        <v>0</v>
      </c>
      <c r="K259" s="7" t="n">
        <v>1</v>
      </c>
      <c r="L259" s="7" t="n">
        <v>6</v>
      </c>
      <c r="M259" s="7" t="n">
        <v>1</v>
      </c>
      <c r="N259" s="7" t="n">
        <v>0</v>
      </c>
      <c r="O259" s="7" t="n">
        <v>1</v>
      </c>
      <c r="P259" s="8" t="n">
        <f aca="false">IF(E259=0,0,G259/E259)</f>
        <v>0.454545454545455</v>
      </c>
      <c r="Q259" s="8" t="n">
        <f aca="false">IF(E259+N259=0,0,(G259+N259)/(E259+N259))</f>
        <v>0.454545454545455</v>
      </c>
      <c r="R259" s="8" t="n">
        <f aca="false">IF(E259=0,0,L259/E259)</f>
        <v>0.545454545454545</v>
      </c>
      <c r="S259" s="8" t="n">
        <f aca="false">R259+Q259</f>
        <v>1</v>
      </c>
      <c r="T259" s="8" t="n">
        <f aca="false">R259-P259</f>
        <v>0.0909090909090909</v>
      </c>
    </row>
    <row r="260" customFormat="false" ht="14.25" hidden="false" customHeight="true" outlineLevel="0" collapsed="false">
      <c r="A260" s="6" t="n">
        <v>2025</v>
      </c>
      <c r="B260" s="6" t="s">
        <v>121</v>
      </c>
      <c r="C260" s="6" t="s">
        <v>265</v>
      </c>
      <c r="D260" s="7" t="n">
        <v>5</v>
      </c>
      <c r="E260" s="7" t="n">
        <v>14</v>
      </c>
      <c r="F260" s="7" t="n">
        <v>2</v>
      </c>
      <c r="G260" s="7" t="n">
        <v>4</v>
      </c>
      <c r="H260" s="7" t="n">
        <v>1</v>
      </c>
      <c r="I260" s="7" t="n">
        <v>0</v>
      </c>
      <c r="J260" s="7" t="n">
        <v>1</v>
      </c>
      <c r="K260" s="7" t="n">
        <v>2</v>
      </c>
      <c r="L260" s="7" t="n">
        <v>8</v>
      </c>
      <c r="M260" s="7" t="n">
        <v>4</v>
      </c>
      <c r="N260" s="7" t="n">
        <v>0</v>
      </c>
      <c r="O260" s="7" t="n">
        <v>0</v>
      </c>
      <c r="P260" s="8" t="n">
        <f aca="false">IF(E260=0,0,G260/E260)</f>
        <v>0.285714285714286</v>
      </c>
      <c r="Q260" s="8" t="n">
        <f aca="false">IF(E260+N260=0,0,(G260+N260)/(E260+N260))</f>
        <v>0.285714285714286</v>
      </c>
      <c r="R260" s="8" t="n">
        <f aca="false">IF(E260=0,0,L260/E260)</f>
        <v>0.571428571428571</v>
      </c>
      <c r="S260" s="8" t="n">
        <f aca="false">R260+Q260</f>
        <v>0.857142857142857</v>
      </c>
      <c r="T260" s="8" t="n">
        <f aca="false">R260-P260</f>
        <v>0.285714285714286</v>
      </c>
    </row>
    <row r="261" customFormat="false" ht="14.25" hidden="false" customHeight="true" outlineLevel="0" collapsed="false">
      <c r="A261" s="6" t="n">
        <v>2025</v>
      </c>
      <c r="B261" s="6" t="s">
        <v>121</v>
      </c>
      <c r="C261" s="6" t="s">
        <v>128</v>
      </c>
      <c r="D261" s="7" t="n">
        <v>3</v>
      </c>
      <c r="E261" s="7" t="n">
        <v>7</v>
      </c>
      <c r="F261" s="7" t="n">
        <v>0</v>
      </c>
      <c r="G261" s="7" t="n">
        <v>4</v>
      </c>
      <c r="H261" s="7" t="n">
        <v>0</v>
      </c>
      <c r="I261" s="7" t="n">
        <v>0</v>
      </c>
      <c r="J261" s="7" t="n">
        <v>0</v>
      </c>
      <c r="K261" s="7" t="n">
        <v>0</v>
      </c>
      <c r="L261" s="7" t="n">
        <v>4</v>
      </c>
      <c r="M261" s="7" t="n">
        <v>2</v>
      </c>
      <c r="N261" s="7" t="n">
        <v>0</v>
      </c>
      <c r="O261" s="7" t="n">
        <v>1</v>
      </c>
      <c r="P261" s="8" t="n">
        <f aca="false">IF(E261=0,0,G261/E261)</f>
        <v>0.571428571428571</v>
      </c>
      <c r="Q261" s="8" t="n">
        <f aca="false">IF(E261+N261=0,0,(G261+N261)/(E261+N261))</f>
        <v>0.571428571428571</v>
      </c>
      <c r="R261" s="8" t="n">
        <f aca="false">IF(E261=0,0,L261/E261)</f>
        <v>0.571428571428571</v>
      </c>
      <c r="S261" s="8" t="n">
        <f aca="false">R261+Q261</f>
        <v>1.14285714285714</v>
      </c>
      <c r="T261" s="8" t="n">
        <f aca="false">R261-P261</f>
        <v>0</v>
      </c>
    </row>
    <row r="262" customFormat="false" ht="14.25" hidden="false" customHeight="true" outlineLevel="0" collapsed="false">
      <c r="A262" s="6" t="n">
        <v>2025</v>
      </c>
      <c r="B262" s="6" t="s">
        <v>121</v>
      </c>
      <c r="C262" s="6" t="s">
        <v>126</v>
      </c>
      <c r="D262" s="7" t="n">
        <v>4</v>
      </c>
      <c r="E262" s="7" t="n">
        <v>12</v>
      </c>
      <c r="F262" s="7" t="n">
        <v>2</v>
      </c>
      <c r="G262" s="7" t="n">
        <v>4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4</v>
      </c>
      <c r="M262" s="7" t="n">
        <v>1</v>
      </c>
      <c r="N262" s="7" t="n">
        <v>0</v>
      </c>
      <c r="O262" s="7" t="n">
        <v>0</v>
      </c>
      <c r="P262" s="8" t="n">
        <f aca="false">IF(E262=0,0,G262/E262)</f>
        <v>0.333333333333333</v>
      </c>
      <c r="Q262" s="8" t="n">
        <f aca="false">IF(E262+N262=0,0,(G262+N262)/(E262+N262))</f>
        <v>0.333333333333333</v>
      </c>
      <c r="R262" s="8" t="n">
        <f aca="false">IF(E262=0,0,L262/E262)</f>
        <v>0.333333333333333</v>
      </c>
      <c r="S262" s="8" t="n">
        <f aca="false">R262+Q262</f>
        <v>0.666666666666667</v>
      </c>
      <c r="T262" s="8" t="n">
        <f aca="false">R262-P262</f>
        <v>0</v>
      </c>
    </row>
    <row r="263" customFormat="false" ht="14.25" hidden="false" customHeight="true" outlineLevel="0" collapsed="false">
      <c r="A263" s="6" t="n">
        <v>2025</v>
      </c>
      <c r="B263" s="6" t="s">
        <v>121</v>
      </c>
      <c r="C263" s="6" t="s">
        <v>131</v>
      </c>
      <c r="D263" s="7" t="n">
        <v>5</v>
      </c>
      <c r="E263" s="7" t="n">
        <v>14</v>
      </c>
      <c r="F263" s="7" t="n">
        <v>4</v>
      </c>
      <c r="G263" s="7" t="n">
        <v>3</v>
      </c>
      <c r="H263" s="7" t="n">
        <v>2</v>
      </c>
      <c r="I263" s="7" t="n">
        <v>0</v>
      </c>
      <c r="J263" s="7" t="n">
        <v>0</v>
      </c>
      <c r="K263" s="7" t="n">
        <v>2</v>
      </c>
      <c r="L263" s="7" t="n">
        <v>5</v>
      </c>
      <c r="M263" s="7" t="n">
        <v>0</v>
      </c>
      <c r="N263" s="7" t="n">
        <v>4</v>
      </c>
      <c r="O263" s="7" t="n">
        <v>1</v>
      </c>
      <c r="P263" s="8" t="n">
        <f aca="false">IF(E263=0,0,G263/E263)</f>
        <v>0.214285714285714</v>
      </c>
      <c r="Q263" s="8" t="n">
        <f aca="false">IF(E263+N263=0,0,(G263+N263)/(E263+N263))</f>
        <v>0.388888888888889</v>
      </c>
      <c r="R263" s="8" t="n">
        <f aca="false">IF(E263=0,0,L263/E263)</f>
        <v>0.357142857142857</v>
      </c>
      <c r="S263" s="8" t="n">
        <f aca="false">R263+Q263</f>
        <v>0.746031746031746</v>
      </c>
      <c r="T263" s="8" t="n">
        <f aca="false">R263-P263</f>
        <v>0.142857142857143</v>
      </c>
    </row>
    <row r="264" customFormat="false" ht="14.25" hidden="false" customHeight="true" outlineLevel="0" collapsed="false">
      <c r="A264" s="6" t="n">
        <v>2025</v>
      </c>
      <c r="B264" s="6" t="s">
        <v>121</v>
      </c>
      <c r="C264" s="6" t="s">
        <v>133</v>
      </c>
      <c r="D264" s="7" t="n">
        <v>5</v>
      </c>
      <c r="E264" s="7" t="n">
        <v>8</v>
      </c>
      <c r="F264" s="7" t="n">
        <v>1</v>
      </c>
      <c r="G264" s="7" t="n">
        <v>3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3</v>
      </c>
      <c r="M264" s="7" t="n">
        <v>2</v>
      </c>
      <c r="N264" s="7" t="n">
        <v>1</v>
      </c>
      <c r="O264" s="7" t="n">
        <v>0</v>
      </c>
      <c r="P264" s="8" t="n">
        <f aca="false">IF(E264=0,0,G264/E264)</f>
        <v>0.375</v>
      </c>
      <c r="Q264" s="8" t="n">
        <f aca="false">IF(E264+N264=0,0,(G264+N264)/(E264+N264))</f>
        <v>0.444444444444444</v>
      </c>
      <c r="R264" s="8" t="n">
        <f aca="false">IF(E264=0,0,L264/E264)</f>
        <v>0.375</v>
      </c>
      <c r="S264" s="8" t="n">
        <f aca="false">R264+Q264</f>
        <v>0.819444444444444</v>
      </c>
      <c r="T264" s="8" t="n">
        <f aca="false">R264-P264</f>
        <v>0</v>
      </c>
    </row>
    <row r="265" customFormat="false" ht="14.25" hidden="false" customHeight="true" outlineLevel="0" collapsed="false">
      <c r="A265" s="6" t="n">
        <v>2025</v>
      </c>
      <c r="B265" s="6" t="s">
        <v>121</v>
      </c>
      <c r="C265" s="6" t="s">
        <v>266</v>
      </c>
      <c r="D265" s="7" t="n">
        <v>4</v>
      </c>
      <c r="E265" s="7" t="n">
        <v>10</v>
      </c>
      <c r="F265" s="7" t="n">
        <v>1</v>
      </c>
      <c r="G265" s="7" t="n">
        <v>3</v>
      </c>
      <c r="H265" s="7" t="n">
        <v>0</v>
      </c>
      <c r="I265" s="7" t="n">
        <v>0</v>
      </c>
      <c r="J265" s="7" t="n">
        <v>0</v>
      </c>
      <c r="K265" s="7" t="n">
        <v>0</v>
      </c>
      <c r="L265" s="7" t="n">
        <v>3</v>
      </c>
      <c r="M265" s="7" t="n">
        <v>2</v>
      </c>
      <c r="N265" s="7" t="n">
        <v>0</v>
      </c>
      <c r="O265" s="7" t="n">
        <v>0</v>
      </c>
      <c r="P265" s="8" t="n">
        <f aca="false">IF(E265=0,0,G265/E265)</f>
        <v>0.3</v>
      </c>
      <c r="Q265" s="8" t="n">
        <f aca="false">IF(E265+N265=0,0,(G265+N265)/(E265+N265))</f>
        <v>0.3</v>
      </c>
      <c r="R265" s="8" t="n">
        <f aca="false">IF(E265=0,0,L265/E265)</f>
        <v>0.3</v>
      </c>
      <c r="S265" s="8" t="n">
        <f aca="false">R265+Q265</f>
        <v>0.6</v>
      </c>
      <c r="T265" s="8" t="n">
        <f aca="false">R265-P265</f>
        <v>0</v>
      </c>
    </row>
    <row r="266" customFormat="false" ht="14.25" hidden="false" customHeight="true" outlineLevel="0" collapsed="false">
      <c r="A266" s="6" t="n">
        <v>2025</v>
      </c>
      <c r="B266" s="6" t="s">
        <v>121</v>
      </c>
      <c r="C266" s="6" t="s">
        <v>135</v>
      </c>
      <c r="D266" s="7" t="n">
        <v>7</v>
      </c>
      <c r="E266" s="7" t="n">
        <v>17</v>
      </c>
      <c r="F266" s="7" t="n">
        <v>2</v>
      </c>
      <c r="G266" s="7" t="n">
        <v>3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3</v>
      </c>
      <c r="M266" s="7" t="n">
        <v>1</v>
      </c>
      <c r="N266" s="7" t="n">
        <v>1</v>
      </c>
      <c r="O266" s="7" t="n">
        <v>0</v>
      </c>
      <c r="P266" s="8" t="n">
        <f aca="false">IF(E266=0,0,G266/E266)</f>
        <v>0.176470588235294</v>
      </c>
      <c r="Q266" s="8" t="n">
        <f aca="false">IF(E266+N266=0,0,(G266+N266)/(E266+N266))</f>
        <v>0.222222222222222</v>
      </c>
      <c r="R266" s="8" t="n">
        <f aca="false">IF(E266=0,0,L266/E266)</f>
        <v>0.176470588235294</v>
      </c>
      <c r="S266" s="8" t="n">
        <f aca="false">R266+Q266</f>
        <v>0.398692810457516</v>
      </c>
      <c r="T266" s="8" t="n">
        <f aca="false">R266-P266</f>
        <v>0</v>
      </c>
    </row>
    <row r="267" customFormat="false" ht="14.25" hidden="false" customHeight="true" outlineLevel="0" collapsed="false">
      <c r="A267" s="6" t="n">
        <v>2025</v>
      </c>
      <c r="B267" s="6" t="s">
        <v>121</v>
      </c>
      <c r="C267" s="6" t="s">
        <v>267</v>
      </c>
      <c r="D267" s="7" t="n">
        <v>1</v>
      </c>
      <c r="E267" s="7" t="n">
        <v>3</v>
      </c>
      <c r="F267" s="7" t="n">
        <v>1</v>
      </c>
      <c r="G267" s="7" t="n">
        <v>2</v>
      </c>
      <c r="H267" s="7" t="n">
        <v>0</v>
      </c>
      <c r="I267" s="7" t="n">
        <v>0</v>
      </c>
      <c r="J267" s="7" t="n">
        <v>0</v>
      </c>
      <c r="K267" s="7" t="n">
        <v>0</v>
      </c>
      <c r="L267" s="7" t="n">
        <v>2</v>
      </c>
      <c r="M267" s="7" t="n">
        <v>1</v>
      </c>
      <c r="N267" s="7" t="n">
        <v>0</v>
      </c>
      <c r="O267" s="7" t="n">
        <v>0</v>
      </c>
      <c r="P267" s="8" t="n">
        <f aca="false">IF(E267=0,0,G267/E267)</f>
        <v>0.666666666666667</v>
      </c>
      <c r="Q267" s="8" t="n">
        <f aca="false">IF(E267+N267=0,0,(G267+N267)/(E267+N267))</f>
        <v>0.666666666666667</v>
      </c>
      <c r="R267" s="8" t="n">
        <f aca="false">IF(E267=0,0,L267/E267)</f>
        <v>0.666666666666667</v>
      </c>
      <c r="S267" s="8" t="n">
        <f aca="false">R267+Q267</f>
        <v>1.33333333333333</v>
      </c>
      <c r="T267" s="8" t="n">
        <f aca="false">R267-P267</f>
        <v>0</v>
      </c>
    </row>
    <row r="268" customFormat="false" ht="14.25" hidden="false" customHeight="true" outlineLevel="0" collapsed="false">
      <c r="A268" s="6" t="n">
        <v>2025</v>
      </c>
      <c r="B268" s="6" t="s">
        <v>121</v>
      </c>
      <c r="C268" s="6" t="s">
        <v>129</v>
      </c>
      <c r="D268" s="7" t="n">
        <v>5</v>
      </c>
      <c r="E268" s="7" t="n">
        <v>8</v>
      </c>
      <c r="F268" s="7" t="n">
        <v>0</v>
      </c>
      <c r="G268" s="7" t="n">
        <v>2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2</v>
      </c>
      <c r="M268" s="7" t="n">
        <v>0</v>
      </c>
      <c r="N268" s="7" t="n">
        <v>0</v>
      </c>
      <c r="O268" s="7" t="n">
        <v>1</v>
      </c>
      <c r="P268" s="8" t="n">
        <f aca="false">IF(E268=0,0,G268/E268)</f>
        <v>0.25</v>
      </c>
      <c r="Q268" s="8" t="n">
        <f aca="false">IF(E268+N268=0,0,(G268+N268)/(E268+N268))</f>
        <v>0.25</v>
      </c>
      <c r="R268" s="8" t="n">
        <f aca="false">IF(E268=0,0,L268/E268)</f>
        <v>0.25</v>
      </c>
      <c r="S268" s="8" t="n">
        <f aca="false">R268+Q268</f>
        <v>0.5</v>
      </c>
      <c r="T268" s="8" t="n">
        <f aca="false">R268-P268</f>
        <v>0</v>
      </c>
    </row>
    <row r="269" customFormat="false" ht="14.25" hidden="false" customHeight="true" outlineLevel="0" collapsed="false">
      <c r="A269" s="6" t="n">
        <v>2025</v>
      </c>
      <c r="B269" s="6" t="s">
        <v>121</v>
      </c>
      <c r="C269" s="6" t="s">
        <v>144</v>
      </c>
      <c r="D269" s="7" t="n">
        <v>7</v>
      </c>
      <c r="E269" s="7" t="n">
        <v>13</v>
      </c>
      <c r="F269" s="7" t="n">
        <v>1</v>
      </c>
      <c r="G269" s="7" t="n">
        <v>2</v>
      </c>
      <c r="H269" s="7" t="n">
        <v>0</v>
      </c>
      <c r="I269" s="7" t="n">
        <v>0</v>
      </c>
      <c r="J269" s="7" t="n">
        <v>0</v>
      </c>
      <c r="K269" s="7" t="n">
        <v>0</v>
      </c>
      <c r="L269" s="7" t="n">
        <v>2</v>
      </c>
      <c r="M269" s="7" t="n">
        <v>0</v>
      </c>
      <c r="N269" s="7" t="n">
        <v>2</v>
      </c>
      <c r="O269" s="7" t="n">
        <v>0</v>
      </c>
      <c r="P269" s="8" t="n">
        <f aca="false">IF(E269=0,0,G269/E269)</f>
        <v>0.153846153846154</v>
      </c>
      <c r="Q269" s="8" t="n">
        <f aca="false">IF(E269+N269=0,0,(G269+N269)/(E269+N269))</f>
        <v>0.266666666666667</v>
      </c>
      <c r="R269" s="8" t="n">
        <f aca="false">IF(E269=0,0,L269/E269)</f>
        <v>0.153846153846154</v>
      </c>
      <c r="S269" s="8" t="n">
        <f aca="false">R269+Q269</f>
        <v>0.420512820512821</v>
      </c>
      <c r="T269" s="8" t="n">
        <f aca="false">R269-P269</f>
        <v>0</v>
      </c>
    </row>
    <row r="270" customFormat="false" ht="14.25" hidden="false" customHeight="true" outlineLevel="0" collapsed="false">
      <c r="A270" s="6" t="n">
        <v>2025</v>
      </c>
      <c r="B270" s="6" t="s">
        <v>121</v>
      </c>
      <c r="C270" s="6" t="s">
        <v>139</v>
      </c>
      <c r="D270" s="7" t="n">
        <v>4</v>
      </c>
      <c r="E270" s="7" t="n">
        <v>9</v>
      </c>
      <c r="F270" s="7" t="n">
        <v>2</v>
      </c>
      <c r="G270" s="7" t="n">
        <v>2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2</v>
      </c>
      <c r="M270" s="7" t="n">
        <v>0</v>
      </c>
      <c r="N270" s="7" t="n">
        <v>0</v>
      </c>
      <c r="O270" s="7" t="n">
        <v>0</v>
      </c>
      <c r="P270" s="8" t="n">
        <f aca="false">IF(E270=0,0,G270/E270)</f>
        <v>0.222222222222222</v>
      </c>
      <c r="Q270" s="8" t="n">
        <f aca="false">IF(E270+N270=0,0,(G270+N270)/(E270+N270))</f>
        <v>0.222222222222222</v>
      </c>
      <c r="R270" s="8" t="n">
        <f aca="false">IF(E270=0,0,L270/E270)</f>
        <v>0.222222222222222</v>
      </c>
      <c r="S270" s="8" t="n">
        <f aca="false">R270+Q270</f>
        <v>0.444444444444444</v>
      </c>
      <c r="T270" s="8" t="n">
        <f aca="false">R270-P270</f>
        <v>0</v>
      </c>
    </row>
    <row r="271" customFormat="false" ht="14.25" hidden="false" customHeight="true" outlineLevel="0" collapsed="false">
      <c r="A271" s="6" t="n">
        <v>2025</v>
      </c>
      <c r="B271" s="6" t="s">
        <v>121</v>
      </c>
      <c r="C271" s="6" t="s">
        <v>146</v>
      </c>
      <c r="D271" s="7" t="n">
        <v>3</v>
      </c>
      <c r="E271" s="7" t="n">
        <v>6</v>
      </c>
      <c r="F271" s="7" t="n">
        <v>2</v>
      </c>
      <c r="G271" s="7" t="n">
        <v>1</v>
      </c>
      <c r="H271" s="7" t="n">
        <v>0</v>
      </c>
      <c r="I271" s="7" t="n">
        <v>0</v>
      </c>
      <c r="J271" s="7" t="n">
        <v>0</v>
      </c>
      <c r="K271" s="7" t="n">
        <v>0</v>
      </c>
      <c r="L271" s="7" t="n">
        <v>1</v>
      </c>
      <c r="M271" s="7" t="n">
        <v>1</v>
      </c>
      <c r="N271" s="7" t="n">
        <v>0</v>
      </c>
      <c r="O271" s="7" t="n">
        <v>0</v>
      </c>
      <c r="P271" s="8" t="n">
        <f aca="false">IF(E271=0,0,G271/E271)</f>
        <v>0.166666666666667</v>
      </c>
      <c r="Q271" s="8" t="n">
        <f aca="false">IF(E271+N271=0,0,(G271+N271)/(E271+N271))</f>
        <v>0.166666666666667</v>
      </c>
      <c r="R271" s="8" t="n">
        <f aca="false">IF(E271=0,0,L271/E271)</f>
        <v>0.166666666666667</v>
      </c>
      <c r="S271" s="8" t="n">
        <f aca="false">R271+Q271</f>
        <v>0.333333333333333</v>
      </c>
      <c r="T271" s="8" t="n">
        <f aca="false">R271-P271</f>
        <v>0</v>
      </c>
    </row>
    <row r="272" customFormat="false" ht="14.25" hidden="false" customHeight="true" outlineLevel="0" collapsed="false">
      <c r="A272" s="6" t="n">
        <v>2025</v>
      </c>
      <c r="B272" s="6" t="s">
        <v>121</v>
      </c>
      <c r="C272" s="6" t="s">
        <v>132</v>
      </c>
      <c r="D272" s="7" t="n">
        <v>4</v>
      </c>
      <c r="E272" s="7" t="n">
        <v>8</v>
      </c>
      <c r="F272" s="7" t="n">
        <v>0</v>
      </c>
      <c r="G272" s="7" t="n">
        <v>1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1</v>
      </c>
      <c r="M272" s="7" t="n">
        <v>0</v>
      </c>
      <c r="N272" s="7" t="n">
        <v>0</v>
      </c>
      <c r="O272" s="7" t="n">
        <v>1</v>
      </c>
      <c r="P272" s="8" t="n">
        <f aca="false">IF(E272=0,0,G272/E272)</f>
        <v>0.125</v>
      </c>
      <c r="Q272" s="8" t="n">
        <f aca="false">IF(E272+N272=0,0,(G272+N272)/(E272+N272))</f>
        <v>0.125</v>
      </c>
      <c r="R272" s="8" t="n">
        <f aca="false">IF(E272=0,0,L272/E272)</f>
        <v>0.125</v>
      </c>
      <c r="S272" s="8" t="n">
        <f aca="false">R272+Q272</f>
        <v>0.25</v>
      </c>
      <c r="T272" s="8" t="n">
        <f aca="false">R272-P272</f>
        <v>0</v>
      </c>
    </row>
    <row r="273" customFormat="false" ht="14.25" hidden="false" customHeight="true" outlineLevel="0" collapsed="false">
      <c r="A273" s="6" t="n">
        <v>2025</v>
      </c>
      <c r="B273" s="6" t="s">
        <v>121</v>
      </c>
      <c r="C273" s="6" t="s">
        <v>268</v>
      </c>
      <c r="D273" s="7" t="n">
        <v>2</v>
      </c>
      <c r="E273" s="7" t="n">
        <v>2</v>
      </c>
      <c r="F273" s="7" t="n">
        <v>0</v>
      </c>
      <c r="G273" s="7" t="n">
        <v>1</v>
      </c>
      <c r="H273" s="7" t="n">
        <v>0</v>
      </c>
      <c r="I273" s="7" t="n">
        <v>0</v>
      </c>
      <c r="J273" s="7" t="n">
        <v>0</v>
      </c>
      <c r="K273" s="7" t="n">
        <v>0</v>
      </c>
      <c r="L273" s="7" t="n">
        <v>1</v>
      </c>
      <c r="M273" s="7" t="n">
        <v>0</v>
      </c>
      <c r="N273" s="7" t="n">
        <v>0</v>
      </c>
      <c r="O273" s="7" t="n">
        <v>0</v>
      </c>
      <c r="P273" s="8" t="n">
        <f aca="false">IF(E273=0,0,G273/E273)</f>
        <v>0.5</v>
      </c>
      <c r="Q273" s="8" t="n">
        <f aca="false">IF(E273+N273=0,0,(G273+N273)/(E273+N273))</f>
        <v>0.5</v>
      </c>
      <c r="R273" s="8" t="n">
        <f aca="false">IF(E273=0,0,L273/E273)</f>
        <v>0.5</v>
      </c>
      <c r="S273" s="8" t="n">
        <f aca="false">R273+Q273</f>
        <v>1</v>
      </c>
      <c r="T273" s="8" t="n">
        <f aca="false">R273-P273</f>
        <v>0</v>
      </c>
    </row>
    <row r="274" customFormat="false" ht="14.25" hidden="false" customHeight="true" outlineLevel="0" collapsed="false">
      <c r="A274" s="6" t="n">
        <v>2025</v>
      </c>
      <c r="B274" s="6" t="s">
        <v>121</v>
      </c>
      <c r="C274" s="6" t="s">
        <v>136</v>
      </c>
      <c r="D274" s="7" t="n">
        <v>5</v>
      </c>
      <c r="E274" s="7" t="n">
        <v>8</v>
      </c>
      <c r="F274" s="7" t="n">
        <v>2</v>
      </c>
      <c r="G274" s="7" t="n">
        <v>1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1</v>
      </c>
      <c r="M274" s="7" t="n">
        <v>0</v>
      </c>
      <c r="N274" s="7" t="n">
        <v>0</v>
      </c>
      <c r="O274" s="7" t="n">
        <v>0</v>
      </c>
      <c r="P274" s="8" t="n">
        <f aca="false">IF(E274=0,0,G274/E274)</f>
        <v>0.125</v>
      </c>
      <c r="Q274" s="8" t="n">
        <f aca="false">IF(E274+N274=0,0,(G274+N274)/(E274+N274))</f>
        <v>0.125</v>
      </c>
      <c r="R274" s="8" t="n">
        <f aca="false">IF(E274=0,0,L274/E274)</f>
        <v>0.125</v>
      </c>
      <c r="S274" s="8" t="n">
        <f aca="false">R274+Q274</f>
        <v>0.25</v>
      </c>
      <c r="T274" s="8" t="n">
        <f aca="false">R274-P274</f>
        <v>0</v>
      </c>
    </row>
    <row r="275" customFormat="false" ht="14.25" hidden="false" customHeight="true" outlineLevel="0" collapsed="false">
      <c r="A275" s="6" t="n">
        <v>2025</v>
      </c>
      <c r="B275" s="6" t="s">
        <v>121</v>
      </c>
      <c r="C275" s="6" t="s">
        <v>134</v>
      </c>
      <c r="D275" s="7" t="n">
        <v>2</v>
      </c>
      <c r="E275" s="7" t="n">
        <v>3</v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</v>
      </c>
      <c r="K275" s="7" t="n">
        <v>0</v>
      </c>
      <c r="L275" s="7" t="n">
        <v>0</v>
      </c>
      <c r="M275" s="7" t="n">
        <v>1</v>
      </c>
      <c r="N275" s="7" t="n">
        <v>0</v>
      </c>
      <c r="O275" s="7" t="n">
        <v>0</v>
      </c>
      <c r="P275" s="8" t="n">
        <f aca="false">IF(E275=0,0,G275/E275)</f>
        <v>0</v>
      </c>
      <c r="Q275" s="8" t="n">
        <f aca="false">IF(E275+N275=0,0,(G275+N275)/(E275+N275))</f>
        <v>0</v>
      </c>
      <c r="R275" s="8" t="n">
        <f aca="false">IF(E275=0,0,L275/E275)</f>
        <v>0</v>
      </c>
      <c r="S275" s="8" t="n">
        <f aca="false">R275+Q275</f>
        <v>0</v>
      </c>
      <c r="T275" s="8" t="n">
        <f aca="false">R275-P275</f>
        <v>0</v>
      </c>
    </row>
    <row r="276" customFormat="false" ht="14.25" hidden="false" customHeight="true" outlineLevel="0" collapsed="false">
      <c r="A276" s="6" t="n">
        <v>2025</v>
      </c>
      <c r="B276" s="6" t="s">
        <v>121</v>
      </c>
      <c r="C276" s="6" t="s">
        <v>269</v>
      </c>
      <c r="D276" s="7" t="n">
        <v>1</v>
      </c>
      <c r="E276" s="7" t="n">
        <v>3</v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0</v>
      </c>
      <c r="N276" s="7" t="n">
        <v>0</v>
      </c>
      <c r="O276" s="7" t="n">
        <v>0</v>
      </c>
      <c r="P276" s="8" t="n">
        <f aca="false">IF(E276=0,0,G276/E276)</f>
        <v>0</v>
      </c>
      <c r="Q276" s="8" t="n">
        <f aca="false">IF(E276+N276=0,0,(G276+N276)/(E276+N276))</f>
        <v>0</v>
      </c>
      <c r="R276" s="8" t="n">
        <f aca="false">IF(E276=0,0,L276/E276)</f>
        <v>0</v>
      </c>
      <c r="S276" s="8" t="n">
        <f aca="false">R276+Q276</f>
        <v>0</v>
      </c>
      <c r="T276" s="8" t="n">
        <f aca="false">R276-P276</f>
        <v>0</v>
      </c>
    </row>
    <row r="277" customFormat="false" ht="14.25" hidden="false" customHeight="true" outlineLevel="0" collapsed="false">
      <c r="A277" s="6" t="n">
        <v>2025</v>
      </c>
      <c r="B277" s="6" t="s">
        <v>121</v>
      </c>
      <c r="C277" s="6" t="s">
        <v>224</v>
      </c>
      <c r="D277" s="7" t="n">
        <v>1</v>
      </c>
      <c r="E277" s="7" t="n">
        <v>3</v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7" t="n">
        <v>0</v>
      </c>
      <c r="L277" s="7" t="n">
        <v>0</v>
      </c>
      <c r="M277" s="7" t="n">
        <v>0</v>
      </c>
      <c r="N277" s="7" t="n">
        <v>0</v>
      </c>
      <c r="O277" s="7" t="n">
        <v>0</v>
      </c>
      <c r="P277" s="8" t="n">
        <f aca="false">IF(E277=0,0,G277/E277)</f>
        <v>0</v>
      </c>
      <c r="Q277" s="8" t="n">
        <f aca="false">IF(E277+N277=0,0,(G277+N277)/(E277+N277))</f>
        <v>0</v>
      </c>
      <c r="R277" s="8" t="n">
        <f aca="false">IF(E277=0,0,L277/E277)</f>
        <v>0</v>
      </c>
      <c r="S277" s="8" t="n">
        <f aca="false">R277+Q277</f>
        <v>0</v>
      </c>
      <c r="T277" s="8" t="n">
        <f aca="false">R277-P277</f>
        <v>0</v>
      </c>
    </row>
    <row r="278" customFormat="false" ht="14.25" hidden="false" customHeight="true" outlineLevel="0" collapsed="false">
      <c r="A278" s="6" t="n">
        <v>2025</v>
      </c>
      <c r="B278" s="6" t="s">
        <v>121</v>
      </c>
      <c r="C278" s="6" t="s">
        <v>270</v>
      </c>
      <c r="D278" s="7" t="n">
        <v>1</v>
      </c>
      <c r="E278" s="7" t="n">
        <v>1</v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  <c r="M278" s="7" t="n">
        <v>0</v>
      </c>
      <c r="N278" s="7" t="n">
        <v>0</v>
      </c>
      <c r="O278" s="7" t="n">
        <v>0</v>
      </c>
      <c r="P278" s="8" t="n">
        <f aca="false">IF(E278=0,0,G278/E278)</f>
        <v>0</v>
      </c>
      <c r="Q278" s="8" t="n">
        <f aca="false">IF(E278+N278=0,0,(G278+N278)/(E278+N278))</f>
        <v>0</v>
      </c>
      <c r="R278" s="8" t="n">
        <f aca="false">IF(E278=0,0,L278/E278)</f>
        <v>0</v>
      </c>
      <c r="S278" s="8" t="n">
        <f aca="false">R278+Q278</f>
        <v>0</v>
      </c>
      <c r="T278" s="8" t="n">
        <f aca="false">R278-P278</f>
        <v>0</v>
      </c>
    </row>
    <row r="279" customFormat="false" ht="14.25" hidden="false" customHeight="true" outlineLevel="0" collapsed="false">
      <c r="A279" s="6" t="n">
        <v>2025</v>
      </c>
      <c r="B279" s="6" t="s">
        <v>121</v>
      </c>
      <c r="C279" s="6" t="s">
        <v>145</v>
      </c>
      <c r="D279" s="7" t="n">
        <v>1</v>
      </c>
      <c r="E279" s="7" t="n">
        <v>1</v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</v>
      </c>
      <c r="K279" s="7" t="n">
        <v>0</v>
      </c>
      <c r="L279" s="7" t="n">
        <v>0</v>
      </c>
      <c r="M279" s="7" t="n">
        <v>0</v>
      </c>
      <c r="N279" s="7" t="n">
        <v>0</v>
      </c>
      <c r="O279" s="7" t="n">
        <v>0</v>
      </c>
      <c r="P279" s="8" t="n">
        <f aca="false">IF(E279=0,0,G279/E279)</f>
        <v>0</v>
      </c>
      <c r="Q279" s="8" t="n">
        <f aca="false">IF(E279+N279=0,0,(G279+N279)/(E279+N279))</f>
        <v>0</v>
      </c>
      <c r="R279" s="8" t="n">
        <f aca="false">IF(E279=0,0,L279/E279)</f>
        <v>0</v>
      </c>
      <c r="S279" s="8" t="n">
        <f aca="false">R279+Q279</f>
        <v>0</v>
      </c>
      <c r="T279" s="8" t="n">
        <f aca="false">R279-P279</f>
        <v>0</v>
      </c>
    </row>
    <row r="280" customFormat="false" ht="14.25" hidden="false" customHeight="true" outlineLevel="0" collapsed="false">
      <c r="A280" s="6" t="n">
        <v>2025</v>
      </c>
      <c r="B280" s="6" t="s">
        <v>121</v>
      </c>
      <c r="C280" s="6" t="s">
        <v>271</v>
      </c>
      <c r="D280" s="7" t="n">
        <v>1</v>
      </c>
      <c r="E280" s="7" t="n">
        <v>1</v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0</v>
      </c>
      <c r="N280" s="7" t="n">
        <v>0</v>
      </c>
      <c r="O280" s="7" t="n">
        <v>0</v>
      </c>
      <c r="P280" s="8" t="n">
        <f aca="false">IF(E280=0,0,G280/E280)</f>
        <v>0</v>
      </c>
      <c r="Q280" s="8" t="n">
        <f aca="false">IF(E280+N280=0,0,(G280+N280)/(E280+N280))</f>
        <v>0</v>
      </c>
      <c r="R280" s="8" t="n">
        <f aca="false">IF(E280=0,0,L280/E280)</f>
        <v>0</v>
      </c>
      <c r="S280" s="8" t="n">
        <f aca="false">R280+Q280</f>
        <v>0</v>
      </c>
      <c r="T280" s="8" t="n">
        <f aca="false">R280-P280</f>
        <v>0</v>
      </c>
    </row>
    <row r="281" customFormat="false" ht="14.25" hidden="false" customHeight="true" outlineLevel="0" collapsed="false">
      <c r="A281" s="6" t="n">
        <v>2025</v>
      </c>
      <c r="B281" s="6" t="s">
        <v>121</v>
      </c>
      <c r="C281" s="6" t="s">
        <v>272</v>
      </c>
      <c r="D281" s="7" t="n">
        <v>1</v>
      </c>
      <c r="E281" s="7" t="n">
        <v>1</v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7" t="n">
        <v>0</v>
      </c>
      <c r="P281" s="8" t="n">
        <f aca="false">IF(E281=0,0,G281/E281)</f>
        <v>0</v>
      </c>
      <c r="Q281" s="8" t="n">
        <f aca="false">IF(E281+N281=0,0,(G281+N281)/(E281+N281))</f>
        <v>0</v>
      </c>
      <c r="R281" s="8" t="n">
        <f aca="false">IF(E281=0,0,L281/E281)</f>
        <v>0</v>
      </c>
      <c r="S281" s="8" t="n">
        <f aca="false">R281+Q281</f>
        <v>0</v>
      </c>
      <c r="T281" s="8" t="n">
        <f aca="false">R281-P281</f>
        <v>0</v>
      </c>
    </row>
    <row r="282" customFormat="false" ht="14.25" hidden="false" customHeight="true" outlineLevel="0" collapsed="false">
      <c r="A282" s="6" t="n">
        <v>2025</v>
      </c>
      <c r="B282" s="6" t="s">
        <v>147</v>
      </c>
      <c r="C282" s="6" t="s">
        <v>153</v>
      </c>
      <c r="D282" s="7" t="n">
        <v>13</v>
      </c>
      <c r="E282" s="7" t="n">
        <v>39</v>
      </c>
      <c r="F282" s="7" t="n">
        <v>11</v>
      </c>
      <c r="G282" s="7" t="n">
        <v>21</v>
      </c>
      <c r="H282" s="7" t="n">
        <v>8</v>
      </c>
      <c r="I282" s="7" t="n">
        <v>1</v>
      </c>
      <c r="J282" s="7" t="n">
        <v>0</v>
      </c>
      <c r="K282" s="7" t="n">
        <v>9</v>
      </c>
      <c r="L282" s="7" t="n">
        <v>31</v>
      </c>
      <c r="M282" s="7" t="n">
        <v>12</v>
      </c>
      <c r="N282" s="7" t="n">
        <v>4</v>
      </c>
      <c r="O282" s="7" t="n">
        <v>2</v>
      </c>
      <c r="P282" s="8" t="n">
        <f aca="false">IF(E282=0,0,G282/E282)</f>
        <v>0.538461538461538</v>
      </c>
      <c r="Q282" s="8" t="n">
        <f aca="false">IF(E282+N282=0,0,(G282+N282)/(E282+N282))</f>
        <v>0.581395348837209</v>
      </c>
      <c r="R282" s="8" t="n">
        <f aca="false">IF(E282=0,0,L282/E282)</f>
        <v>0.794871794871795</v>
      </c>
      <c r="S282" s="8" t="n">
        <f aca="false">R282+Q282</f>
        <v>1.376267143709</v>
      </c>
      <c r="T282" s="8" t="n">
        <f aca="false">R282-P282</f>
        <v>0.256410256410256</v>
      </c>
    </row>
    <row r="283" customFormat="false" ht="14.25" hidden="false" customHeight="true" outlineLevel="0" collapsed="false">
      <c r="A283" s="6" t="n">
        <v>2025</v>
      </c>
      <c r="B283" s="6" t="s">
        <v>147</v>
      </c>
      <c r="C283" s="6" t="s">
        <v>148</v>
      </c>
      <c r="D283" s="7" t="n">
        <v>14</v>
      </c>
      <c r="E283" s="7" t="n">
        <v>44</v>
      </c>
      <c r="F283" s="7" t="n">
        <v>16</v>
      </c>
      <c r="G283" s="7" t="n">
        <v>18</v>
      </c>
      <c r="H283" s="7" t="n">
        <v>1</v>
      </c>
      <c r="I283" s="7" t="n">
        <v>1</v>
      </c>
      <c r="J283" s="7" t="n">
        <v>7</v>
      </c>
      <c r="K283" s="7" t="n">
        <v>9</v>
      </c>
      <c r="L283" s="7" t="n">
        <v>42</v>
      </c>
      <c r="M283" s="7" t="n">
        <v>17</v>
      </c>
      <c r="N283" s="7" t="n">
        <v>5</v>
      </c>
      <c r="O283" s="7" t="n">
        <v>4</v>
      </c>
      <c r="P283" s="8" t="n">
        <f aca="false">IF(E283=0,0,G283/E283)</f>
        <v>0.409090909090909</v>
      </c>
      <c r="Q283" s="8" t="n">
        <f aca="false">IF(E283+N283=0,0,(G283+N283)/(E283+N283))</f>
        <v>0.469387755102041</v>
      </c>
      <c r="R283" s="8" t="n">
        <f aca="false">IF(E283=0,0,L283/E283)</f>
        <v>0.954545454545455</v>
      </c>
      <c r="S283" s="8" t="n">
        <f aca="false">R283+Q283</f>
        <v>1.4239332096475</v>
      </c>
      <c r="T283" s="8" t="n">
        <f aca="false">R283-P283</f>
        <v>0.545454545454545</v>
      </c>
    </row>
    <row r="284" customFormat="false" ht="14.25" hidden="false" customHeight="true" outlineLevel="0" collapsed="false">
      <c r="A284" s="6" t="n">
        <v>2025</v>
      </c>
      <c r="B284" s="6" t="s">
        <v>147</v>
      </c>
      <c r="C284" s="6" t="s">
        <v>151</v>
      </c>
      <c r="D284" s="7" t="n">
        <v>14</v>
      </c>
      <c r="E284" s="7" t="n">
        <v>37</v>
      </c>
      <c r="F284" s="7" t="n">
        <v>17</v>
      </c>
      <c r="G284" s="7" t="n">
        <v>16</v>
      </c>
      <c r="H284" s="7" t="n">
        <v>5</v>
      </c>
      <c r="I284" s="7" t="n">
        <v>0</v>
      </c>
      <c r="J284" s="7" t="n">
        <v>5</v>
      </c>
      <c r="K284" s="7" t="n">
        <v>10</v>
      </c>
      <c r="L284" s="7" t="n">
        <v>36</v>
      </c>
      <c r="M284" s="7" t="n">
        <v>17</v>
      </c>
      <c r="N284" s="7" t="n">
        <v>11</v>
      </c>
      <c r="O284" s="7" t="n">
        <v>2</v>
      </c>
      <c r="P284" s="8" t="n">
        <f aca="false">IF(E284=0,0,G284/E284)</f>
        <v>0.432432432432432</v>
      </c>
      <c r="Q284" s="8" t="n">
        <f aca="false">IF(E284+N284=0,0,(G284+N284)/(E284+N284))</f>
        <v>0.5625</v>
      </c>
      <c r="R284" s="8" t="n">
        <f aca="false">IF(E284=0,0,L284/E284)</f>
        <v>0.972972972972973</v>
      </c>
      <c r="S284" s="8" t="n">
        <f aca="false">R284+Q284</f>
        <v>1.53547297297297</v>
      </c>
      <c r="T284" s="8" t="n">
        <f aca="false">R284-P284</f>
        <v>0.540540540540541</v>
      </c>
    </row>
    <row r="285" customFormat="false" ht="14.25" hidden="false" customHeight="true" outlineLevel="0" collapsed="false">
      <c r="A285" s="6" t="n">
        <v>2025</v>
      </c>
      <c r="B285" s="6" t="s">
        <v>147</v>
      </c>
      <c r="C285" s="6" t="s">
        <v>149</v>
      </c>
      <c r="D285" s="7" t="n">
        <v>14</v>
      </c>
      <c r="E285" s="7" t="n">
        <v>46</v>
      </c>
      <c r="F285" s="7" t="n">
        <v>12</v>
      </c>
      <c r="G285" s="7" t="n">
        <v>16</v>
      </c>
      <c r="H285" s="7" t="n">
        <v>1</v>
      </c>
      <c r="I285" s="7" t="n">
        <v>0</v>
      </c>
      <c r="J285" s="7" t="n">
        <v>5</v>
      </c>
      <c r="K285" s="7" t="n">
        <v>6</v>
      </c>
      <c r="L285" s="7" t="n">
        <v>32</v>
      </c>
      <c r="M285" s="7" t="n">
        <v>12</v>
      </c>
      <c r="N285" s="7" t="n">
        <v>2</v>
      </c>
      <c r="O285" s="7" t="n">
        <v>2</v>
      </c>
      <c r="P285" s="8" t="n">
        <f aca="false">IF(E285=0,0,G285/E285)</f>
        <v>0.347826086956522</v>
      </c>
      <c r="Q285" s="8" t="n">
        <f aca="false">IF(E285+N285=0,0,(G285+N285)/(E285+N285))</f>
        <v>0.375</v>
      </c>
      <c r="R285" s="8" t="n">
        <f aca="false">IF(E285=0,0,L285/E285)</f>
        <v>0.695652173913044</v>
      </c>
      <c r="S285" s="8" t="n">
        <f aca="false">R285+Q285</f>
        <v>1.07065217391304</v>
      </c>
      <c r="T285" s="8" t="n">
        <f aca="false">R285-P285</f>
        <v>0.347826086956522</v>
      </c>
    </row>
    <row r="286" customFormat="false" ht="14.25" hidden="false" customHeight="true" outlineLevel="0" collapsed="false">
      <c r="A286" s="6" t="n">
        <v>2025</v>
      </c>
      <c r="B286" s="6" t="s">
        <v>147</v>
      </c>
      <c r="C286" s="6" t="s">
        <v>150</v>
      </c>
      <c r="D286" s="7" t="n">
        <v>13</v>
      </c>
      <c r="E286" s="7" t="n">
        <v>42</v>
      </c>
      <c r="F286" s="7" t="n">
        <v>13</v>
      </c>
      <c r="G286" s="7" t="n">
        <v>14</v>
      </c>
      <c r="H286" s="7" t="n">
        <v>7</v>
      </c>
      <c r="I286" s="7" t="n">
        <v>0</v>
      </c>
      <c r="J286" s="7" t="n">
        <v>0</v>
      </c>
      <c r="K286" s="7" t="n">
        <v>7</v>
      </c>
      <c r="L286" s="7" t="n">
        <v>21</v>
      </c>
      <c r="M286" s="7" t="n">
        <v>5</v>
      </c>
      <c r="N286" s="7" t="n">
        <v>3</v>
      </c>
      <c r="O286" s="7" t="n">
        <v>0</v>
      </c>
      <c r="P286" s="8" t="n">
        <f aca="false">IF(E286=0,0,G286/E286)</f>
        <v>0.333333333333333</v>
      </c>
      <c r="Q286" s="8" t="n">
        <f aca="false">IF(E286+N286=0,0,(G286+N286)/(E286+N286))</f>
        <v>0.377777777777778</v>
      </c>
      <c r="R286" s="8" t="n">
        <f aca="false">IF(E286=0,0,L286/E286)</f>
        <v>0.5</v>
      </c>
      <c r="S286" s="8" t="n">
        <f aca="false">R286+Q286</f>
        <v>0.877777777777778</v>
      </c>
      <c r="T286" s="8" t="n">
        <f aca="false">R286-P286</f>
        <v>0.166666666666667</v>
      </c>
    </row>
    <row r="287" customFormat="false" ht="14.25" hidden="false" customHeight="true" outlineLevel="0" collapsed="false">
      <c r="A287" s="6" t="n">
        <v>2025</v>
      </c>
      <c r="B287" s="6" t="s">
        <v>147</v>
      </c>
      <c r="C287" s="6" t="s">
        <v>154</v>
      </c>
      <c r="D287" s="7" t="n">
        <v>14</v>
      </c>
      <c r="E287" s="7" t="n">
        <v>44</v>
      </c>
      <c r="F287" s="7" t="n">
        <v>13</v>
      </c>
      <c r="G287" s="7" t="n">
        <v>12</v>
      </c>
      <c r="H287" s="7" t="n">
        <v>5</v>
      </c>
      <c r="I287" s="7" t="n">
        <v>0</v>
      </c>
      <c r="J287" s="7" t="n">
        <v>0</v>
      </c>
      <c r="K287" s="7" t="n">
        <v>5</v>
      </c>
      <c r="L287" s="7" t="n">
        <v>17</v>
      </c>
      <c r="M287" s="7" t="n">
        <v>3</v>
      </c>
      <c r="N287" s="7" t="n">
        <v>6</v>
      </c>
      <c r="O287" s="7" t="n">
        <v>2</v>
      </c>
      <c r="P287" s="8" t="n">
        <f aca="false">IF(E287=0,0,G287/E287)</f>
        <v>0.272727272727273</v>
      </c>
      <c r="Q287" s="8" t="n">
        <f aca="false">IF(E287+N287=0,0,(G287+N287)/(E287+N287))</f>
        <v>0.36</v>
      </c>
      <c r="R287" s="8" t="n">
        <f aca="false">IF(E287=0,0,L287/E287)</f>
        <v>0.386363636363636</v>
      </c>
      <c r="S287" s="8" t="n">
        <f aca="false">R287+Q287</f>
        <v>0.746363636363636</v>
      </c>
      <c r="T287" s="8" t="n">
        <f aca="false">R287-P287</f>
        <v>0.113636363636364</v>
      </c>
    </row>
    <row r="288" customFormat="false" ht="14.25" hidden="false" customHeight="true" outlineLevel="0" collapsed="false">
      <c r="A288" s="6" t="n">
        <v>2025</v>
      </c>
      <c r="B288" s="6" t="s">
        <v>147</v>
      </c>
      <c r="C288" s="6" t="s">
        <v>156</v>
      </c>
      <c r="D288" s="7" t="n">
        <v>12</v>
      </c>
      <c r="E288" s="7" t="n">
        <v>34</v>
      </c>
      <c r="F288" s="7" t="n">
        <v>6</v>
      </c>
      <c r="G288" s="7" t="n">
        <v>11</v>
      </c>
      <c r="H288" s="7" t="n">
        <v>2</v>
      </c>
      <c r="I288" s="7" t="n">
        <v>0</v>
      </c>
      <c r="J288" s="7" t="n">
        <v>0</v>
      </c>
      <c r="K288" s="7" t="n">
        <v>2</v>
      </c>
      <c r="L288" s="7" t="n">
        <v>13</v>
      </c>
      <c r="M288" s="7" t="n">
        <v>3</v>
      </c>
      <c r="N288" s="7" t="n">
        <v>4</v>
      </c>
      <c r="O288" s="7" t="n">
        <v>1</v>
      </c>
      <c r="P288" s="8" t="n">
        <f aca="false">IF(E288=0,0,G288/E288)</f>
        <v>0.323529411764706</v>
      </c>
      <c r="Q288" s="8" t="n">
        <f aca="false">IF(E288+N288=0,0,(G288+N288)/(E288+N288))</f>
        <v>0.394736842105263</v>
      </c>
      <c r="R288" s="8" t="n">
        <f aca="false">IF(E288=0,0,L288/E288)</f>
        <v>0.382352941176471</v>
      </c>
      <c r="S288" s="8" t="n">
        <f aca="false">R288+Q288</f>
        <v>0.777089783281734</v>
      </c>
      <c r="T288" s="8" t="n">
        <f aca="false">R288-P288</f>
        <v>0.0588235294117647</v>
      </c>
    </row>
    <row r="289" customFormat="false" ht="14.25" hidden="false" customHeight="true" outlineLevel="0" collapsed="false">
      <c r="A289" s="6" t="n">
        <v>2025</v>
      </c>
      <c r="B289" s="6" t="s">
        <v>147</v>
      </c>
      <c r="C289" s="6" t="s">
        <v>155</v>
      </c>
      <c r="D289" s="7" t="n">
        <v>14</v>
      </c>
      <c r="E289" s="7" t="n">
        <v>39</v>
      </c>
      <c r="F289" s="7" t="n">
        <v>10</v>
      </c>
      <c r="G289" s="7" t="n">
        <v>10</v>
      </c>
      <c r="H289" s="7" t="n">
        <v>1</v>
      </c>
      <c r="I289" s="7" t="n">
        <v>0</v>
      </c>
      <c r="J289" s="7" t="n">
        <v>4</v>
      </c>
      <c r="K289" s="7" t="n">
        <v>5</v>
      </c>
      <c r="L289" s="7" t="n">
        <v>23</v>
      </c>
      <c r="M289" s="7" t="n">
        <v>13</v>
      </c>
      <c r="N289" s="7" t="n">
        <v>5</v>
      </c>
      <c r="O289" s="7" t="n">
        <v>1</v>
      </c>
      <c r="P289" s="8" t="n">
        <f aca="false">IF(E289=0,0,G289/E289)</f>
        <v>0.256410256410256</v>
      </c>
      <c r="Q289" s="8" t="n">
        <f aca="false">IF(E289+N289=0,0,(G289+N289)/(E289+N289))</f>
        <v>0.340909090909091</v>
      </c>
      <c r="R289" s="8" t="n">
        <f aca="false">IF(E289=0,0,L289/E289)</f>
        <v>0.58974358974359</v>
      </c>
      <c r="S289" s="8" t="n">
        <f aca="false">R289+Q289</f>
        <v>0.930652680652681</v>
      </c>
      <c r="T289" s="8" t="n">
        <f aca="false">R289-P289</f>
        <v>0.333333333333333</v>
      </c>
    </row>
    <row r="290" customFormat="false" ht="14.25" hidden="false" customHeight="true" outlineLevel="0" collapsed="false">
      <c r="A290" s="6" t="n">
        <v>2025</v>
      </c>
      <c r="B290" s="6" t="s">
        <v>147</v>
      </c>
      <c r="C290" s="6" t="s">
        <v>152</v>
      </c>
      <c r="D290" s="7" t="n">
        <v>10</v>
      </c>
      <c r="E290" s="7" t="n">
        <v>26</v>
      </c>
      <c r="F290" s="7" t="n">
        <v>1</v>
      </c>
      <c r="G290" s="7" t="n">
        <v>6</v>
      </c>
      <c r="H290" s="7" t="n">
        <v>1</v>
      </c>
      <c r="I290" s="7" t="n">
        <v>0</v>
      </c>
      <c r="J290" s="7" t="n">
        <v>0</v>
      </c>
      <c r="K290" s="7" t="n">
        <v>1</v>
      </c>
      <c r="L290" s="7" t="n">
        <v>7</v>
      </c>
      <c r="M290" s="7" t="n">
        <v>5</v>
      </c>
      <c r="N290" s="7" t="n">
        <v>2</v>
      </c>
      <c r="O290" s="7" t="n">
        <v>0</v>
      </c>
      <c r="P290" s="8" t="n">
        <f aca="false">IF(E290=0,0,G290/E290)</f>
        <v>0.230769230769231</v>
      </c>
      <c r="Q290" s="8" t="n">
        <f aca="false">IF(E290+N290=0,0,(G290+N290)/(E290+N290))</f>
        <v>0.285714285714286</v>
      </c>
      <c r="R290" s="8" t="n">
        <f aca="false">IF(E290=0,0,L290/E290)</f>
        <v>0.269230769230769</v>
      </c>
      <c r="S290" s="8" t="n">
        <f aca="false">R290+Q290</f>
        <v>0.554945054945055</v>
      </c>
      <c r="T290" s="8" t="n">
        <f aca="false">R290-P290</f>
        <v>0.0384615384615384</v>
      </c>
    </row>
    <row r="291" customFormat="false" ht="14.25" hidden="false" customHeight="true" outlineLevel="0" collapsed="false">
      <c r="A291" s="6" t="n">
        <v>2025</v>
      </c>
      <c r="B291" s="6" t="s">
        <v>147</v>
      </c>
      <c r="C291" s="6" t="s">
        <v>161</v>
      </c>
      <c r="D291" s="7" t="n">
        <v>9</v>
      </c>
      <c r="E291" s="7" t="n">
        <v>25</v>
      </c>
      <c r="F291" s="7" t="n">
        <v>3</v>
      </c>
      <c r="G291" s="7" t="n">
        <v>5</v>
      </c>
      <c r="H291" s="7" t="n">
        <v>0</v>
      </c>
      <c r="I291" s="7" t="n">
        <v>0</v>
      </c>
      <c r="J291" s="7" t="n">
        <v>0</v>
      </c>
      <c r="K291" s="7" t="n">
        <v>0</v>
      </c>
      <c r="L291" s="7" t="n">
        <v>5</v>
      </c>
      <c r="M291" s="7" t="n">
        <v>1</v>
      </c>
      <c r="N291" s="7" t="n">
        <v>0</v>
      </c>
      <c r="O291" s="7" t="n">
        <v>0</v>
      </c>
      <c r="P291" s="8" t="n">
        <f aca="false">IF(E291=0,0,G291/E291)</f>
        <v>0.2</v>
      </c>
      <c r="Q291" s="8" t="n">
        <f aca="false">IF(E291+N291=0,0,(G291+N291)/(E291+N291))</f>
        <v>0.2</v>
      </c>
      <c r="R291" s="8" t="n">
        <f aca="false">IF(E291=0,0,L291/E291)</f>
        <v>0.2</v>
      </c>
      <c r="S291" s="8" t="n">
        <f aca="false">R291+Q291</f>
        <v>0.4</v>
      </c>
      <c r="T291" s="8" t="n">
        <f aca="false">R291-P291</f>
        <v>0</v>
      </c>
    </row>
    <row r="292" customFormat="false" ht="14.25" hidden="false" customHeight="true" outlineLevel="0" collapsed="false">
      <c r="A292" s="6" t="n">
        <v>2025</v>
      </c>
      <c r="B292" s="6" t="s">
        <v>147</v>
      </c>
      <c r="C292" s="6" t="s">
        <v>162</v>
      </c>
      <c r="D292" s="7" t="n">
        <v>9</v>
      </c>
      <c r="E292" s="7" t="n">
        <v>20</v>
      </c>
      <c r="F292" s="7" t="n">
        <v>1</v>
      </c>
      <c r="G292" s="7" t="n">
        <v>3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3</v>
      </c>
      <c r="M292" s="7" t="n">
        <v>3</v>
      </c>
      <c r="N292" s="7" t="n">
        <v>1</v>
      </c>
      <c r="O292" s="7" t="n">
        <v>2</v>
      </c>
      <c r="P292" s="8" t="n">
        <f aca="false">IF(E292=0,0,G292/E292)</f>
        <v>0.15</v>
      </c>
      <c r="Q292" s="8" t="n">
        <f aca="false">IF(E292+N292=0,0,(G292+N292)/(E292+N292))</f>
        <v>0.19047619047619</v>
      </c>
      <c r="R292" s="8" t="n">
        <f aca="false">IF(E292=0,0,L292/E292)</f>
        <v>0.15</v>
      </c>
      <c r="S292" s="8" t="n">
        <f aca="false">R292+Q292</f>
        <v>0.340476190476191</v>
      </c>
      <c r="T292" s="8" t="n">
        <f aca="false">R292-P292</f>
        <v>0</v>
      </c>
    </row>
    <row r="293" customFormat="false" ht="14.25" hidden="false" customHeight="true" outlineLevel="0" collapsed="false">
      <c r="A293" s="6" t="n">
        <v>2025</v>
      </c>
      <c r="B293" s="6" t="s">
        <v>147</v>
      </c>
      <c r="C293" s="6" t="s">
        <v>157</v>
      </c>
      <c r="D293" s="7" t="n">
        <v>6</v>
      </c>
      <c r="E293" s="7" t="n">
        <v>9</v>
      </c>
      <c r="F293" s="7" t="n">
        <v>1</v>
      </c>
      <c r="G293" s="7" t="n">
        <v>2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2</v>
      </c>
      <c r="M293" s="7" t="n">
        <v>1</v>
      </c>
      <c r="N293" s="7" t="n">
        <v>0</v>
      </c>
      <c r="O293" s="7" t="n">
        <v>0</v>
      </c>
      <c r="P293" s="8" t="n">
        <f aca="false">IF(E293=0,0,G293/E293)</f>
        <v>0.222222222222222</v>
      </c>
      <c r="Q293" s="8" t="n">
        <f aca="false">IF(E293+N293=0,0,(G293+N293)/(E293+N293))</f>
        <v>0.222222222222222</v>
      </c>
      <c r="R293" s="8" t="n">
        <f aca="false">IF(E293=0,0,L293/E293)</f>
        <v>0.222222222222222</v>
      </c>
      <c r="S293" s="8" t="n">
        <f aca="false">R293+Q293</f>
        <v>0.444444444444444</v>
      </c>
      <c r="T293" s="8" t="n">
        <f aca="false">R293-P293</f>
        <v>0</v>
      </c>
    </row>
    <row r="294" customFormat="false" ht="14.25" hidden="false" customHeight="true" outlineLevel="0" collapsed="false">
      <c r="A294" s="6" t="n">
        <v>2025</v>
      </c>
      <c r="B294" s="6" t="s">
        <v>147</v>
      </c>
      <c r="C294" s="6" t="s">
        <v>159</v>
      </c>
      <c r="D294" s="7" t="n">
        <v>6</v>
      </c>
      <c r="E294" s="7" t="n">
        <v>11</v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0</v>
      </c>
      <c r="N294" s="7" t="n">
        <v>0</v>
      </c>
      <c r="O294" s="7" t="n">
        <v>0</v>
      </c>
      <c r="P294" s="8" t="n">
        <f aca="false">IF(E294=0,0,G294/E294)</f>
        <v>0</v>
      </c>
      <c r="Q294" s="8" t="n">
        <f aca="false">IF(E294+N294=0,0,(G294+N294)/(E294+N294))</f>
        <v>0</v>
      </c>
      <c r="R294" s="8" t="n">
        <f aca="false">IF(E294=0,0,L294/E294)</f>
        <v>0</v>
      </c>
      <c r="S294" s="8" t="n">
        <f aca="false">R294+Q294</f>
        <v>0</v>
      </c>
      <c r="T294" s="8" t="n">
        <f aca="false">R294-P294</f>
        <v>0</v>
      </c>
    </row>
    <row r="295" customFormat="false" ht="14.25" hidden="false" customHeight="true" outlineLevel="0" collapsed="false">
      <c r="A295" s="6" t="n">
        <v>2025</v>
      </c>
      <c r="B295" s="6" t="s">
        <v>147</v>
      </c>
      <c r="C295" s="6" t="s">
        <v>163</v>
      </c>
      <c r="D295" s="7" t="n">
        <v>1</v>
      </c>
      <c r="E295" s="7" t="n">
        <v>3</v>
      </c>
      <c r="F295" s="7" t="n">
        <v>0</v>
      </c>
      <c r="G295" s="7" t="n">
        <v>0</v>
      </c>
      <c r="H295" s="7" t="n">
        <v>0</v>
      </c>
      <c r="I295" s="7" t="n">
        <v>0</v>
      </c>
      <c r="J295" s="7" t="n">
        <v>0</v>
      </c>
      <c r="K295" s="7" t="n">
        <v>0</v>
      </c>
      <c r="L295" s="7" t="n">
        <v>0</v>
      </c>
      <c r="M295" s="7" t="n">
        <v>0</v>
      </c>
      <c r="N295" s="7" t="n">
        <v>0</v>
      </c>
      <c r="O295" s="7" t="n">
        <v>0</v>
      </c>
      <c r="P295" s="8" t="n">
        <f aca="false">IF(E295=0,0,G295/E295)</f>
        <v>0</v>
      </c>
      <c r="Q295" s="8" t="n">
        <f aca="false">IF(E295+N295=0,0,(G295+N295)/(E295+N295))</f>
        <v>0</v>
      </c>
      <c r="R295" s="8" t="n">
        <f aca="false">IF(E295=0,0,L295/E295)</f>
        <v>0</v>
      </c>
      <c r="S295" s="8" t="n">
        <f aca="false">R295+Q295</f>
        <v>0</v>
      </c>
      <c r="T295" s="8" t="n">
        <f aca="false">R295-P295</f>
        <v>0</v>
      </c>
    </row>
    <row r="296" customFormat="false" ht="14.25" hidden="false" customHeight="true" outlineLevel="0" collapsed="false">
      <c r="A296" s="6" t="n">
        <v>2025</v>
      </c>
      <c r="B296" s="6" t="s">
        <v>147</v>
      </c>
      <c r="C296" s="6" t="s">
        <v>165</v>
      </c>
      <c r="D296" s="7" t="n">
        <v>1</v>
      </c>
      <c r="E296" s="7" t="n">
        <v>3</v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7" t="n">
        <v>0</v>
      </c>
      <c r="L296" s="7" t="n">
        <v>0</v>
      </c>
      <c r="M296" s="7" t="n">
        <v>0</v>
      </c>
      <c r="N296" s="7" t="n">
        <v>0</v>
      </c>
      <c r="O296" s="7" t="n">
        <v>0</v>
      </c>
      <c r="P296" s="8" t="n">
        <f aca="false">IF(E296=0,0,G296/E296)</f>
        <v>0</v>
      </c>
      <c r="Q296" s="8" t="n">
        <f aca="false">IF(E296+N296=0,0,(G296+N296)/(E296+N296))</f>
        <v>0</v>
      </c>
      <c r="R296" s="8" t="n">
        <f aca="false">IF(E296=0,0,L296/E296)</f>
        <v>0</v>
      </c>
      <c r="S296" s="8" t="n">
        <f aca="false">R296+Q296</f>
        <v>0</v>
      </c>
      <c r="T296" s="8" t="n">
        <f aca="false">R296-P296</f>
        <v>0</v>
      </c>
    </row>
    <row r="297" customFormat="false" ht="14.25" hidden="false" customHeight="true" outlineLevel="0" collapsed="false">
      <c r="A297" s="6" t="n">
        <v>2025</v>
      </c>
      <c r="B297" s="6" t="s">
        <v>147</v>
      </c>
      <c r="C297" s="6" t="s">
        <v>160</v>
      </c>
      <c r="D297" s="7" t="n">
        <v>1</v>
      </c>
      <c r="E297" s="7" t="n">
        <v>1</v>
      </c>
      <c r="F297" s="7" t="n">
        <v>0</v>
      </c>
      <c r="G297" s="7" t="n">
        <v>0</v>
      </c>
      <c r="H297" s="7" t="n">
        <v>0</v>
      </c>
      <c r="I297" s="7" t="n">
        <v>0</v>
      </c>
      <c r="J297" s="7" t="n">
        <v>0</v>
      </c>
      <c r="K297" s="7" t="n">
        <v>0</v>
      </c>
      <c r="L297" s="7" t="n">
        <v>0</v>
      </c>
      <c r="M297" s="7" t="n">
        <v>0</v>
      </c>
      <c r="N297" s="7" t="n">
        <v>0</v>
      </c>
      <c r="O297" s="7" t="n">
        <v>0</v>
      </c>
      <c r="P297" s="8" t="n">
        <f aca="false">IF(E297=0,0,G297/E297)</f>
        <v>0</v>
      </c>
      <c r="Q297" s="8" t="n">
        <f aca="false">IF(E297+N297=0,0,(G297+N297)/(E297+N297))</f>
        <v>0</v>
      </c>
      <c r="R297" s="8" t="n">
        <f aca="false">IF(E297=0,0,L297/E297)</f>
        <v>0</v>
      </c>
      <c r="S297" s="8" t="n">
        <f aca="false">R297+Q297</f>
        <v>0</v>
      </c>
      <c r="T297" s="8" t="n">
        <f aca="false">R297-P297</f>
        <v>0</v>
      </c>
    </row>
    <row r="298" customFormat="false" ht="14.25" hidden="false" customHeight="true" outlineLevel="0" collapsed="false">
      <c r="A298" s="6" t="n">
        <v>2025</v>
      </c>
      <c r="B298" s="6" t="s">
        <v>166</v>
      </c>
      <c r="C298" s="6" t="s">
        <v>168</v>
      </c>
      <c r="D298" s="7" t="n">
        <v>12</v>
      </c>
      <c r="E298" s="7" t="n">
        <v>35</v>
      </c>
      <c r="F298" s="7" t="n">
        <v>8</v>
      </c>
      <c r="G298" s="7" t="n">
        <v>13</v>
      </c>
      <c r="H298" s="7" t="n">
        <v>2</v>
      </c>
      <c r="I298" s="7" t="n">
        <v>0</v>
      </c>
      <c r="J298" s="7" t="n">
        <v>6</v>
      </c>
      <c r="K298" s="7" t="n">
        <v>8</v>
      </c>
      <c r="L298" s="7" t="n">
        <v>33</v>
      </c>
      <c r="M298" s="7" t="n">
        <v>11</v>
      </c>
      <c r="N298" s="7" t="n">
        <v>2</v>
      </c>
      <c r="O298" s="7" t="n">
        <v>1</v>
      </c>
      <c r="P298" s="8" t="n">
        <f aca="false">IF(E298=0,0,G298/E298)</f>
        <v>0.371428571428571</v>
      </c>
      <c r="Q298" s="8" t="n">
        <f aca="false">IF(E298+N298=0,0,(G298+N298)/(E298+N298))</f>
        <v>0.405405405405405</v>
      </c>
      <c r="R298" s="8" t="n">
        <f aca="false">IF(E298=0,0,L298/E298)</f>
        <v>0.942857142857143</v>
      </c>
      <c r="S298" s="8" t="n">
        <f aca="false">R298+Q298</f>
        <v>1.34826254826255</v>
      </c>
      <c r="T298" s="8" t="n">
        <f aca="false">R298-P298</f>
        <v>0.571428571428571</v>
      </c>
    </row>
    <row r="299" customFormat="false" ht="14.25" hidden="false" customHeight="true" outlineLevel="0" collapsed="false">
      <c r="A299" s="6" t="n">
        <v>2025</v>
      </c>
      <c r="B299" s="6" t="s">
        <v>166</v>
      </c>
      <c r="C299" s="6" t="s">
        <v>178</v>
      </c>
      <c r="D299" s="7" t="n">
        <v>12</v>
      </c>
      <c r="E299" s="7" t="n">
        <v>34</v>
      </c>
      <c r="F299" s="7" t="n">
        <v>4</v>
      </c>
      <c r="G299" s="7" t="n">
        <v>10</v>
      </c>
      <c r="H299" s="7" t="n">
        <v>1</v>
      </c>
      <c r="I299" s="7" t="n">
        <v>0</v>
      </c>
      <c r="J299" s="7" t="n">
        <v>2</v>
      </c>
      <c r="K299" s="7" t="n">
        <v>3</v>
      </c>
      <c r="L299" s="7" t="n">
        <v>17</v>
      </c>
      <c r="M299" s="7" t="n">
        <v>7</v>
      </c>
      <c r="N299" s="7" t="n">
        <v>4</v>
      </c>
      <c r="O299" s="7" t="n">
        <v>1</v>
      </c>
      <c r="P299" s="8" t="n">
        <f aca="false">IF(E299=0,0,G299/E299)</f>
        <v>0.294117647058824</v>
      </c>
      <c r="Q299" s="8" t="n">
        <f aca="false">IF(E299+N299=0,0,(G299+N299)/(E299+N299))</f>
        <v>0.368421052631579</v>
      </c>
      <c r="R299" s="8" t="n">
        <f aca="false">IF(E299=0,0,L299/E299)</f>
        <v>0.5</v>
      </c>
      <c r="S299" s="8" t="n">
        <f aca="false">R299+Q299</f>
        <v>0.868421052631579</v>
      </c>
      <c r="T299" s="8" t="n">
        <f aca="false">R299-P299</f>
        <v>0.205882352941176</v>
      </c>
    </row>
    <row r="300" customFormat="false" ht="14.25" hidden="false" customHeight="true" outlineLevel="0" collapsed="false">
      <c r="A300" s="6" t="n">
        <v>2025</v>
      </c>
      <c r="B300" s="6" t="s">
        <v>166</v>
      </c>
      <c r="C300" s="6" t="s">
        <v>170</v>
      </c>
      <c r="D300" s="7" t="n">
        <v>11</v>
      </c>
      <c r="E300" s="7" t="n">
        <v>29</v>
      </c>
      <c r="F300" s="7" t="n">
        <v>2</v>
      </c>
      <c r="G300" s="7" t="n">
        <v>10</v>
      </c>
      <c r="H300" s="7" t="n">
        <v>1</v>
      </c>
      <c r="I300" s="7" t="n">
        <v>0</v>
      </c>
      <c r="J300" s="7" t="n">
        <v>1</v>
      </c>
      <c r="K300" s="7" t="n">
        <v>2</v>
      </c>
      <c r="L300" s="7" t="n">
        <v>14</v>
      </c>
      <c r="M300" s="7" t="n">
        <v>1</v>
      </c>
      <c r="N300" s="7" t="n">
        <v>3</v>
      </c>
      <c r="O300" s="7" t="n">
        <v>1</v>
      </c>
      <c r="P300" s="8" t="n">
        <f aca="false">IF(E300=0,0,G300/E300)</f>
        <v>0.344827586206897</v>
      </c>
      <c r="Q300" s="8" t="n">
        <f aca="false">IF(E300+N300=0,0,(G300+N300)/(E300+N300))</f>
        <v>0.40625</v>
      </c>
      <c r="R300" s="8" t="n">
        <f aca="false">IF(E300=0,0,L300/E300)</f>
        <v>0.482758620689655</v>
      </c>
      <c r="S300" s="8" t="n">
        <f aca="false">R300+Q300</f>
        <v>0.889008620689655</v>
      </c>
      <c r="T300" s="8" t="n">
        <f aca="false">R300-P300</f>
        <v>0.137931034482759</v>
      </c>
    </row>
    <row r="301" customFormat="false" ht="14.25" hidden="false" customHeight="true" outlineLevel="0" collapsed="false">
      <c r="A301" s="6" t="n">
        <v>2025</v>
      </c>
      <c r="B301" s="6" t="s">
        <v>166</v>
      </c>
      <c r="C301" s="6" t="s">
        <v>175</v>
      </c>
      <c r="D301" s="7" t="n">
        <v>6</v>
      </c>
      <c r="E301" s="7" t="n">
        <v>18</v>
      </c>
      <c r="F301" s="7" t="n">
        <v>4</v>
      </c>
      <c r="G301" s="7" t="n">
        <v>8</v>
      </c>
      <c r="H301" s="7" t="n">
        <v>0</v>
      </c>
      <c r="I301" s="7" t="n">
        <v>0</v>
      </c>
      <c r="J301" s="7" t="n">
        <v>3</v>
      </c>
      <c r="K301" s="7" t="n">
        <v>3</v>
      </c>
      <c r="L301" s="7" t="n">
        <v>17</v>
      </c>
      <c r="M301" s="7" t="n">
        <v>5</v>
      </c>
      <c r="N301" s="7" t="n">
        <v>1</v>
      </c>
      <c r="O301" s="7" t="n">
        <v>0</v>
      </c>
      <c r="P301" s="8" t="n">
        <f aca="false">IF(E301=0,0,G301/E301)</f>
        <v>0.444444444444444</v>
      </c>
      <c r="Q301" s="8" t="n">
        <f aca="false">IF(E301+N301=0,0,(G301+N301)/(E301+N301))</f>
        <v>0.473684210526316</v>
      </c>
      <c r="R301" s="8" t="n">
        <f aca="false">IF(E301=0,0,L301/E301)</f>
        <v>0.944444444444444</v>
      </c>
      <c r="S301" s="8" t="n">
        <f aca="false">R301+Q301</f>
        <v>1.41812865497076</v>
      </c>
      <c r="T301" s="8" t="n">
        <f aca="false">R301-P301</f>
        <v>0.5</v>
      </c>
    </row>
    <row r="302" customFormat="false" ht="14.25" hidden="false" customHeight="true" outlineLevel="0" collapsed="false">
      <c r="A302" s="6" t="n">
        <v>2025</v>
      </c>
      <c r="B302" s="6" t="s">
        <v>166</v>
      </c>
      <c r="C302" s="6" t="s">
        <v>172</v>
      </c>
      <c r="D302" s="7" t="n">
        <v>9</v>
      </c>
      <c r="E302" s="7" t="n">
        <v>23</v>
      </c>
      <c r="F302" s="7" t="n">
        <v>3</v>
      </c>
      <c r="G302" s="7" t="n">
        <v>8</v>
      </c>
      <c r="H302" s="7" t="n">
        <v>2</v>
      </c>
      <c r="I302" s="7" t="n">
        <v>0</v>
      </c>
      <c r="J302" s="7" t="n">
        <v>1</v>
      </c>
      <c r="K302" s="7" t="n">
        <v>3</v>
      </c>
      <c r="L302" s="7" t="n">
        <v>13</v>
      </c>
      <c r="M302" s="7" t="n">
        <v>4</v>
      </c>
      <c r="N302" s="7" t="n">
        <v>1</v>
      </c>
      <c r="O302" s="7" t="n">
        <v>0</v>
      </c>
      <c r="P302" s="8" t="n">
        <f aca="false">IF(E302=0,0,G302/E302)</f>
        <v>0.347826086956522</v>
      </c>
      <c r="Q302" s="8" t="n">
        <f aca="false">IF(E302+N302=0,0,(G302+N302)/(E302+N302))</f>
        <v>0.375</v>
      </c>
      <c r="R302" s="8" t="n">
        <f aca="false">IF(E302=0,0,L302/E302)</f>
        <v>0.565217391304348</v>
      </c>
      <c r="S302" s="8" t="n">
        <f aca="false">R302+Q302</f>
        <v>0.940217391304348</v>
      </c>
      <c r="T302" s="8" t="n">
        <f aca="false">R302-P302</f>
        <v>0.217391304347826</v>
      </c>
    </row>
    <row r="303" customFormat="false" ht="14.25" hidden="false" customHeight="true" outlineLevel="0" collapsed="false">
      <c r="A303" s="6" t="n">
        <v>2025</v>
      </c>
      <c r="B303" s="6" t="s">
        <v>166</v>
      </c>
      <c r="C303" s="6" t="s">
        <v>177</v>
      </c>
      <c r="D303" s="7" t="n">
        <v>12</v>
      </c>
      <c r="E303" s="7" t="n">
        <v>29</v>
      </c>
      <c r="F303" s="7" t="n">
        <v>1</v>
      </c>
      <c r="G303" s="7" t="n">
        <v>6</v>
      </c>
      <c r="H303" s="7" t="n">
        <v>1</v>
      </c>
      <c r="I303" s="7" t="n">
        <v>0</v>
      </c>
      <c r="J303" s="7" t="n">
        <v>0</v>
      </c>
      <c r="K303" s="7" t="n">
        <v>1</v>
      </c>
      <c r="L303" s="7" t="n">
        <v>7</v>
      </c>
      <c r="M303" s="7" t="n">
        <v>0</v>
      </c>
      <c r="N303" s="7" t="n">
        <v>2</v>
      </c>
      <c r="O303" s="7" t="n">
        <v>2</v>
      </c>
      <c r="P303" s="8" t="n">
        <f aca="false">IF(E303=0,0,G303/E303)</f>
        <v>0.206896551724138</v>
      </c>
      <c r="Q303" s="8" t="n">
        <f aca="false">IF(E303+N303=0,0,(G303+N303)/(E303+N303))</f>
        <v>0.258064516129032</v>
      </c>
      <c r="R303" s="8" t="n">
        <f aca="false">IF(E303=0,0,L303/E303)</f>
        <v>0.241379310344828</v>
      </c>
      <c r="S303" s="8" t="n">
        <f aca="false">R303+Q303</f>
        <v>0.49944382647386</v>
      </c>
      <c r="T303" s="8" t="n">
        <f aca="false">R303-P303</f>
        <v>0.0344827586206897</v>
      </c>
    </row>
    <row r="304" customFormat="false" ht="14.25" hidden="false" customHeight="true" outlineLevel="0" collapsed="false">
      <c r="A304" s="6" t="n">
        <v>2025</v>
      </c>
      <c r="B304" s="6" t="s">
        <v>166</v>
      </c>
      <c r="C304" s="6" t="s">
        <v>167</v>
      </c>
      <c r="D304" s="7" t="n">
        <v>11</v>
      </c>
      <c r="E304" s="7" t="n">
        <v>31</v>
      </c>
      <c r="F304" s="7" t="n">
        <v>3</v>
      </c>
      <c r="G304" s="7" t="n">
        <v>5</v>
      </c>
      <c r="H304" s="7" t="n">
        <v>1</v>
      </c>
      <c r="I304" s="7" t="n">
        <v>0</v>
      </c>
      <c r="J304" s="7" t="n">
        <v>1</v>
      </c>
      <c r="K304" s="7" t="n">
        <v>2</v>
      </c>
      <c r="L304" s="7" t="n">
        <v>9</v>
      </c>
      <c r="M304" s="7" t="n">
        <v>2</v>
      </c>
      <c r="N304" s="7" t="n">
        <v>2</v>
      </c>
      <c r="O304" s="7" t="n">
        <v>2</v>
      </c>
      <c r="P304" s="8" t="n">
        <f aca="false">IF(E304=0,0,G304/E304)</f>
        <v>0.161290322580645</v>
      </c>
      <c r="Q304" s="8" t="n">
        <f aca="false">IF(E304+N304=0,0,(G304+N304)/(E304+N304))</f>
        <v>0.212121212121212</v>
      </c>
      <c r="R304" s="8" t="n">
        <f aca="false">IF(E304=0,0,L304/E304)</f>
        <v>0.290322580645161</v>
      </c>
      <c r="S304" s="8" t="n">
        <f aca="false">R304+Q304</f>
        <v>0.502443792766373</v>
      </c>
      <c r="T304" s="8" t="n">
        <f aca="false">R304-P304</f>
        <v>0.129032258064516</v>
      </c>
    </row>
    <row r="305" customFormat="false" ht="14.25" hidden="false" customHeight="true" outlineLevel="0" collapsed="false">
      <c r="A305" s="6" t="n">
        <v>2025</v>
      </c>
      <c r="B305" s="6" t="s">
        <v>166</v>
      </c>
      <c r="C305" s="6" t="s">
        <v>182</v>
      </c>
      <c r="D305" s="7" t="n">
        <v>9</v>
      </c>
      <c r="E305" s="7" t="n">
        <v>24</v>
      </c>
      <c r="F305" s="7" t="n">
        <v>1</v>
      </c>
      <c r="G305" s="7" t="n">
        <v>5</v>
      </c>
      <c r="H305" s="7" t="n">
        <v>4</v>
      </c>
      <c r="I305" s="7" t="n">
        <v>0</v>
      </c>
      <c r="J305" s="7" t="n">
        <v>0</v>
      </c>
      <c r="K305" s="7" t="n">
        <v>4</v>
      </c>
      <c r="L305" s="7" t="n">
        <v>9</v>
      </c>
      <c r="M305" s="7" t="n">
        <v>1</v>
      </c>
      <c r="N305" s="7" t="n">
        <v>2</v>
      </c>
      <c r="O305" s="7" t="n">
        <v>2</v>
      </c>
      <c r="P305" s="8" t="n">
        <f aca="false">IF(E305=0,0,G305/E305)</f>
        <v>0.208333333333333</v>
      </c>
      <c r="Q305" s="8" t="n">
        <f aca="false">IF(E305+N305=0,0,(G305+N305)/(E305+N305))</f>
        <v>0.269230769230769</v>
      </c>
      <c r="R305" s="8" t="n">
        <f aca="false">IF(E305=0,0,L305/E305)</f>
        <v>0.375</v>
      </c>
      <c r="S305" s="8" t="n">
        <f aca="false">R305+Q305</f>
        <v>0.644230769230769</v>
      </c>
      <c r="T305" s="8" t="n">
        <f aca="false">R305-P305</f>
        <v>0.166666666666667</v>
      </c>
    </row>
    <row r="306" customFormat="false" ht="14.25" hidden="false" customHeight="true" outlineLevel="0" collapsed="false">
      <c r="A306" s="6" t="n">
        <v>2025</v>
      </c>
      <c r="B306" s="6" t="s">
        <v>166</v>
      </c>
      <c r="C306" s="6" t="s">
        <v>176</v>
      </c>
      <c r="D306" s="7" t="n">
        <v>8</v>
      </c>
      <c r="E306" s="7" t="n">
        <v>18</v>
      </c>
      <c r="F306" s="7" t="n">
        <v>1</v>
      </c>
      <c r="G306" s="7" t="n">
        <v>5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5</v>
      </c>
      <c r="M306" s="7" t="n">
        <v>0</v>
      </c>
      <c r="N306" s="7" t="n">
        <v>1</v>
      </c>
      <c r="O306" s="7" t="n">
        <v>2</v>
      </c>
      <c r="P306" s="8" t="n">
        <f aca="false">IF(E306=0,0,G306/E306)</f>
        <v>0.277777777777778</v>
      </c>
      <c r="Q306" s="8" t="n">
        <f aca="false">IF(E306+N306=0,0,(G306+N306)/(E306+N306))</f>
        <v>0.315789473684211</v>
      </c>
      <c r="R306" s="8" t="n">
        <f aca="false">IF(E306=0,0,L306/E306)</f>
        <v>0.277777777777778</v>
      </c>
      <c r="S306" s="8" t="n">
        <f aca="false">R306+Q306</f>
        <v>0.593567251461988</v>
      </c>
      <c r="T306" s="8" t="n">
        <f aca="false">R306-P306</f>
        <v>0</v>
      </c>
    </row>
    <row r="307" customFormat="false" ht="14.25" hidden="false" customHeight="true" outlineLevel="0" collapsed="false">
      <c r="A307" s="6" t="n">
        <v>2025</v>
      </c>
      <c r="B307" s="6" t="s">
        <v>166</v>
      </c>
      <c r="C307" s="6" t="s">
        <v>171</v>
      </c>
      <c r="D307" s="7" t="n">
        <v>6</v>
      </c>
      <c r="E307" s="7" t="n">
        <v>14</v>
      </c>
      <c r="F307" s="7" t="n">
        <v>1</v>
      </c>
      <c r="G307" s="7" t="n">
        <v>4</v>
      </c>
      <c r="H307" s="7" t="n">
        <v>1</v>
      </c>
      <c r="I307" s="7" t="n">
        <v>0</v>
      </c>
      <c r="J307" s="7" t="n">
        <v>0</v>
      </c>
      <c r="K307" s="7" t="n">
        <v>1</v>
      </c>
      <c r="L307" s="7" t="n">
        <v>5</v>
      </c>
      <c r="M307" s="7" t="n">
        <v>1</v>
      </c>
      <c r="N307" s="7" t="n">
        <v>1</v>
      </c>
      <c r="O307" s="7" t="n">
        <v>2</v>
      </c>
      <c r="P307" s="8" t="n">
        <f aca="false">IF(E307=0,0,G307/E307)</f>
        <v>0.285714285714286</v>
      </c>
      <c r="Q307" s="8" t="n">
        <f aca="false">IF(E307+N307=0,0,(G307+N307)/(E307+N307))</f>
        <v>0.333333333333333</v>
      </c>
      <c r="R307" s="8" t="n">
        <f aca="false">IF(E307=0,0,L307/E307)</f>
        <v>0.357142857142857</v>
      </c>
      <c r="S307" s="8" t="n">
        <f aca="false">R307+Q307</f>
        <v>0.690476190476191</v>
      </c>
      <c r="T307" s="8" t="n">
        <f aca="false">R307-P307</f>
        <v>0.0714285714285715</v>
      </c>
    </row>
    <row r="308" customFormat="false" ht="14.25" hidden="false" customHeight="true" outlineLevel="0" collapsed="false">
      <c r="A308" s="6" t="n">
        <v>2025</v>
      </c>
      <c r="B308" s="6" t="s">
        <v>166</v>
      </c>
      <c r="C308" s="6" t="s">
        <v>179</v>
      </c>
      <c r="D308" s="7" t="n">
        <v>5</v>
      </c>
      <c r="E308" s="7" t="n">
        <v>12</v>
      </c>
      <c r="F308" s="7" t="n">
        <v>1</v>
      </c>
      <c r="G308" s="7" t="n">
        <v>3</v>
      </c>
      <c r="H308" s="7" t="n">
        <v>1</v>
      </c>
      <c r="I308" s="7" t="n">
        <v>0</v>
      </c>
      <c r="J308" s="7" t="n">
        <v>0</v>
      </c>
      <c r="K308" s="7" t="n">
        <v>1</v>
      </c>
      <c r="L308" s="7" t="n">
        <v>4</v>
      </c>
      <c r="M308" s="7" t="n">
        <v>1</v>
      </c>
      <c r="N308" s="7" t="n">
        <v>0</v>
      </c>
      <c r="O308" s="7" t="n">
        <v>0</v>
      </c>
      <c r="P308" s="8" t="n">
        <f aca="false">IF(E308=0,0,G308/E308)</f>
        <v>0.25</v>
      </c>
      <c r="Q308" s="8" t="n">
        <f aca="false">IF(E308+N308=0,0,(G308+N308)/(E308+N308))</f>
        <v>0.25</v>
      </c>
      <c r="R308" s="8" t="n">
        <f aca="false">IF(E308=0,0,L308/E308)</f>
        <v>0.333333333333333</v>
      </c>
      <c r="S308" s="8" t="n">
        <f aca="false">R308+Q308</f>
        <v>0.583333333333333</v>
      </c>
      <c r="T308" s="8" t="n">
        <f aca="false">R308-P308</f>
        <v>0.0833333333333333</v>
      </c>
    </row>
    <row r="309" customFormat="false" ht="14.25" hidden="false" customHeight="true" outlineLevel="0" collapsed="false">
      <c r="A309" s="6" t="n">
        <v>2025</v>
      </c>
      <c r="B309" s="6" t="s">
        <v>166</v>
      </c>
      <c r="C309" s="6" t="s">
        <v>174</v>
      </c>
      <c r="D309" s="7" t="n">
        <v>7</v>
      </c>
      <c r="E309" s="7" t="n">
        <v>10</v>
      </c>
      <c r="F309" s="7" t="n">
        <v>2</v>
      </c>
      <c r="G309" s="7" t="n">
        <v>2</v>
      </c>
      <c r="H309" s="7" t="n">
        <v>0</v>
      </c>
      <c r="I309" s="7" t="n">
        <v>0</v>
      </c>
      <c r="J309" s="7" t="n">
        <v>0</v>
      </c>
      <c r="K309" s="7" t="n">
        <v>0</v>
      </c>
      <c r="L309" s="7" t="n">
        <v>2</v>
      </c>
      <c r="M309" s="7" t="n">
        <v>1</v>
      </c>
      <c r="N309" s="7" t="n">
        <v>0</v>
      </c>
      <c r="O309" s="7" t="n">
        <v>0</v>
      </c>
      <c r="P309" s="8" t="n">
        <f aca="false">IF(E309=0,0,G309/E309)</f>
        <v>0.2</v>
      </c>
      <c r="Q309" s="8" t="n">
        <f aca="false">IF(E309+N309=0,0,(G309+N309)/(E309+N309))</f>
        <v>0.2</v>
      </c>
      <c r="R309" s="8" t="n">
        <f aca="false">IF(E309=0,0,L309/E309)</f>
        <v>0.2</v>
      </c>
      <c r="S309" s="8" t="n">
        <f aca="false">R309+Q309</f>
        <v>0.4</v>
      </c>
      <c r="T309" s="8" t="n">
        <f aca="false">R309-P309</f>
        <v>0</v>
      </c>
    </row>
    <row r="310" customFormat="false" ht="14.25" hidden="false" customHeight="true" outlineLevel="0" collapsed="false">
      <c r="A310" s="6" t="n">
        <v>2025</v>
      </c>
      <c r="B310" s="6" t="s">
        <v>166</v>
      </c>
      <c r="C310" s="6" t="s">
        <v>173</v>
      </c>
      <c r="D310" s="7" t="n">
        <v>5</v>
      </c>
      <c r="E310" s="7" t="n">
        <v>10</v>
      </c>
      <c r="F310" s="7" t="n">
        <v>0</v>
      </c>
      <c r="G310" s="7" t="n">
        <v>2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2</v>
      </c>
      <c r="M310" s="7" t="n">
        <v>0</v>
      </c>
      <c r="N310" s="7" t="n">
        <v>0</v>
      </c>
      <c r="O310" s="7" t="n">
        <v>0</v>
      </c>
      <c r="P310" s="8" t="n">
        <f aca="false">IF(E310=0,0,G310/E310)</f>
        <v>0.2</v>
      </c>
      <c r="Q310" s="8" t="n">
        <f aca="false">IF(E310+N310=0,0,(G310+N310)/(E310+N310))</f>
        <v>0.2</v>
      </c>
      <c r="R310" s="8" t="n">
        <f aca="false">IF(E310=0,0,L310/E310)</f>
        <v>0.2</v>
      </c>
      <c r="S310" s="8" t="n">
        <f aca="false">R310+Q310</f>
        <v>0.4</v>
      </c>
      <c r="T310" s="8" t="n">
        <f aca="false">R310-P310</f>
        <v>0</v>
      </c>
    </row>
    <row r="311" customFormat="false" ht="14.25" hidden="false" customHeight="true" outlineLevel="0" collapsed="false">
      <c r="A311" s="6" t="n">
        <v>2025</v>
      </c>
      <c r="B311" s="6" t="s">
        <v>166</v>
      </c>
      <c r="C311" s="6" t="s">
        <v>188</v>
      </c>
      <c r="D311" s="7" t="n">
        <v>2</v>
      </c>
      <c r="E311" s="7" t="n">
        <v>2</v>
      </c>
      <c r="F311" s="7" t="n">
        <v>1</v>
      </c>
      <c r="G311" s="7" t="n">
        <v>1</v>
      </c>
      <c r="H311" s="7" t="n">
        <v>0</v>
      </c>
      <c r="I311" s="7" t="n">
        <v>0</v>
      </c>
      <c r="J311" s="7" t="n">
        <v>0</v>
      </c>
      <c r="K311" s="7" t="n">
        <v>0</v>
      </c>
      <c r="L311" s="7" t="n">
        <v>1</v>
      </c>
      <c r="M311" s="7" t="n">
        <v>1</v>
      </c>
      <c r="N311" s="7" t="n">
        <v>0</v>
      </c>
      <c r="O311" s="7" t="n">
        <v>0</v>
      </c>
      <c r="P311" s="8" t="n">
        <f aca="false">IF(E311=0,0,G311/E311)</f>
        <v>0.5</v>
      </c>
      <c r="Q311" s="8" t="n">
        <f aca="false">IF(E311+N311=0,0,(G311+N311)/(E311+N311))</f>
        <v>0.5</v>
      </c>
      <c r="R311" s="8" t="n">
        <f aca="false">IF(E311=0,0,L311/E311)</f>
        <v>0.5</v>
      </c>
      <c r="S311" s="8" t="n">
        <f aca="false">R311+Q311</f>
        <v>1</v>
      </c>
      <c r="T311" s="8" t="n">
        <f aca="false">R311-P311</f>
        <v>0</v>
      </c>
    </row>
    <row r="312" customFormat="false" ht="14.25" hidden="false" customHeight="true" outlineLevel="0" collapsed="false">
      <c r="A312" s="6" t="n">
        <v>2025</v>
      </c>
      <c r="B312" s="6" t="s">
        <v>166</v>
      </c>
      <c r="C312" s="6" t="s">
        <v>191</v>
      </c>
      <c r="D312" s="7" t="n">
        <v>2</v>
      </c>
      <c r="E312" s="7" t="n">
        <v>4</v>
      </c>
      <c r="F312" s="7" t="n">
        <v>1</v>
      </c>
      <c r="G312" s="7" t="n">
        <v>1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1</v>
      </c>
      <c r="M312" s="7" t="n">
        <v>1</v>
      </c>
      <c r="N312" s="7" t="n">
        <v>0</v>
      </c>
      <c r="O312" s="7" t="n">
        <v>0</v>
      </c>
      <c r="P312" s="8" t="n">
        <f aca="false">IF(E312=0,0,G312/E312)</f>
        <v>0.25</v>
      </c>
      <c r="Q312" s="8" t="n">
        <f aca="false">IF(E312+N312=0,0,(G312+N312)/(E312+N312))</f>
        <v>0.25</v>
      </c>
      <c r="R312" s="8" t="n">
        <f aca="false">IF(E312=0,0,L312/E312)</f>
        <v>0.25</v>
      </c>
      <c r="S312" s="8" t="n">
        <f aca="false">R312+Q312</f>
        <v>0.5</v>
      </c>
      <c r="T312" s="8" t="n">
        <f aca="false">R312-P312</f>
        <v>0</v>
      </c>
    </row>
    <row r="313" customFormat="false" ht="14.25" hidden="false" customHeight="true" outlineLevel="0" collapsed="false">
      <c r="A313" s="6" t="n">
        <v>2025</v>
      </c>
      <c r="B313" s="6" t="s">
        <v>166</v>
      </c>
      <c r="C313" s="6" t="s">
        <v>183</v>
      </c>
      <c r="D313" s="7" t="n">
        <v>4</v>
      </c>
      <c r="E313" s="7" t="n">
        <v>8</v>
      </c>
      <c r="F313" s="7" t="n">
        <v>1</v>
      </c>
      <c r="G313" s="7" t="n">
        <v>1</v>
      </c>
      <c r="H313" s="7" t="n">
        <v>0</v>
      </c>
      <c r="I313" s="7" t="n">
        <v>0</v>
      </c>
      <c r="J313" s="7" t="n">
        <v>0</v>
      </c>
      <c r="K313" s="7" t="n">
        <v>0</v>
      </c>
      <c r="L313" s="7" t="n">
        <v>1</v>
      </c>
      <c r="M313" s="7" t="n">
        <v>0</v>
      </c>
      <c r="N313" s="7" t="n">
        <v>0</v>
      </c>
      <c r="O313" s="7" t="n">
        <v>1</v>
      </c>
      <c r="P313" s="8" t="n">
        <f aca="false">IF(E313=0,0,G313/E313)</f>
        <v>0.125</v>
      </c>
      <c r="Q313" s="8" t="n">
        <f aca="false">IF(E313+N313=0,0,(G313+N313)/(E313+N313))</f>
        <v>0.125</v>
      </c>
      <c r="R313" s="8" t="n">
        <f aca="false">IF(E313=0,0,L313/E313)</f>
        <v>0.125</v>
      </c>
      <c r="S313" s="8" t="n">
        <f aca="false">R313+Q313</f>
        <v>0.25</v>
      </c>
      <c r="T313" s="8" t="n">
        <f aca="false">R313-P313</f>
        <v>0</v>
      </c>
    </row>
    <row r="314" customFormat="false" ht="14.25" hidden="false" customHeight="true" outlineLevel="0" collapsed="false">
      <c r="A314" s="6" t="n">
        <v>2025</v>
      </c>
      <c r="B314" s="6" t="s">
        <v>166</v>
      </c>
      <c r="C314" s="6" t="s">
        <v>187</v>
      </c>
      <c r="D314" s="7" t="n">
        <v>2</v>
      </c>
      <c r="E314" s="7" t="n">
        <v>4</v>
      </c>
      <c r="F314" s="7" t="n">
        <v>2</v>
      </c>
      <c r="G314" s="7" t="n">
        <v>1</v>
      </c>
      <c r="H314" s="7" t="n">
        <v>0</v>
      </c>
      <c r="I314" s="7" t="n">
        <v>0</v>
      </c>
      <c r="J314" s="7" t="n">
        <v>0</v>
      </c>
      <c r="K314" s="7" t="n">
        <v>0</v>
      </c>
      <c r="L314" s="7" t="n">
        <v>1</v>
      </c>
      <c r="M314" s="7" t="n">
        <v>0</v>
      </c>
      <c r="N314" s="7" t="n">
        <v>2</v>
      </c>
      <c r="O314" s="7" t="n">
        <v>0</v>
      </c>
      <c r="P314" s="8" t="n">
        <f aca="false">IF(E314=0,0,G314/E314)</f>
        <v>0.25</v>
      </c>
      <c r="Q314" s="8" t="n">
        <f aca="false">IF(E314+N314=0,0,(G314+N314)/(E314+N314))</f>
        <v>0.5</v>
      </c>
      <c r="R314" s="8" t="n">
        <f aca="false">IF(E314=0,0,L314/E314)</f>
        <v>0.25</v>
      </c>
      <c r="S314" s="8" t="n">
        <f aca="false">R314+Q314</f>
        <v>0.75</v>
      </c>
      <c r="T314" s="8" t="n">
        <f aca="false">R314-P314</f>
        <v>0</v>
      </c>
    </row>
    <row r="315" customFormat="false" ht="14.25" hidden="false" customHeight="true" outlineLevel="0" collapsed="false">
      <c r="A315" s="6" t="n">
        <v>2025</v>
      </c>
      <c r="B315" s="6" t="s">
        <v>166</v>
      </c>
      <c r="C315" s="6" t="s">
        <v>181</v>
      </c>
      <c r="D315" s="7" t="n">
        <v>5</v>
      </c>
      <c r="E315" s="7" t="n">
        <v>9</v>
      </c>
      <c r="F315" s="7" t="n">
        <v>0</v>
      </c>
      <c r="G315" s="7" t="n">
        <v>1</v>
      </c>
      <c r="H315" s="7" t="n">
        <v>0</v>
      </c>
      <c r="I315" s="7" t="n">
        <v>0</v>
      </c>
      <c r="J315" s="7" t="n">
        <v>0</v>
      </c>
      <c r="K315" s="7" t="n">
        <v>0</v>
      </c>
      <c r="L315" s="7" t="n">
        <v>1</v>
      </c>
      <c r="M315" s="7" t="n">
        <v>0</v>
      </c>
      <c r="N315" s="7" t="n">
        <v>0</v>
      </c>
      <c r="O315" s="7" t="n">
        <v>0</v>
      </c>
      <c r="P315" s="8" t="n">
        <f aca="false">IF(E315=0,0,G315/E315)</f>
        <v>0.111111111111111</v>
      </c>
      <c r="Q315" s="8" t="n">
        <f aca="false">IF(E315+N315=0,0,(G315+N315)/(E315+N315))</f>
        <v>0.111111111111111</v>
      </c>
      <c r="R315" s="8" t="n">
        <f aca="false">IF(E315=0,0,L315/E315)</f>
        <v>0.111111111111111</v>
      </c>
      <c r="S315" s="8" t="n">
        <f aca="false">R315+Q315</f>
        <v>0.222222222222222</v>
      </c>
      <c r="T315" s="8" t="n">
        <f aca="false">R315-P315</f>
        <v>0</v>
      </c>
    </row>
    <row r="316" customFormat="false" ht="14.25" hidden="false" customHeight="true" outlineLevel="0" collapsed="false">
      <c r="A316" s="6" t="n">
        <v>2025</v>
      </c>
      <c r="B316" s="6" t="s">
        <v>166</v>
      </c>
      <c r="C316" s="6" t="s">
        <v>273</v>
      </c>
      <c r="D316" s="7" t="n">
        <v>3</v>
      </c>
      <c r="E316" s="7" t="n">
        <v>7</v>
      </c>
      <c r="F316" s="7" t="n">
        <v>1</v>
      </c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1</v>
      </c>
      <c r="P316" s="8" t="n">
        <f aca="false">IF(E316=0,0,G316/E316)</f>
        <v>0</v>
      </c>
      <c r="Q316" s="8" t="n">
        <f aca="false">IF(E316+N316=0,0,(G316+N316)/(E316+N316))</f>
        <v>0</v>
      </c>
      <c r="R316" s="8" t="n">
        <f aca="false">IF(E316=0,0,L316/E316)</f>
        <v>0</v>
      </c>
      <c r="S316" s="8" t="n">
        <f aca="false">R316+Q316</f>
        <v>0</v>
      </c>
      <c r="T316" s="8" t="n">
        <f aca="false">R316-P316</f>
        <v>0</v>
      </c>
    </row>
    <row r="317" customFormat="false" ht="14.25" hidden="false" customHeight="true" outlineLevel="0" collapsed="false">
      <c r="A317" s="6" t="n">
        <v>2025</v>
      </c>
      <c r="B317" s="6" t="s">
        <v>166</v>
      </c>
      <c r="C317" s="6" t="s">
        <v>274</v>
      </c>
      <c r="D317" s="7" t="n">
        <v>1</v>
      </c>
      <c r="E317" s="7" t="n">
        <v>2</v>
      </c>
      <c r="F317" s="7" t="n">
        <v>0</v>
      </c>
      <c r="G317" s="7" t="n">
        <v>0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0</v>
      </c>
      <c r="M317" s="7" t="n">
        <v>0</v>
      </c>
      <c r="N317" s="7" t="n">
        <v>0</v>
      </c>
      <c r="O317" s="7" t="n">
        <v>1</v>
      </c>
      <c r="P317" s="8" t="n">
        <f aca="false">IF(E317=0,0,G317/E317)</f>
        <v>0</v>
      </c>
      <c r="Q317" s="8" t="n">
        <f aca="false">IF(E317+N317=0,0,(G317+N317)/(E317+N317))</f>
        <v>0</v>
      </c>
      <c r="R317" s="8" t="n">
        <f aca="false">IF(E317=0,0,L317/E317)</f>
        <v>0</v>
      </c>
      <c r="S317" s="8" t="n">
        <f aca="false">R317+Q317</f>
        <v>0</v>
      </c>
      <c r="T317" s="8" t="n">
        <f aca="false">R317-P317</f>
        <v>0</v>
      </c>
    </row>
    <row r="318" customFormat="false" ht="14.25" hidden="false" customHeight="true" outlineLevel="0" collapsed="false">
      <c r="A318" s="6" t="n">
        <v>2025</v>
      </c>
      <c r="B318" s="6" t="s">
        <v>166</v>
      </c>
      <c r="C318" s="6" t="s">
        <v>275</v>
      </c>
      <c r="D318" s="7" t="n">
        <v>8</v>
      </c>
      <c r="E318" s="7" t="n">
        <v>10</v>
      </c>
      <c r="F318" s="7" t="n">
        <v>0</v>
      </c>
      <c r="G318" s="7" t="n">
        <v>0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1</v>
      </c>
      <c r="O318" s="7" t="n">
        <v>0</v>
      </c>
      <c r="P318" s="8" t="n">
        <f aca="false">IF(E318=0,0,G318/E318)</f>
        <v>0</v>
      </c>
      <c r="Q318" s="8" t="n">
        <f aca="false">IF(E318+N318=0,0,(G318+N318)/(E318+N318))</f>
        <v>0.0909090909090909</v>
      </c>
      <c r="R318" s="8" t="n">
        <f aca="false">IF(E318=0,0,L318/E318)</f>
        <v>0</v>
      </c>
      <c r="S318" s="8" t="n">
        <f aca="false">R318+Q318</f>
        <v>0.0909090909090909</v>
      </c>
      <c r="T318" s="8" t="n">
        <f aca="false">R318-P318</f>
        <v>0</v>
      </c>
    </row>
    <row r="319" customFormat="false" ht="14.25" hidden="false" customHeight="true" outlineLevel="0" collapsed="false">
      <c r="A319" s="6" t="n">
        <v>2025</v>
      </c>
      <c r="B319" s="6" t="s">
        <v>166</v>
      </c>
      <c r="C319" s="6" t="s">
        <v>276</v>
      </c>
      <c r="D319" s="7" t="n">
        <v>1</v>
      </c>
      <c r="E319" s="7" t="n">
        <v>3</v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0</v>
      </c>
      <c r="M319" s="7" t="n">
        <v>0</v>
      </c>
      <c r="N319" s="7" t="n">
        <v>0</v>
      </c>
      <c r="O319" s="7" t="n">
        <v>0</v>
      </c>
      <c r="P319" s="8" t="n">
        <f aca="false">IF(E319=0,0,G319/E319)</f>
        <v>0</v>
      </c>
      <c r="Q319" s="8" t="n">
        <f aca="false">IF(E319+N319=0,0,(G319+N319)/(E319+N319))</f>
        <v>0</v>
      </c>
      <c r="R319" s="8" t="n">
        <f aca="false">IF(E319=0,0,L319/E319)</f>
        <v>0</v>
      </c>
      <c r="S319" s="8" t="n">
        <f aca="false">R319+Q319</f>
        <v>0</v>
      </c>
      <c r="T319" s="8" t="n">
        <f aca="false">R319-P319</f>
        <v>0</v>
      </c>
    </row>
    <row r="320" customFormat="false" ht="14.25" hidden="false" customHeight="true" outlineLevel="0" collapsed="false">
      <c r="A320" s="6" t="n">
        <v>2025</v>
      </c>
      <c r="B320" s="6" t="s">
        <v>166</v>
      </c>
      <c r="C320" s="6" t="s">
        <v>189</v>
      </c>
      <c r="D320" s="7" t="n">
        <v>3</v>
      </c>
      <c r="E320" s="7" t="n">
        <v>7</v>
      </c>
      <c r="F320" s="7" t="n">
        <v>0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0</v>
      </c>
      <c r="O320" s="7" t="n">
        <v>0</v>
      </c>
      <c r="P320" s="8" t="n">
        <f aca="false">IF(E320=0,0,G320/E320)</f>
        <v>0</v>
      </c>
      <c r="Q320" s="8" t="n">
        <f aca="false">IF(E320+N320=0,0,(G320+N320)/(E320+N320))</f>
        <v>0</v>
      </c>
      <c r="R320" s="8" t="n">
        <f aca="false">IF(E320=0,0,L320/E320)</f>
        <v>0</v>
      </c>
      <c r="S320" s="8" t="n">
        <f aca="false">R320+Q320</f>
        <v>0</v>
      </c>
      <c r="T320" s="8" t="n">
        <f aca="false">R320-P320</f>
        <v>0</v>
      </c>
    </row>
    <row r="321" customFormat="false" ht="14.25" hidden="false" customHeight="true" outlineLevel="0" collapsed="false">
      <c r="A321" s="6" t="n">
        <v>2025</v>
      </c>
      <c r="B321" s="6" t="s">
        <v>192</v>
      </c>
      <c r="C321" s="6" t="s">
        <v>194</v>
      </c>
      <c r="D321" s="7" t="n">
        <v>11</v>
      </c>
      <c r="E321" s="7" t="n">
        <v>34</v>
      </c>
      <c r="F321" s="7" t="n">
        <v>14</v>
      </c>
      <c r="G321" s="7" t="n">
        <v>19</v>
      </c>
      <c r="H321" s="7" t="n">
        <v>9</v>
      </c>
      <c r="I321" s="7" t="n">
        <v>1</v>
      </c>
      <c r="J321" s="7" t="n">
        <v>5</v>
      </c>
      <c r="K321" s="7" t="n">
        <v>15</v>
      </c>
      <c r="L321" s="7" t="n">
        <v>45</v>
      </c>
      <c r="M321" s="7" t="n">
        <v>14</v>
      </c>
      <c r="N321" s="7" t="n">
        <v>2</v>
      </c>
      <c r="O321" s="7" t="n">
        <v>0</v>
      </c>
      <c r="P321" s="8" t="n">
        <f aca="false">IF(E321=0,0,G321/E321)</f>
        <v>0.558823529411765</v>
      </c>
      <c r="Q321" s="8" t="n">
        <f aca="false">IF(E321+N321=0,0,(G321+N321)/(E321+N321))</f>
        <v>0.583333333333333</v>
      </c>
      <c r="R321" s="8" t="n">
        <f aca="false">IF(E321=0,0,L321/E321)</f>
        <v>1.32352941176471</v>
      </c>
      <c r="S321" s="8" t="n">
        <f aca="false">R321+Q321</f>
        <v>1.90686274509804</v>
      </c>
      <c r="T321" s="8" t="n">
        <f aca="false">R321-P321</f>
        <v>0.764705882352941</v>
      </c>
    </row>
    <row r="322" customFormat="false" ht="14.25" hidden="false" customHeight="true" outlineLevel="0" collapsed="false">
      <c r="A322" s="6" t="n">
        <v>2025</v>
      </c>
      <c r="B322" s="6" t="s">
        <v>192</v>
      </c>
      <c r="C322" s="6" t="s">
        <v>193</v>
      </c>
      <c r="D322" s="7" t="n">
        <v>11</v>
      </c>
      <c r="E322" s="7" t="n">
        <v>38</v>
      </c>
      <c r="F322" s="7" t="n">
        <v>14</v>
      </c>
      <c r="G322" s="7" t="n">
        <v>19</v>
      </c>
      <c r="H322" s="7" t="n">
        <v>5</v>
      </c>
      <c r="I322" s="7" t="n">
        <v>0</v>
      </c>
      <c r="J322" s="7" t="n">
        <v>0</v>
      </c>
      <c r="K322" s="7" t="n">
        <v>5</v>
      </c>
      <c r="L322" s="7" t="n">
        <v>24</v>
      </c>
      <c r="M322" s="7" t="n">
        <v>4</v>
      </c>
      <c r="N322" s="7" t="n">
        <v>2</v>
      </c>
      <c r="O322" s="7" t="n">
        <v>1</v>
      </c>
      <c r="P322" s="8" t="n">
        <f aca="false">IF(E322=0,0,G322/E322)</f>
        <v>0.5</v>
      </c>
      <c r="Q322" s="8" t="n">
        <f aca="false">IF(E322+N322=0,0,(G322+N322)/(E322+N322))</f>
        <v>0.525</v>
      </c>
      <c r="R322" s="8" t="n">
        <f aca="false">IF(E322=0,0,L322/E322)</f>
        <v>0.631578947368421</v>
      </c>
      <c r="S322" s="8" t="n">
        <f aca="false">R322+Q322</f>
        <v>1.15657894736842</v>
      </c>
      <c r="T322" s="8" t="n">
        <f aca="false">R322-P322</f>
        <v>0.131578947368421</v>
      </c>
    </row>
    <row r="323" customFormat="false" ht="14.25" hidden="false" customHeight="true" outlineLevel="0" collapsed="false">
      <c r="A323" s="6" t="n">
        <v>2025</v>
      </c>
      <c r="B323" s="6" t="s">
        <v>192</v>
      </c>
      <c r="C323" s="6" t="s">
        <v>197</v>
      </c>
      <c r="D323" s="7" t="n">
        <v>11</v>
      </c>
      <c r="E323" s="7" t="n">
        <v>33</v>
      </c>
      <c r="F323" s="7" t="n">
        <v>5</v>
      </c>
      <c r="G323" s="7" t="n">
        <v>13</v>
      </c>
      <c r="H323" s="7" t="n">
        <v>1</v>
      </c>
      <c r="I323" s="7" t="n">
        <v>0</v>
      </c>
      <c r="J323" s="7" t="n">
        <v>2</v>
      </c>
      <c r="K323" s="7" t="n">
        <v>3</v>
      </c>
      <c r="L323" s="7" t="n">
        <v>20</v>
      </c>
      <c r="M323" s="7" t="n">
        <v>13</v>
      </c>
      <c r="N323" s="7" t="n">
        <v>1</v>
      </c>
      <c r="O323" s="7" t="n">
        <v>0</v>
      </c>
      <c r="P323" s="8" t="n">
        <f aca="false">IF(E323=0,0,G323/E323)</f>
        <v>0.393939393939394</v>
      </c>
      <c r="Q323" s="8" t="n">
        <f aca="false">IF(E323+N323=0,0,(G323+N323)/(E323+N323))</f>
        <v>0.411764705882353</v>
      </c>
      <c r="R323" s="8" t="n">
        <f aca="false">IF(E323=0,0,L323/E323)</f>
        <v>0.606060606060606</v>
      </c>
      <c r="S323" s="8" t="n">
        <f aca="false">R323+Q323</f>
        <v>1.01782531194296</v>
      </c>
      <c r="T323" s="8" t="n">
        <f aca="false">R323-P323</f>
        <v>0.212121212121212</v>
      </c>
    </row>
    <row r="324" customFormat="false" ht="14.25" hidden="false" customHeight="true" outlineLevel="0" collapsed="false">
      <c r="A324" s="6" t="n">
        <v>2025</v>
      </c>
      <c r="B324" s="6" t="s">
        <v>192</v>
      </c>
      <c r="C324" s="6" t="s">
        <v>196</v>
      </c>
      <c r="D324" s="7" t="n">
        <v>11</v>
      </c>
      <c r="E324" s="7" t="n">
        <v>29</v>
      </c>
      <c r="F324" s="7" t="n">
        <v>11</v>
      </c>
      <c r="G324" s="7" t="n">
        <v>10</v>
      </c>
      <c r="H324" s="7" t="n">
        <v>1</v>
      </c>
      <c r="I324" s="7" t="n">
        <v>0</v>
      </c>
      <c r="J324" s="7" t="n">
        <v>4</v>
      </c>
      <c r="K324" s="7" t="n">
        <v>5</v>
      </c>
      <c r="L324" s="7" t="n">
        <v>23</v>
      </c>
      <c r="M324" s="7" t="n">
        <v>11</v>
      </c>
      <c r="N324" s="7" t="n">
        <v>7</v>
      </c>
      <c r="O324" s="7" t="n">
        <v>3</v>
      </c>
      <c r="P324" s="8" t="n">
        <f aca="false">IF(E324=0,0,G324/E324)</f>
        <v>0.344827586206897</v>
      </c>
      <c r="Q324" s="8" t="n">
        <f aca="false">IF(E324+N324=0,0,(G324+N324)/(E324+N324))</f>
        <v>0.472222222222222</v>
      </c>
      <c r="R324" s="8" t="n">
        <f aca="false">IF(E324=0,0,L324/E324)</f>
        <v>0.793103448275862</v>
      </c>
      <c r="S324" s="8" t="n">
        <f aca="false">R324+Q324</f>
        <v>1.26532567049808</v>
      </c>
      <c r="T324" s="8" t="n">
        <f aca="false">R324-P324</f>
        <v>0.448275862068966</v>
      </c>
    </row>
    <row r="325" customFormat="false" ht="14.25" hidden="false" customHeight="true" outlineLevel="0" collapsed="false">
      <c r="A325" s="6" t="n">
        <v>2025</v>
      </c>
      <c r="B325" s="6" t="s">
        <v>192</v>
      </c>
      <c r="C325" s="6" t="s">
        <v>199</v>
      </c>
      <c r="D325" s="7" t="n">
        <v>10</v>
      </c>
      <c r="E325" s="7" t="n">
        <v>28</v>
      </c>
      <c r="F325" s="7" t="n">
        <v>2</v>
      </c>
      <c r="G325" s="7" t="n">
        <v>9</v>
      </c>
      <c r="H325" s="7" t="n">
        <v>3</v>
      </c>
      <c r="I325" s="7" t="n">
        <v>0</v>
      </c>
      <c r="J325" s="7" t="n">
        <v>0</v>
      </c>
      <c r="K325" s="7" t="n">
        <v>3</v>
      </c>
      <c r="L325" s="7" t="n">
        <v>12</v>
      </c>
      <c r="M325" s="7" t="n">
        <v>3</v>
      </c>
      <c r="N325" s="7" t="n">
        <v>3</v>
      </c>
      <c r="O325" s="7" t="n">
        <v>1</v>
      </c>
      <c r="P325" s="8" t="n">
        <f aca="false">IF(E325=0,0,G325/E325)</f>
        <v>0.321428571428571</v>
      </c>
      <c r="Q325" s="8" t="n">
        <f aca="false">IF(E325+N325=0,0,(G325+N325)/(E325+N325))</f>
        <v>0.387096774193548</v>
      </c>
      <c r="R325" s="8" t="n">
        <f aca="false">IF(E325=0,0,L325/E325)</f>
        <v>0.428571428571429</v>
      </c>
      <c r="S325" s="8" t="n">
        <f aca="false">R325+Q325</f>
        <v>0.815668202764977</v>
      </c>
      <c r="T325" s="8" t="n">
        <f aca="false">R325-P325</f>
        <v>0.107142857142857</v>
      </c>
    </row>
    <row r="326" customFormat="false" ht="14.25" hidden="false" customHeight="true" outlineLevel="0" collapsed="false">
      <c r="A326" s="6" t="n">
        <v>2025</v>
      </c>
      <c r="B326" s="6" t="s">
        <v>192</v>
      </c>
      <c r="C326" s="6" t="s">
        <v>198</v>
      </c>
      <c r="D326" s="7" t="n">
        <v>11</v>
      </c>
      <c r="E326" s="7" t="n">
        <v>35</v>
      </c>
      <c r="F326" s="7" t="n">
        <v>3</v>
      </c>
      <c r="G326" s="7" t="n">
        <v>8</v>
      </c>
      <c r="H326" s="7" t="n">
        <v>1</v>
      </c>
      <c r="I326" s="7" t="n">
        <v>0</v>
      </c>
      <c r="J326" s="7" t="n">
        <v>2</v>
      </c>
      <c r="K326" s="7" t="n">
        <v>3</v>
      </c>
      <c r="L326" s="7" t="n">
        <v>15</v>
      </c>
      <c r="M326" s="7" t="n">
        <v>5</v>
      </c>
      <c r="N326" s="7" t="n">
        <v>1</v>
      </c>
      <c r="O326" s="7" t="n">
        <v>4</v>
      </c>
      <c r="P326" s="8" t="n">
        <f aca="false">IF(E326=0,0,G326/E326)</f>
        <v>0.228571428571429</v>
      </c>
      <c r="Q326" s="8" t="n">
        <f aca="false">IF(E326+N326=0,0,(G326+N326)/(E326+N326))</f>
        <v>0.25</v>
      </c>
      <c r="R326" s="8" t="n">
        <f aca="false">IF(E326=0,0,L326/E326)</f>
        <v>0.428571428571429</v>
      </c>
      <c r="S326" s="8" t="n">
        <f aca="false">R326+Q326</f>
        <v>0.678571428571429</v>
      </c>
      <c r="T326" s="8" t="n">
        <f aca="false">R326-P326</f>
        <v>0.2</v>
      </c>
    </row>
    <row r="327" customFormat="false" ht="14.25" hidden="false" customHeight="true" outlineLevel="0" collapsed="false">
      <c r="A327" s="6" t="n">
        <v>2025</v>
      </c>
      <c r="B327" s="6" t="s">
        <v>192</v>
      </c>
      <c r="C327" s="6" t="s">
        <v>195</v>
      </c>
      <c r="D327" s="7" t="n">
        <v>10</v>
      </c>
      <c r="E327" s="7" t="n">
        <v>29</v>
      </c>
      <c r="F327" s="7" t="n">
        <v>3</v>
      </c>
      <c r="G327" s="7" t="n">
        <v>8</v>
      </c>
      <c r="H327" s="7" t="n">
        <v>2</v>
      </c>
      <c r="I327" s="7" t="n">
        <v>0</v>
      </c>
      <c r="J327" s="7" t="n">
        <v>0</v>
      </c>
      <c r="K327" s="7" t="n">
        <v>2</v>
      </c>
      <c r="L327" s="7" t="n">
        <v>10</v>
      </c>
      <c r="M327" s="7" t="n">
        <v>4</v>
      </c>
      <c r="N327" s="7" t="n">
        <v>3</v>
      </c>
      <c r="O327" s="7" t="n">
        <v>0</v>
      </c>
      <c r="P327" s="8" t="n">
        <f aca="false">IF(E327=0,0,G327/E327)</f>
        <v>0.275862068965517</v>
      </c>
      <c r="Q327" s="8" t="n">
        <f aca="false">IF(E327+N327=0,0,(G327+N327)/(E327+N327))</f>
        <v>0.34375</v>
      </c>
      <c r="R327" s="8" t="n">
        <f aca="false">IF(E327=0,0,L327/E327)</f>
        <v>0.344827586206897</v>
      </c>
      <c r="S327" s="8" t="n">
        <f aca="false">R327+Q327</f>
        <v>0.688577586206897</v>
      </c>
      <c r="T327" s="8" t="n">
        <f aca="false">R327-P327</f>
        <v>0.0689655172413793</v>
      </c>
    </row>
    <row r="328" customFormat="false" ht="14.25" hidden="false" customHeight="true" outlineLevel="0" collapsed="false">
      <c r="A328" s="6" t="n">
        <v>2025</v>
      </c>
      <c r="B328" s="6" t="s">
        <v>192</v>
      </c>
      <c r="C328" s="6" t="s">
        <v>201</v>
      </c>
      <c r="D328" s="7" t="n">
        <v>12</v>
      </c>
      <c r="E328" s="7" t="n">
        <v>30</v>
      </c>
      <c r="F328" s="7" t="n">
        <v>3</v>
      </c>
      <c r="G328" s="7" t="n">
        <v>8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8</v>
      </c>
      <c r="M328" s="7" t="n">
        <v>2</v>
      </c>
      <c r="N328" s="7" t="n">
        <v>1</v>
      </c>
      <c r="O328" s="7" t="n">
        <v>1</v>
      </c>
      <c r="P328" s="8" t="n">
        <f aca="false">IF(E328=0,0,G328/E328)</f>
        <v>0.266666666666667</v>
      </c>
      <c r="Q328" s="8" t="n">
        <f aca="false">IF(E328+N328=0,0,(G328+N328)/(E328+N328))</f>
        <v>0.290322580645161</v>
      </c>
      <c r="R328" s="8" t="n">
        <f aca="false">IF(E328=0,0,L328/E328)</f>
        <v>0.266666666666667</v>
      </c>
      <c r="S328" s="8" t="n">
        <f aca="false">R328+Q328</f>
        <v>0.556989247311828</v>
      </c>
      <c r="T328" s="8" t="n">
        <f aca="false">R328-P328</f>
        <v>0</v>
      </c>
    </row>
    <row r="329" customFormat="false" ht="14.25" hidden="false" customHeight="true" outlineLevel="0" collapsed="false">
      <c r="A329" s="6" t="n">
        <v>2025</v>
      </c>
      <c r="B329" s="6" t="s">
        <v>192</v>
      </c>
      <c r="C329" s="6" t="s">
        <v>200</v>
      </c>
      <c r="D329" s="7" t="n">
        <v>7</v>
      </c>
      <c r="E329" s="7" t="n">
        <v>18</v>
      </c>
      <c r="F329" s="7" t="n">
        <v>4</v>
      </c>
      <c r="G329" s="7" t="n">
        <v>6</v>
      </c>
      <c r="H329" s="7" t="n">
        <v>3</v>
      </c>
      <c r="I329" s="7" t="n">
        <v>1</v>
      </c>
      <c r="J329" s="7" t="n">
        <v>0</v>
      </c>
      <c r="K329" s="7" t="n">
        <v>4</v>
      </c>
      <c r="L329" s="7" t="n">
        <v>11</v>
      </c>
      <c r="M329" s="7" t="n">
        <v>1</v>
      </c>
      <c r="N329" s="7" t="n">
        <v>0</v>
      </c>
      <c r="O329" s="7" t="n">
        <v>1</v>
      </c>
      <c r="P329" s="8" t="n">
        <f aca="false">IF(E329=0,0,G329/E329)</f>
        <v>0.333333333333333</v>
      </c>
      <c r="Q329" s="8" t="n">
        <f aca="false">IF(E329+N329=0,0,(G329+N329)/(E329+N329))</f>
        <v>0.333333333333333</v>
      </c>
      <c r="R329" s="8" t="n">
        <f aca="false">IF(E329=0,0,L329/E329)</f>
        <v>0.611111111111111</v>
      </c>
      <c r="S329" s="8" t="n">
        <f aca="false">R329+Q329</f>
        <v>0.944444444444444</v>
      </c>
      <c r="T329" s="8" t="n">
        <f aca="false">R329-P329</f>
        <v>0.277777777777778</v>
      </c>
    </row>
    <row r="330" customFormat="false" ht="14.25" hidden="false" customHeight="true" outlineLevel="0" collapsed="false">
      <c r="A330" s="6" t="n">
        <v>2025</v>
      </c>
      <c r="B330" s="6" t="s">
        <v>192</v>
      </c>
      <c r="C330" s="6" t="s">
        <v>205</v>
      </c>
      <c r="D330" s="7" t="n">
        <v>12</v>
      </c>
      <c r="E330" s="7" t="n">
        <v>29</v>
      </c>
      <c r="F330" s="7" t="n">
        <v>3</v>
      </c>
      <c r="G330" s="7" t="n">
        <v>5</v>
      </c>
      <c r="H330" s="7" t="n">
        <v>0</v>
      </c>
      <c r="I330" s="7" t="n">
        <v>0</v>
      </c>
      <c r="J330" s="7" t="n">
        <v>0</v>
      </c>
      <c r="K330" s="7" t="n">
        <v>0</v>
      </c>
      <c r="L330" s="7" t="n">
        <v>5</v>
      </c>
      <c r="M330" s="7" t="n">
        <v>0</v>
      </c>
      <c r="N330" s="7" t="n">
        <v>1</v>
      </c>
      <c r="O330" s="7" t="n">
        <v>1</v>
      </c>
      <c r="P330" s="8" t="n">
        <f aca="false">IF(E330=0,0,G330/E330)</f>
        <v>0.172413793103448</v>
      </c>
      <c r="Q330" s="8" t="n">
        <f aca="false">IF(E330+N330=0,0,(G330+N330)/(E330+N330))</f>
        <v>0.2</v>
      </c>
      <c r="R330" s="8" t="n">
        <f aca="false">IF(E330=0,0,L330/E330)</f>
        <v>0.172413793103448</v>
      </c>
      <c r="S330" s="8" t="n">
        <f aca="false">R330+Q330</f>
        <v>0.372413793103448</v>
      </c>
      <c r="T330" s="8" t="n">
        <f aca="false">R330-P330</f>
        <v>0</v>
      </c>
    </row>
    <row r="331" customFormat="false" ht="14.25" hidden="false" customHeight="true" outlineLevel="0" collapsed="false">
      <c r="A331" s="6" t="n">
        <v>2025</v>
      </c>
      <c r="B331" s="6" t="s">
        <v>192</v>
      </c>
      <c r="C331" s="6" t="s">
        <v>208</v>
      </c>
      <c r="D331" s="7" t="n">
        <v>11</v>
      </c>
      <c r="E331" s="7" t="n">
        <v>30</v>
      </c>
      <c r="F331" s="7" t="n">
        <v>4</v>
      </c>
      <c r="G331" s="7" t="n">
        <v>2</v>
      </c>
      <c r="H331" s="7" t="n">
        <v>1</v>
      </c>
      <c r="I331" s="7" t="n">
        <v>0</v>
      </c>
      <c r="J331" s="7" t="n">
        <v>0</v>
      </c>
      <c r="K331" s="7" t="n">
        <v>1</v>
      </c>
      <c r="L331" s="7" t="n">
        <v>3</v>
      </c>
      <c r="M331" s="7" t="n">
        <v>1</v>
      </c>
      <c r="N331" s="7" t="n">
        <v>1</v>
      </c>
      <c r="O331" s="7" t="n">
        <v>0</v>
      </c>
      <c r="P331" s="8" t="n">
        <f aca="false">IF(E331=0,0,G331/E331)</f>
        <v>0.0666666666666667</v>
      </c>
      <c r="Q331" s="8" t="n">
        <f aca="false">IF(E331+N331=0,0,(G331+N331)/(E331+N331))</f>
        <v>0.0967741935483871</v>
      </c>
      <c r="R331" s="8" t="n">
        <f aca="false">IF(E331=0,0,L331/E331)</f>
        <v>0.1</v>
      </c>
      <c r="S331" s="8" t="n">
        <f aca="false">R331+Q331</f>
        <v>0.196774193548387</v>
      </c>
      <c r="T331" s="8" t="n">
        <f aca="false">R331-P331</f>
        <v>0.0333333333333333</v>
      </c>
    </row>
    <row r="332" customFormat="false" ht="14.25" hidden="false" customHeight="true" outlineLevel="0" collapsed="false">
      <c r="A332" s="6" t="n">
        <v>2025</v>
      </c>
      <c r="B332" s="6" t="s">
        <v>192</v>
      </c>
      <c r="C332" s="6" t="s">
        <v>202</v>
      </c>
      <c r="D332" s="7" t="n">
        <v>10</v>
      </c>
      <c r="E332" s="7" t="n">
        <v>18</v>
      </c>
      <c r="F332" s="7" t="n">
        <v>0</v>
      </c>
      <c r="G332" s="7" t="n">
        <v>2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2</v>
      </c>
      <c r="M332" s="7" t="n">
        <v>0</v>
      </c>
      <c r="N332" s="7" t="n">
        <v>0</v>
      </c>
      <c r="O332" s="7" t="n">
        <v>1</v>
      </c>
      <c r="P332" s="8" t="n">
        <f aca="false">IF(E332=0,0,G332/E332)</f>
        <v>0.111111111111111</v>
      </c>
      <c r="Q332" s="8" t="n">
        <f aca="false">IF(E332+N332=0,0,(G332+N332)/(E332+N332))</f>
        <v>0.111111111111111</v>
      </c>
      <c r="R332" s="8" t="n">
        <f aca="false">IF(E332=0,0,L332/E332)</f>
        <v>0.111111111111111</v>
      </c>
      <c r="S332" s="8" t="n">
        <f aca="false">R332+Q332</f>
        <v>0.222222222222222</v>
      </c>
      <c r="T332" s="8" t="n">
        <f aca="false">R332-P332</f>
        <v>0</v>
      </c>
    </row>
    <row r="333" customFormat="false" ht="14.25" hidden="false" customHeight="true" outlineLevel="0" collapsed="false">
      <c r="A333" s="6" t="n">
        <v>2025</v>
      </c>
      <c r="B333" s="6" t="s">
        <v>192</v>
      </c>
      <c r="C333" s="6" t="s">
        <v>277</v>
      </c>
      <c r="D333" s="7" t="n">
        <v>2</v>
      </c>
      <c r="E333" s="7" t="n">
        <v>6</v>
      </c>
      <c r="F333" s="7" t="n">
        <v>0</v>
      </c>
      <c r="G333" s="7" t="n">
        <v>2</v>
      </c>
      <c r="H333" s="7" t="n">
        <v>0</v>
      </c>
      <c r="I333" s="7" t="n">
        <v>0</v>
      </c>
      <c r="J333" s="7" t="n">
        <v>0</v>
      </c>
      <c r="K333" s="7" t="n">
        <v>0</v>
      </c>
      <c r="L333" s="7" t="n">
        <v>2</v>
      </c>
      <c r="M333" s="7" t="n">
        <v>0</v>
      </c>
      <c r="N333" s="7" t="n">
        <v>0</v>
      </c>
      <c r="O333" s="7" t="n">
        <v>0</v>
      </c>
      <c r="P333" s="8" t="n">
        <f aca="false">IF(E333=0,0,G333/E333)</f>
        <v>0.333333333333333</v>
      </c>
      <c r="Q333" s="8" t="n">
        <f aca="false">IF(E333+N333=0,0,(G333+N333)/(E333+N333))</f>
        <v>0.333333333333333</v>
      </c>
      <c r="R333" s="8" t="n">
        <f aca="false">IF(E333=0,0,L333/E333)</f>
        <v>0.333333333333333</v>
      </c>
      <c r="S333" s="8" t="n">
        <f aca="false">R333+Q333</f>
        <v>0.666666666666667</v>
      </c>
      <c r="T333" s="8" t="n">
        <f aca="false">R333-P333</f>
        <v>0</v>
      </c>
    </row>
    <row r="334" customFormat="false" ht="14.25" hidden="false" customHeight="true" outlineLevel="0" collapsed="false">
      <c r="A334" s="6" t="n">
        <v>2025</v>
      </c>
      <c r="B334" s="6" t="s">
        <v>192</v>
      </c>
      <c r="C334" s="6" t="s">
        <v>207</v>
      </c>
      <c r="D334" s="7" t="n">
        <v>5</v>
      </c>
      <c r="E334" s="7" t="n">
        <v>11</v>
      </c>
      <c r="F334" s="7" t="n">
        <v>2</v>
      </c>
      <c r="G334" s="7" t="n">
        <v>1</v>
      </c>
      <c r="H334" s="7" t="n">
        <v>0</v>
      </c>
      <c r="I334" s="7" t="n">
        <v>0</v>
      </c>
      <c r="J334" s="7" t="n">
        <v>0</v>
      </c>
      <c r="K334" s="7" t="n">
        <v>0</v>
      </c>
      <c r="L334" s="7" t="n">
        <v>1</v>
      </c>
      <c r="M334" s="7" t="n">
        <v>0</v>
      </c>
      <c r="N334" s="7" t="n">
        <v>0</v>
      </c>
      <c r="O334" s="7" t="n">
        <v>1</v>
      </c>
      <c r="P334" s="8" t="n">
        <f aca="false">IF(E334=0,0,G334/E334)</f>
        <v>0.0909090909090909</v>
      </c>
      <c r="Q334" s="8" t="n">
        <f aca="false">IF(E334+N334=0,0,(G334+N334)/(E334+N334))</f>
        <v>0.0909090909090909</v>
      </c>
      <c r="R334" s="8" t="n">
        <f aca="false">IF(E334=0,0,L334/E334)</f>
        <v>0.0909090909090909</v>
      </c>
      <c r="S334" s="8" t="n">
        <f aca="false">R334+Q334</f>
        <v>0.181818181818182</v>
      </c>
      <c r="T334" s="8" t="n">
        <f aca="false">R334-P334</f>
        <v>0</v>
      </c>
    </row>
    <row r="335" customFormat="false" ht="14.25" hidden="false" customHeight="true" outlineLevel="0" collapsed="false">
      <c r="A335" s="6" t="n">
        <v>2025</v>
      </c>
      <c r="B335" s="6" t="s">
        <v>192</v>
      </c>
      <c r="C335" s="6" t="s">
        <v>204</v>
      </c>
      <c r="D335" s="7" t="n">
        <v>1</v>
      </c>
      <c r="E335" s="7" t="n">
        <v>4</v>
      </c>
      <c r="F335" s="7" t="n">
        <v>0</v>
      </c>
      <c r="G335" s="7" t="n">
        <v>1</v>
      </c>
      <c r="H335" s="7" t="n">
        <v>0</v>
      </c>
      <c r="I335" s="7" t="n">
        <v>0</v>
      </c>
      <c r="J335" s="7" t="n">
        <v>0</v>
      </c>
      <c r="K335" s="7" t="n">
        <v>0</v>
      </c>
      <c r="L335" s="7" t="n">
        <v>1</v>
      </c>
      <c r="M335" s="7" t="n">
        <v>0</v>
      </c>
      <c r="N335" s="7" t="n">
        <v>0</v>
      </c>
      <c r="O335" s="7" t="n">
        <v>0</v>
      </c>
      <c r="P335" s="8" t="n">
        <f aca="false">IF(E335=0,0,G335/E335)</f>
        <v>0.25</v>
      </c>
      <c r="Q335" s="8" t="n">
        <f aca="false">IF(E335+N335=0,0,(G335+N335)/(E335+N335))</f>
        <v>0.25</v>
      </c>
      <c r="R335" s="8" t="n">
        <f aca="false">IF(E335=0,0,L335/E335)</f>
        <v>0.25</v>
      </c>
      <c r="S335" s="8" t="n">
        <f aca="false">R335+Q335</f>
        <v>0.5</v>
      </c>
      <c r="T335" s="8" t="n">
        <f aca="false">R335-P335</f>
        <v>0</v>
      </c>
    </row>
    <row r="336" customFormat="false" ht="14.25" hidden="false" customHeight="true" outlineLevel="0" collapsed="false">
      <c r="A336" s="6" t="n">
        <v>2025</v>
      </c>
      <c r="B336" s="6" t="s">
        <v>192</v>
      </c>
      <c r="C336" s="6" t="s">
        <v>278</v>
      </c>
      <c r="D336" s="7" t="n">
        <v>1</v>
      </c>
      <c r="E336" s="7" t="n">
        <v>3</v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1</v>
      </c>
      <c r="N336" s="7" t="n">
        <v>0</v>
      </c>
      <c r="O336" s="7" t="n">
        <v>0</v>
      </c>
      <c r="P336" s="8" t="n">
        <f aca="false">IF(E336=0,0,G336/E336)</f>
        <v>0</v>
      </c>
      <c r="Q336" s="8" t="n">
        <f aca="false">IF(E336+N336=0,0,(G336+N336)/(E336+N336))</f>
        <v>0</v>
      </c>
      <c r="R336" s="8" t="n">
        <f aca="false">IF(E336=0,0,L336/E336)</f>
        <v>0</v>
      </c>
      <c r="S336" s="8" t="n">
        <f aca="false">R336+Q336</f>
        <v>0</v>
      </c>
      <c r="T336" s="8" t="n">
        <f aca="false">R336-P336</f>
        <v>0</v>
      </c>
    </row>
    <row r="337" customFormat="false" ht="14.25" hidden="false" customHeight="true" outlineLevel="0" collapsed="false">
      <c r="A337" s="6" t="n">
        <v>2025</v>
      </c>
      <c r="B337" s="6" t="s">
        <v>212</v>
      </c>
      <c r="C337" s="6" t="s">
        <v>215</v>
      </c>
      <c r="D337" s="7" t="n">
        <v>10</v>
      </c>
      <c r="E337" s="7" t="n">
        <v>30</v>
      </c>
      <c r="F337" s="7" t="n">
        <v>5</v>
      </c>
      <c r="G337" s="7" t="n">
        <v>9</v>
      </c>
      <c r="H337" s="7" t="n">
        <v>2</v>
      </c>
      <c r="I337" s="7" t="n">
        <v>0</v>
      </c>
      <c r="J337" s="7" t="n">
        <v>2</v>
      </c>
      <c r="K337" s="7" t="n">
        <v>4</v>
      </c>
      <c r="L337" s="7" t="n">
        <v>17</v>
      </c>
      <c r="M337" s="7" t="n">
        <v>3</v>
      </c>
      <c r="N337" s="7" t="n">
        <v>2</v>
      </c>
      <c r="O337" s="7" t="n">
        <v>4</v>
      </c>
      <c r="P337" s="8" t="n">
        <f aca="false">IF(E337=0,0,G337/E337)</f>
        <v>0.3</v>
      </c>
      <c r="Q337" s="8" t="n">
        <f aca="false">IF(E337+N337=0,0,(G337+N337)/(E337+N337))</f>
        <v>0.34375</v>
      </c>
      <c r="R337" s="8" t="n">
        <f aca="false">IF(E337=0,0,L337/E337)</f>
        <v>0.566666666666667</v>
      </c>
      <c r="S337" s="8" t="n">
        <f aca="false">R337+Q337</f>
        <v>0.910416666666667</v>
      </c>
      <c r="T337" s="8" t="n">
        <f aca="false">R337-P337</f>
        <v>0.266666666666667</v>
      </c>
    </row>
    <row r="338" customFormat="false" ht="14.25" hidden="false" customHeight="true" outlineLevel="0" collapsed="false">
      <c r="A338" s="6" t="n">
        <v>2025</v>
      </c>
      <c r="B338" s="6" t="s">
        <v>212</v>
      </c>
      <c r="C338" s="6" t="s">
        <v>85</v>
      </c>
      <c r="D338" s="7" t="n">
        <v>10</v>
      </c>
      <c r="E338" s="7" t="n">
        <v>30</v>
      </c>
      <c r="F338" s="7" t="n">
        <v>5</v>
      </c>
      <c r="G338" s="7" t="n">
        <v>8</v>
      </c>
      <c r="H338" s="7" t="n">
        <v>4</v>
      </c>
      <c r="I338" s="7" t="n">
        <v>0</v>
      </c>
      <c r="J338" s="7" t="n">
        <v>1</v>
      </c>
      <c r="K338" s="7" t="n">
        <v>5</v>
      </c>
      <c r="L338" s="7" t="n">
        <v>15</v>
      </c>
      <c r="M338" s="7" t="n">
        <v>4</v>
      </c>
      <c r="N338" s="7" t="n">
        <v>1</v>
      </c>
      <c r="O338" s="7" t="n">
        <v>1</v>
      </c>
      <c r="P338" s="8" t="n">
        <f aca="false">IF(E338=0,0,G338/E338)</f>
        <v>0.266666666666667</v>
      </c>
      <c r="Q338" s="8" t="n">
        <f aca="false">IF(E338+N338=0,0,(G338+N338)/(E338+N338))</f>
        <v>0.290322580645161</v>
      </c>
      <c r="R338" s="8" t="n">
        <f aca="false">IF(E338=0,0,L338/E338)</f>
        <v>0.5</v>
      </c>
      <c r="S338" s="8" t="n">
        <f aca="false">R338+Q338</f>
        <v>0.790322580645161</v>
      </c>
      <c r="T338" s="8" t="n">
        <f aca="false">R338-P338</f>
        <v>0.233333333333333</v>
      </c>
    </row>
    <row r="339" customFormat="false" ht="14.25" hidden="false" customHeight="true" outlineLevel="0" collapsed="false">
      <c r="A339" s="6" t="n">
        <v>2025</v>
      </c>
      <c r="B339" s="6" t="s">
        <v>212</v>
      </c>
      <c r="C339" s="6" t="s">
        <v>221</v>
      </c>
      <c r="D339" s="7" t="n">
        <v>8</v>
      </c>
      <c r="E339" s="7" t="n">
        <v>22</v>
      </c>
      <c r="F339" s="7" t="n">
        <v>3</v>
      </c>
      <c r="G339" s="7" t="n">
        <v>7</v>
      </c>
      <c r="H339" s="7" t="n">
        <v>2</v>
      </c>
      <c r="I339" s="7" t="n">
        <v>0</v>
      </c>
      <c r="J339" s="7" t="n">
        <v>0</v>
      </c>
      <c r="K339" s="7" t="n">
        <v>2</v>
      </c>
      <c r="L339" s="7" t="n">
        <v>9</v>
      </c>
      <c r="M339" s="7" t="n">
        <v>2</v>
      </c>
      <c r="N339" s="7" t="n">
        <v>3</v>
      </c>
      <c r="O339" s="7" t="n">
        <v>1</v>
      </c>
      <c r="P339" s="8" t="n">
        <f aca="false">IF(E339=0,0,G339/E339)</f>
        <v>0.318181818181818</v>
      </c>
      <c r="Q339" s="8" t="n">
        <f aca="false">IF(E339+N339=0,0,(G339+N339)/(E339+N339))</f>
        <v>0.4</v>
      </c>
      <c r="R339" s="8" t="n">
        <f aca="false">IF(E339=0,0,L339/E339)</f>
        <v>0.409090909090909</v>
      </c>
      <c r="S339" s="8" t="n">
        <f aca="false">R339+Q339</f>
        <v>0.809090909090909</v>
      </c>
      <c r="T339" s="8" t="n">
        <f aca="false">R339-P339</f>
        <v>0.0909090909090909</v>
      </c>
    </row>
    <row r="340" customFormat="false" ht="14.25" hidden="false" customHeight="true" outlineLevel="0" collapsed="false">
      <c r="A340" s="6" t="n">
        <v>2025</v>
      </c>
      <c r="B340" s="6" t="s">
        <v>212</v>
      </c>
      <c r="C340" s="6" t="s">
        <v>213</v>
      </c>
      <c r="D340" s="7" t="n">
        <v>10</v>
      </c>
      <c r="E340" s="7" t="n">
        <v>26</v>
      </c>
      <c r="F340" s="7" t="n">
        <v>3</v>
      </c>
      <c r="G340" s="7" t="n">
        <v>6</v>
      </c>
      <c r="H340" s="7" t="n">
        <v>2</v>
      </c>
      <c r="I340" s="7" t="n">
        <v>0</v>
      </c>
      <c r="J340" s="7" t="n">
        <v>0</v>
      </c>
      <c r="K340" s="7" t="n">
        <v>2</v>
      </c>
      <c r="L340" s="7" t="n">
        <v>8</v>
      </c>
      <c r="M340" s="7" t="n">
        <v>1</v>
      </c>
      <c r="N340" s="7" t="n">
        <v>5</v>
      </c>
      <c r="O340" s="7" t="n">
        <v>3</v>
      </c>
      <c r="P340" s="8" t="n">
        <f aca="false">IF(E340=0,0,G340/E340)</f>
        <v>0.230769230769231</v>
      </c>
      <c r="Q340" s="8" t="n">
        <f aca="false">IF(E340+N340=0,0,(G340+N340)/(E340+N340))</f>
        <v>0.354838709677419</v>
      </c>
      <c r="R340" s="8" t="n">
        <f aca="false">IF(E340=0,0,L340/E340)</f>
        <v>0.307692307692308</v>
      </c>
      <c r="S340" s="8" t="n">
        <f aca="false">R340+Q340</f>
        <v>0.662531017369727</v>
      </c>
      <c r="T340" s="8" t="n">
        <f aca="false">R340-P340</f>
        <v>0.0769230769230769</v>
      </c>
    </row>
    <row r="341" customFormat="false" ht="14.25" hidden="false" customHeight="true" outlineLevel="0" collapsed="false">
      <c r="A341" s="6" t="n">
        <v>2025</v>
      </c>
      <c r="B341" s="6" t="s">
        <v>212</v>
      </c>
      <c r="C341" s="6" t="s">
        <v>219</v>
      </c>
      <c r="D341" s="7" t="n">
        <v>10</v>
      </c>
      <c r="E341" s="7" t="n">
        <v>24</v>
      </c>
      <c r="F341" s="7" t="n">
        <v>1</v>
      </c>
      <c r="G341" s="7" t="n">
        <v>5</v>
      </c>
      <c r="H341" s="7" t="n">
        <v>1</v>
      </c>
      <c r="I341" s="7" t="n">
        <v>0</v>
      </c>
      <c r="J341" s="7" t="n">
        <v>0</v>
      </c>
      <c r="K341" s="7" t="n">
        <v>1</v>
      </c>
      <c r="L341" s="7" t="n">
        <v>6</v>
      </c>
      <c r="M341" s="7" t="n">
        <v>1</v>
      </c>
      <c r="N341" s="7" t="n">
        <v>2</v>
      </c>
      <c r="O341" s="7" t="n">
        <v>1</v>
      </c>
      <c r="P341" s="8" t="n">
        <f aca="false">IF(E341=0,0,G341/E341)</f>
        <v>0.208333333333333</v>
      </c>
      <c r="Q341" s="8" t="n">
        <f aca="false">IF(E341+N341=0,0,(G341+N341)/(E341+N341))</f>
        <v>0.269230769230769</v>
      </c>
      <c r="R341" s="8" t="n">
        <f aca="false">IF(E341=0,0,L341/E341)</f>
        <v>0.25</v>
      </c>
      <c r="S341" s="8" t="n">
        <f aca="false">R341+Q341</f>
        <v>0.519230769230769</v>
      </c>
      <c r="T341" s="8" t="n">
        <f aca="false">R341-P341</f>
        <v>0.0416666666666667</v>
      </c>
    </row>
    <row r="342" customFormat="false" ht="14.25" hidden="false" customHeight="true" outlineLevel="0" collapsed="false">
      <c r="A342" s="6" t="n">
        <v>2025</v>
      </c>
      <c r="B342" s="6" t="s">
        <v>212</v>
      </c>
      <c r="C342" s="6" t="s">
        <v>216</v>
      </c>
      <c r="D342" s="7" t="n">
        <v>8</v>
      </c>
      <c r="E342" s="7" t="n">
        <v>22</v>
      </c>
      <c r="F342" s="7" t="n">
        <v>1</v>
      </c>
      <c r="G342" s="7" t="n">
        <v>4</v>
      </c>
      <c r="H342" s="7" t="n">
        <v>0</v>
      </c>
      <c r="I342" s="7" t="n">
        <v>0</v>
      </c>
      <c r="J342" s="7" t="n">
        <v>1</v>
      </c>
      <c r="K342" s="7" t="n">
        <v>1</v>
      </c>
      <c r="L342" s="7" t="n">
        <v>7</v>
      </c>
      <c r="M342" s="7" t="n">
        <v>2</v>
      </c>
      <c r="N342" s="7" t="n">
        <v>0</v>
      </c>
      <c r="O342" s="7" t="n">
        <v>4</v>
      </c>
      <c r="P342" s="8" t="n">
        <f aca="false">IF(E342=0,0,G342/E342)</f>
        <v>0.181818181818182</v>
      </c>
      <c r="Q342" s="8" t="n">
        <f aca="false">IF(E342+N342=0,0,(G342+N342)/(E342+N342))</f>
        <v>0.181818181818182</v>
      </c>
      <c r="R342" s="8" t="n">
        <f aca="false">IF(E342=0,0,L342/E342)</f>
        <v>0.318181818181818</v>
      </c>
      <c r="S342" s="8" t="n">
        <f aca="false">R342+Q342</f>
        <v>0.5</v>
      </c>
      <c r="T342" s="8" t="n">
        <f aca="false">R342-P342</f>
        <v>0.136363636363636</v>
      </c>
    </row>
    <row r="343" customFormat="false" ht="14.25" hidden="false" customHeight="true" outlineLevel="0" collapsed="false">
      <c r="A343" s="6" t="n">
        <v>2025</v>
      </c>
      <c r="B343" s="6" t="s">
        <v>212</v>
      </c>
      <c r="C343" s="6" t="s">
        <v>226</v>
      </c>
      <c r="D343" s="7" t="n">
        <v>5</v>
      </c>
      <c r="E343" s="7" t="n">
        <v>13</v>
      </c>
      <c r="F343" s="7" t="n">
        <v>0</v>
      </c>
      <c r="G343" s="7" t="n">
        <v>4</v>
      </c>
      <c r="H343" s="7" t="n">
        <v>0</v>
      </c>
      <c r="I343" s="7" t="n">
        <v>0</v>
      </c>
      <c r="J343" s="7" t="n">
        <v>0</v>
      </c>
      <c r="K343" s="7" t="n">
        <v>0</v>
      </c>
      <c r="L343" s="7" t="n">
        <v>4</v>
      </c>
      <c r="M343" s="7" t="n">
        <v>0</v>
      </c>
      <c r="N343" s="7" t="n">
        <v>0</v>
      </c>
      <c r="O343" s="7" t="n">
        <v>2</v>
      </c>
      <c r="P343" s="8" t="n">
        <f aca="false">IF(E343=0,0,G343/E343)</f>
        <v>0.307692307692308</v>
      </c>
      <c r="Q343" s="8" t="n">
        <f aca="false">IF(E343+N343=0,0,(G343+N343)/(E343+N343))</f>
        <v>0.307692307692308</v>
      </c>
      <c r="R343" s="8" t="n">
        <f aca="false">IF(E343=0,0,L343/E343)</f>
        <v>0.307692307692308</v>
      </c>
      <c r="S343" s="8" t="n">
        <f aca="false">R343+Q343</f>
        <v>0.615384615384615</v>
      </c>
      <c r="T343" s="8" t="n">
        <f aca="false">R343-P343</f>
        <v>0</v>
      </c>
    </row>
    <row r="344" customFormat="false" ht="14.25" hidden="false" customHeight="true" outlineLevel="0" collapsed="false">
      <c r="A344" s="6" t="n">
        <v>2025</v>
      </c>
      <c r="B344" s="6" t="s">
        <v>212</v>
      </c>
      <c r="C344" s="6" t="s">
        <v>231</v>
      </c>
      <c r="D344" s="7" t="n">
        <v>8</v>
      </c>
      <c r="E344" s="7" t="n">
        <v>18</v>
      </c>
      <c r="F344" s="7" t="n">
        <v>1</v>
      </c>
      <c r="G344" s="7" t="n">
        <v>3</v>
      </c>
      <c r="H344" s="7" t="n">
        <v>0</v>
      </c>
      <c r="I344" s="7" t="n">
        <v>0</v>
      </c>
      <c r="J344" s="7" t="n">
        <v>1</v>
      </c>
      <c r="K344" s="7" t="n">
        <v>1</v>
      </c>
      <c r="L344" s="7" t="n">
        <v>6</v>
      </c>
      <c r="M344" s="7" t="n">
        <v>1</v>
      </c>
      <c r="N344" s="7" t="n">
        <v>1</v>
      </c>
      <c r="O344" s="7" t="n">
        <v>3</v>
      </c>
      <c r="P344" s="8" t="n">
        <f aca="false">IF(E344=0,0,G344/E344)</f>
        <v>0.166666666666667</v>
      </c>
      <c r="Q344" s="8" t="n">
        <f aca="false">IF(E344+N344=0,0,(G344+N344)/(E344+N344))</f>
        <v>0.210526315789474</v>
      </c>
      <c r="R344" s="8" t="n">
        <f aca="false">IF(E344=0,0,L344/E344)</f>
        <v>0.333333333333333</v>
      </c>
      <c r="S344" s="8" t="n">
        <f aca="false">R344+Q344</f>
        <v>0.543859649122807</v>
      </c>
      <c r="T344" s="8" t="n">
        <f aca="false">R344-P344</f>
        <v>0.166666666666667</v>
      </c>
    </row>
    <row r="345" customFormat="false" ht="14.25" hidden="false" customHeight="true" outlineLevel="0" collapsed="false">
      <c r="A345" s="6" t="n">
        <v>2025</v>
      </c>
      <c r="B345" s="6" t="s">
        <v>212</v>
      </c>
      <c r="C345" s="6" t="s">
        <v>222</v>
      </c>
      <c r="D345" s="7" t="n">
        <v>6</v>
      </c>
      <c r="E345" s="7" t="n">
        <v>16</v>
      </c>
      <c r="F345" s="7" t="n">
        <v>0</v>
      </c>
      <c r="G345" s="7" t="n">
        <v>3</v>
      </c>
      <c r="H345" s="7" t="n">
        <v>1</v>
      </c>
      <c r="I345" s="7" t="n">
        <v>0</v>
      </c>
      <c r="J345" s="7" t="n">
        <v>0</v>
      </c>
      <c r="K345" s="7" t="n">
        <v>1</v>
      </c>
      <c r="L345" s="7" t="n">
        <v>4</v>
      </c>
      <c r="M345" s="7" t="n">
        <v>2</v>
      </c>
      <c r="N345" s="7" t="n">
        <v>0</v>
      </c>
      <c r="O345" s="7" t="n">
        <v>2</v>
      </c>
      <c r="P345" s="8" t="n">
        <f aca="false">IF(E345=0,0,G345/E345)</f>
        <v>0.1875</v>
      </c>
      <c r="Q345" s="8" t="n">
        <f aca="false">IF(E345+N345=0,0,(G345+N345)/(E345+N345))</f>
        <v>0.1875</v>
      </c>
      <c r="R345" s="8" t="n">
        <f aca="false">IF(E345=0,0,L345/E345)</f>
        <v>0.25</v>
      </c>
      <c r="S345" s="8" t="n">
        <f aca="false">R345+Q345</f>
        <v>0.4375</v>
      </c>
      <c r="T345" s="8" t="n">
        <f aca="false">R345-P345</f>
        <v>0.0625</v>
      </c>
    </row>
    <row r="346" customFormat="false" ht="14.25" hidden="false" customHeight="true" outlineLevel="0" collapsed="false">
      <c r="A346" s="6" t="n">
        <v>2025</v>
      </c>
      <c r="B346" s="6" t="s">
        <v>212</v>
      </c>
      <c r="C346" s="6" t="s">
        <v>232</v>
      </c>
      <c r="D346" s="7" t="n">
        <v>3</v>
      </c>
      <c r="E346" s="7" t="n">
        <v>9</v>
      </c>
      <c r="F346" s="7" t="n">
        <v>0</v>
      </c>
      <c r="G346" s="7" t="n">
        <v>3</v>
      </c>
      <c r="H346" s="7" t="n">
        <v>1</v>
      </c>
      <c r="I346" s="7" t="n">
        <v>0</v>
      </c>
      <c r="J346" s="7" t="n">
        <v>0</v>
      </c>
      <c r="K346" s="7" t="n">
        <v>1</v>
      </c>
      <c r="L346" s="7" t="n">
        <v>4</v>
      </c>
      <c r="M346" s="7" t="n">
        <v>0</v>
      </c>
      <c r="N346" s="7" t="n">
        <v>0</v>
      </c>
      <c r="O346" s="7" t="n">
        <v>1</v>
      </c>
      <c r="P346" s="8" t="n">
        <f aca="false">IF(E346=0,0,G346/E346)</f>
        <v>0.333333333333333</v>
      </c>
      <c r="Q346" s="8" t="n">
        <f aca="false">IF(E346+N346=0,0,(G346+N346)/(E346+N346))</f>
        <v>0.333333333333333</v>
      </c>
      <c r="R346" s="8" t="n">
        <f aca="false">IF(E346=0,0,L346/E346)</f>
        <v>0.444444444444444</v>
      </c>
      <c r="S346" s="8" t="n">
        <f aca="false">R346+Q346</f>
        <v>0.777777777777778</v>
      </c>
      <c r="T346" s="8" t="n">
        <f aca="false">R346-P346</f>
        <v>0.111111111111111</v>
      </c>
    </row>
    <row r="347" customFormat="false" ht="14.25" hidden="false" customHeight="true" outlineLevel="0" collapsed="false">
      <c r="A347" s="6" t="n">
        <v>2025</v>
      </c>
      <c r="B347" s="6" t="s">
        <v>212</v>
      </c>
      <c r="C347" s="6" t="s">
        <v>217</v>
      </c>
      <c r="D347" s="7" t="n">
        <v>9</v>
      </c>
      <c r="E347" s="7" t="n">
        <v>22</v>
      </c>
      <c r="F347" s="7" t="n">
        <v>0</v>
      </c>
      <c r="G347" s="7" t="n">
        <v>3</v>
      </c>
      <c r="H347" s="7" t="n">
        <v>0</v>
      </c>
      <c r="I347" s="7" t="n">
        <v>0</v>
      </c>
      <c r="J347" s="7" t="n">
        <v>0</v>
      </c>
      <c r="K347" s="7" t="n">
        <v>0</v>
      </c>
      <c r="L347" s="7" t="n">
        <v>3</v>
      </c>
      <c r="M347" s="7" t="n">
        <v>2</v>
      </c>
      <c r="N347" s="7" t="n">
        <v>0</v>
      </c>
      <c r="O347" s="7" t="n">
        <v>4</v>
      </c>
      <c r="P347" s="8" t="n">
        <f aca="false">IF(E347=0,0,G347/E347)</f>
        <v>0.136363636363636</v>
      </c>
      <c r="Q347" s="8" t="n">
        <f aca="false">IF(E347+N347=0,0,(G347+N347)/(E347+N347))</f>
        <v>0.136363636363636</v>
      </c>
      <c r="R347" s="8" t="n">
        <f aca="false">IF(E347=0,0,L347/E347)</f>
        <v>0.136363636363636</v>
      </c>
      <c r="S347" s="8" t="n">
        <f aca="false">R347+Q347</f>
        <v>0.272727272727273</v>
      </c>
      <c r="T347" s="8" t="n">
        <f aca="false">R347-P347</f>
        <v>0</v>
      </c>
    </row>
    <row r="348" customFormat="false" ht="14.25" hidden="false" customHeight="true" outlineLevel="0" collapsed="false">
      <c r="A348" s="6" t="n">
        <v>2025</v>
      </c>
      <c r="B348" s="6" t="s">
        <v>212</v>
      </c>
      <c r="C348" s="6" t="s">
        <v>218</v>
      </c>
      <c r="D348" s="7" t="n">
        <v>8</v>
      </c>
      <c r="E348" s="7" t="n">
        <v>23</v>
      </c>
      <c r="F348" s="7" t="n">
        <v>0</v>
      </c>
      <c r="G348" s="7" t="n">
        <v>3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3</v>
      </c>
      <c r="M348" s="7" t="n">
        <v>2</v>
      </c>
      <c r="N348" s="7" t="n">
        <v>1</v>
      </c>
      <c r="O348" s="7" t="n">
        <v>2</v>
      </c>
      <c r="P348" s="8" t="n">
        <f aca="false">IF(E348=0,0,G348/E348)</f>
        <v>0.130434782608696</v>
      </c>
      <c r="Q348" s="8" t="n">
        <f aca="false">IF(E348+N348=0,0,(G348+N348)/(E348+N348))</f>
        <v>0.166666666666667</v>
      </c>
      <c r="R348" s="8" t="n">
        <f aca="false">IF(E348=0,0,L348/E348)</f>
        <v>0.130434782608696</v>
      </c>
      <c r="S348" s="8" t="n">
        <f aca="false">R348+Q348</f>
        <v>0.297101449275362</v>
      </c>
      <c r="T348" s="8" t="n">
        <f aca="false">R348-P348</f>
        <v>0</v>
      </c>
    </row>
    <row r="349" customFormat="false" ht="14.25" hidden="false" customHeight="true" outlineLevel="0" collapsed="false">
      <c r="A349" s="6" t="n">
        <v>2025</v>
      </c>
      <c r="B349" s="6" t="s">
        <v>212</v>
      </c>
      <c r="C349" s="6" t="s">
        <v>224</v>
      </c>
      <c r="D349" s="7" t="n">
        <v>8</v>
      </c>
      <c r="E349" s="7" t="n">
        <v>16</v>
      </c>
      <c r="F349" s="7" t="n">
        <v>0</v>
      </c>
      <c r="G349" s="7" t="n">
        <v>3</v>
      </c>
      <c r="H349" s="7" t="n">
        <v>0</v>
      </c>
      <c r="I349" s="7" t="n">
        <v>0</v>
      </c>
      <c r="J349" s="7" t="n">
        <v>0</v>
      </c>
      <c r="K349" s="7" t="n">
        <v>0</v>
      </c>
      <c r="L349" s="7" t="n">
        <v>3</v>
      </c>
      <c r="M349" s="7" t="n">
        <v>0</v>
      </c>
      <c r="N349" s="7" t="n">
        <v>0</v>
      </c>
      <c r="O349" s="7" t="n">
        <v>1</v>
      </c>
      <c r="P349" s="8" t="n">
        <f aca="false">IF(E349=0,0,G349/E349)</f>
        <v>0.1875</v>
      </c>
      <c r="Q349" s="8" t="n">
        <f aca="false">IF(E349+N349=0,0,(G349+N349)/(E349+N349))</f>
        <v>0.1875</v>
      </c>
      <c r="R349" s="8" t="n">
        <f aca="false">IF(E349=0,0,L349/E349)</f>
        <v>0.1875</v>
      </c>
      <c r="S349" s="8" t="n">
        <f aca="false">R349+Q349</f>
        <v>0.375</v>
      </c>
      <c r="T349" s="8" t="n">
        <f aca="false">R349-P349</f>
        <v>0</v>
      </c>
    </row>
    <row r="350" customFormat="false" ht="14.25" hidden="false" customHeight="true" outlineLevel="0" collapsed="false">
      <c r="A350" s="6" t="n">
        <v>2025</v>
      </c>
      <c r="B350" s="6" t="s">
        <v>212</v>
      </c>
      <c r="C350" s="6" t="s">
        <v>220</v>
      </c>
      <c r="D350" s="7" t="n">
        <v>4</v>
      </c>
      <c r="E350" s="7" t="n">
        <v>10</v>
      </c>
      <c r="F350" s="7" t="n">
        <v>1</v>
      </c>
      <c r="G350" s="7" t="n">
        <v>3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3</v>
      </c>
      <c r="M350" s="7" t="n">
        <v>0</v>
      </c>
      <c r="N350" s="7" t="n">
        <v>1</v>
      </c>
      <c r="O350" s="7" t="n">
        <v>0</v>
      </c>
      <c r="P350" s="8" t="n">
        <f aca="false">IF(E350=0,0,G350/E350)</f>
        <v>0.3</v>
      </c>
      <c r="Q350" s="8" t="n">
        <f aca="false">IF(E350+N350=0,0,(G350+N350)/(E350+N350))</f>
        <v>0.363636363636364</v>
      </c>
      <c r="R350" s="8" t="n">
        <f aca="false">IF(E350=0,0,L350/E350)</f>
        <v>0.3</v>
      </c>
      <c r="S350" s="8" t="n">
        <f aca="false">R350+Q350</f>
        <v>0.663636363636364</v>
      </c>
      <c r="T350" s="8" t="n">
        <f aca="false">R350-P350</f>
        <v>0</v>
      </c>
    </row>
    <row r="351" customFormat="false" ht="14.25" hidden="false" customHeight="true" outlineLevel="0" collapsed="false">
      <c r="A351" s="6" t="n">
        <v>2025</v>
      </c>
      <c r="B351" s="6" t="s">
        <v>212</v>
      </c>
      <c r="C351" s="6" t="s">
        <v>228</v>
      </c>
      <c r="D351" s="7" t="n">
        <v>5</v>
      </c>
      <c r="E351" s="7" t="n">
        <v>10</v>
      </c>
      <c r="F351" s="7" t="n">
        <v>1</v>
      </c>
      <c r="G351" s="7" t="n">
        <v>3</v>
      </c>
      <c r="H351" s="7" t="n">
        <v>0</v>
      </c>
      <c r="I351" s="7" t="n">
        <v>0</v>
      </c>
      <c r="J351" s="7" t="n">
        <v>0</v>
      </c>
      <c r="K351" s="7" t="n">
        <v>0</v>
      </c>
      <c r="L351" s="7" t="n">
        <v>3</v>
      </c>
      <c r="M351" s="7" t="n">
        <v>0</v>
      </c>
      <c r="N351" s="7" t="n">
        <v>0</v>
      </c>
      <c r="O351" s="7" t="n">
        <v>0</v>
      </c>
      <c r="P351" s="8" t="n">
        <f aca="false">IF(E351=0,0,G351/E351)</f>
        <v>0.3</v>
      </c>
      <c r="Q351" s="8" t="n">
        <f aca="false">IF(E351+N351=0,0,(G351+N351)/(E351+N351))</f>
        <v>0.3</v>
      </c>
      <c r="R351" s="8" t="n">
        <f aca="false">IF(E351=0,0,L351/E351)</f>
        <v>0.3</v>
      </c>
      <c r="S351" s="8" t="n">
        <f aca="false">R351+Q351</f>
        <v>0.6</v>
      </c>
      <c r="T351" s="8" t="n">
        <f aca="false">R351-P351</f>
        <v>0</v>
      </c>
    </row>
    <row r="352" customFormat="false" ht="14.25" hidden="false" customHeight="true" outlineLevel="0" collapsed="false">
      <c r="A352" s="6" t="n">
        <v>2025</v>
      </c>
      <c r="B352" s="6" t="s">
        <v>212</v>
      </c>
      <c r="C352" s="6" t="s">
        <v>214</v>
      </c>
      <c r="D352" s="7" t="n">
        <v>2</v>
      </c>
      <c r="E352" s="7" t="n">
        <v>3</v>
      </c>
      <c r="F352" s="7" t="n">
        <v>0</v>
      </c>
      <c r="G352" s="7" t="n">
        <v>1</v>
      </c>
      <c r="H352" s="7" t="n">
        <v>1</v>
      </c>
      <c r="I352" s="7" t="n">
        <v>0</v>
      </c>
      <c r="J352" s="7" t="n">
        <v>0</v>
      </c>
      <c r="K352" s="7" t="n">
        <v>1</v>
      </c>
      <c r="L352" s="7" t="n">
        <v>2</v>
      </c>
      <c r="M352" s="7" t="n">
        <v>1</v>
      </c>
      <c r="N352" s="7" t="n">
        <v>1</v>
      </c>
      <c r="O352" s="7" t="n">
        <v>0</v>
      </c>
      <c r="P352" s="8" t="n">
        <f aca="false">IF(E352=0,0,G352/E352)</f>
        <v>0.333333333333333</v>
      </c>
      <c r="Q352" s="8" t="n">
        <f aca="false">IF(E352+N352=0,0,(G352+N352)/(E352+N352))</f>
        <v>0.5</v>
      </c>
      <c r="R352" s="8" t="n">
        <f aca="false">IF(E352=0,0,L352/E352)</f>
        <v>0.666666666666667</v>
      </c>
      <c r="S352" s="8" t="n">
        <f aca="false">R352+Q352</f>
        <v>1.16666666666667</v>
      </c>
      <c r="T352" s="8" t="n">
        <f aca="false">R352-P352</f>
        <v>0.333333333333333</v>
      </c>
    </row>
    <row r="353" customFormat="false" ht="14.25" hidden="false" customHeight="true" outlineLevel="0" collapsed="false">
      <c r="A353" s="6" t="n">
        <v>2025</v>
      </c>
      <c r="B353" s="6" t="s">
        <v>212</v>
      </c>
      <c r="C353" s="6" t="s">
        <v>233</v>
      </c>
      <c r="D353" s="7" t="n">
        <v>1</v>
      </c>
      <c r="E353" s="7" t="n">
        <v>3</v>
      </c>
      <c r="F353" s="7" t="n">
        <v>0</v>
      </c>
      <c r="G353" s="7" t="n">
        <v>1</v>
      </c>
      <c r="H353" s="7" t="n">
        <v>0</v>
      </c>
      <c r="I353" s="7" t="n">
        <v>0</v>
      </c>
      <c r="J353" s="7" t="n">
        <v>0</v>
      </c>
      <c r="K353" s="7" t="n">
        <v>0</v>
      </c>
      <c r="L353" s="7" t="n">
        <v>1</v>
      </c>
      <c r="M353" s="7" t="n">
        <v>0</v>
      </c>
      <c r="N353" s="7" t="n">
        <v>0</v>
      </c>
      <c r="O353" s="7" t="n">
        <v>0</v>
      </c>
      <c r="P353" s="8" t="n">
        <f aca="false">IF(E353=0,0,G353/E353)</f>
        <v>0.333333333333333</v>
      </c>
      <c r="Q353" s="8" t="n">
        <f aca="false">IF(E353+N353=0,0,(G353+N353)/(E353+N353))</f>
        <v>0.333333333333333</v>
      </c>
      <c r="R353" s="8" t="n">
        <f aca="false">IF(E353=0,0,L353/E353)</f>
        <v>0.333333333333333</v>
      </c>
      <c r="S353" s="8" t="n">
        <f aca="false">R353+Q353</f>
        <v>0.666666666666667</v>
      </c>
      <c r="T353" s="8" t="n">
        <f aca="false">R353-P353</f>
        <v>0</v>
      </c>
    </row>
    <row r="354" customFormat="false" ht="14.25" hidden="false" customHeight="true" outlineLevel="0" collapsed="false">
      <c r="A354" s="6" t="n">
        <v>2025</v>
      </c>
      <c r="B354" s="6" t="s">
        <v>212</v>
      </c>
      <c r="C354" s="6" t="s">
        <v>279</v>
      </c>
      <c r="D354" s="7" t="n">
        <v>1</v>
      </c>
      <c r="E354" s="7" t="n">
        <v>3</v>
      </c>
      <c r="F354" s="7" t="n">
        <v>0</v>
      </c>
      <c r="G354" s="7" t="n">
        <v>1</v>
      </c>
      <c r="H354" s="7" t="n">
        <v>0</v>
      </c>
      <c r="I354" s="7" t="n">
        <v>0</v>
      </c>
      <c r="J354" s="7" t="n">
        <v>0</v>
      </c>
      <c r="K354" s="7" t="n">
        <v>0</v>
      </c>
      <c r="L354" s="7" t="n">
        <v>1</v>
      </c>
      <c r="M354" s="7" t="n">
        <v>0</v>
      </c>
      <c r="N354" s="7" t="n">
        <v>0</v>
      </c>
      <c r="O354" s="7" t="n">
        <v>0</v>
      </c>
      <c r="P354" s="8" t="n">
        <f aca="false">IF(E354=0,0,G354/E354)</f>
        <v>0.333333333333333</v>
      </c>
      <c r="Q354" s="8" t="n">
        <f aca="false">IF(E354+N354=0,0,(G354+N354)/(E354+N354))</f>
        <v>0.333333333333333</v>
      </c>
      <c r="R354" s="8" t="n">
        <f aca="false">IF(E354=0,0,L354/E354)</f>
        <v>0.333333333333333</v>
      </c>
      <c r="S354" s="8" t="n">
        <f aca="false">R354+Q354</f>
        <v>0.666666666666667</v>
      </c>
      <c r="T354" s="8" t="n">
        <f aca="false">R354-P354</f>
        <v>0</v>
      </c>
    </row>
    <row r="355" customFormat="false" ht="14.25" hidden="false" customHeight="true" outlineLevel="0" collapsed="false">
      <c r="A355" s="6" t="n">
        <v>2025</v>
      </c>
      <c r="B355" s="6" t="s">
        <v>212</v>
      </c>
      <c r="C355" s="6" t="s">
        <v>280</v>
      </c>
      <c r="D355" s="7" t="n">
        <v>1</v>
      </c>
      <c r="E355" s="7" t="n">
        <v>3</v>
      </c>
      <c r="F355" s="7" t="n">
        <v>0</v>
      </c>
      <c r="G355" s="7" t="n">
        <v>1</v>
      </c>
      <c r="H355" s="7" t="n">
        <v>0</v>
      </c>
      <c r="I355" s="7" t="n">
        <v>0</v>
      </c>
      <c r="J355" s="7" t="n">
        <v>0</v>
      </c>
      <c r="K355" s="7" t="n">
        <v>0</v>
      </c>
      <c r="L355" s="7" t="n">
        <v>1</v>
      </c>
      <c r="M355" s="7" t="n">
        <v>0</v>
      </c>
      <c r="N355" s="7" t="n">
        <v>0</v>
      </c>
      <c r="O355" s="7" t="n">
        <v>0</v>
      </c>
      <c r="P355" s="8" t="n">
        <f aca="false">IF(E355=0,0,G355/E355)</f>
        <v>0.333333333333333</v>
      </c>
      <c r="Q355" s="8" t="n">
        <f aca="false">IF(E355+N355=0,0,(G355+N355)/(E355+N355))</f>
        <v>0.333333333333333</v>
      </c>
      <c r="R355" s="8" t="n">
        <f aca="false">IF(E355=0,0,L355/E355)</f>
        <v>0.333333333333333</v>
      </c>
      <c r="S355" s="8" t="n">
        <f aca="false">R355+Q355</f>
        <v>0.666666666666667</v>
      </c>
      <c r="T355" s="8" t="n">
        <f aca="false">R355-P355</f>
        <v>0</v>
      </c>
    </row>
    <row r="356" customFormat="false" ht="14.25" hidden="false" customHeight="true" outlineLevel="0" collapsed="false">
      <c r="A356" s="6" t="n">
        <v>2025</v>
      </c>
      <c r="B356" s="6" t="s">
        <v>212</v>
      </c>
      <c r="C356" s="6" t="s">
        <v>225</v>
      </c>
      <c r="D356" s="7" t="n">
        <v>3</v>
      </c>
      <c r="E356" s="7" t="n">
        <v>6</v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2</v>
      </c>
      <c r="P356" s="8" t="n">
        <f aca="false">IF(E356=0,0,G356/E356)</f>
        <v>0</v>
      </c>
      <c r="Q356" s="8" t="n">
        <f aca="false">IF(E356+N356=0,0,(G356+N356)/(E356+N356))</f>
        <v>0</v>
      </c>
      <c r="R356" s="8" t="n">
        <f aca="false">IF(E356=0,0,L356/E356)</f>
        <v>0</v>
      </c>
      <c r="S356" s="8" t="n">
        <f aca="false">R356+Q356</f>
        <v>0</v>
      </c>
      <c r="T356" s="8" t="n">
        <f aca="false">R356-P356</f>
        <v>0</v>
      </c>
    </row>
    <row r="357" customFormat="false" ht="14.25" hidden="false" customHeight="true" outlineLevel="0" collapsed="false">
      <c r="A357" s="6" t="n">
        <v>2024</v>
      </c>
      <c r="B357" s="6" t="s">
        <v>50</v>
      </c>
      <c r="C357" s="6" t="s">
        <v>51</v>
      </c>
      <c r="D357" s="7" t="n">
        <v>10</v>
      </c>
      <c r="E357" s="7" t="n">
        <v>25</v>
      </c>
      <c r="F357" s="7" t="n">
        <v>12</v>
      </c>
      <c r="G357" s="7" t="n">
        <v>14</v>
      </c>
      <c r="H357" s="7" t="n">
        <v>2</v>
      </c>
      <c r="I357" s="7" t="n">
        <v>0</v>
      </c>
      <c r="J357" s="7" t="n">
        <v>7</v>
      </c>
      <c r="K357" s="7" t="n">
        <v>9</v>
      </c>
      <c r="L357" s="7" t="n">
        <v>37</v>
      </c>
      <c r="M357" s="7" t="n">
        <v>19</v>
      </c>
      <c r="N357" s="7" t="n">
        <v>11</v>
      </c>
      <c r="O357" s="7" t="n">
        <v>1</v>
      </c>
      <c r="P357" s="8" t="n">
        <f aca="false">IF(E357=0,0,G357/E357)</f>
        <v>0.56</v>
      </c>
      <c r="Q357" s="8" t="n">
        <f aca="false">IF(E357+N357=0,0,(G357+N357)/(E357+N357))</f>
        <v>0.694444444444444</v>
      </c>
      <c r="R357" s="8" t="n">
        <f aca="false">IF(E357=0,0,L357/E357)</f>
        <v>1.48</v>
      </c>
      <c r="S357" s="8" t="n">
        <f aca="false">R357+Q357</f>
        <v>2.17444444444444</v>
      </c>
      <c r="T357" s="8" t="n">
        <f aca="false">R357-P357</f>
        <v>0.92</v>
      </c>
    </row>
    <row r="358" customFormat="false" ht="14.25" hidden="false" customHeight="true" outlineLevel="0" collapsed="false">
      <c r="A358" s="6" t="n">
        <v>2024</v>
      </c>
      <c r="B358" s="6" t="s">
        <v>50</v>
      </c>
      <c r="C358" s="6" t="s">
        <v>52</v>
      </c>
      <c r="D358" s="7" t="n">
        <v>11</v>
      </c>
      <c r="E358" s="7" t="n">
        <v>32</v>
      </c>
      <c r="F358" s="7" t="n">
        <v>7</v>
      </c>
      <c r="G358" s="7" t="n">
        <v>14</v>
      </c>
      <c r="H358" s="7" t="n">
        <v>0</v>
      </c>
      <c r="I358" s="7" t="n">
        <v>0</v>
      </c>
      <c r="J358" s="7" t="n">
        <v>4</v>
      </c>
      <c r="K358" s="7" t="n">
        <v>4</v>
      </c>
      <c r="L358" s="7" t="n">
        <v>26</v>
      </c>
      <c r="M358" s="7" t="n">
        <v>15</v>
      </c>
      <c r="N358" s="7" t="n">
        <v>8</v>
      </c>
      <c r="O358" s="7" t="n">
        <v>3</v>
      </c>
      <c r="P358" s="8" t="n">
        <f aca="false">IF(E358=0,0,G358/E358)</f>
        <v>0.4375</v>
      </c>
      <c r="Q358" s="8" t="n">
        <f aca="false">IF(E358+N358=0,0,(G358+N358)/(E358+N358))</f>
        <v>0.55</v>
      </c>
      <c r="R358" s="8" t="n">
        <f aca="false">IF(E358=0,0,L358/E358)</f>
        <v>0.8125</v>
      </c>
      <c r="S358" s="8" t="n">
        <f aca="false">R358+Q358</f>
        <v>1.3625</v>
      </c>
      <c r="T358" s="8" t="n">
        <f aca="false">R358-P358</f>
        <v>0.375</v>
      </c>
    </row>
    <row r="359" customFormat="false" ht="14.25" hidden="false" customHeight="true" outlineLevel="0" collapsed="false">
      <c r="A359" s="6" t="n">
        <v>2024</v>
      </c>
      <c r="B359" s="6" t="s">
        <v>50</v>
      </c>
      <c r="C359" s="6" t="s">
        <v>57</v>
      </c>
      <c r="D359" s="7" t="n">
        <v>7</v>
      </c>
      <c r="E359" s="7" t="n">
        <v>24</v>
      </c>
      <c r="F359" s="7" t="n">
        <v>6</v>
      </c>
      <c r="G359" s="7" t="n">
        <v>11</v>
      </c>
      <c r="H359" s="7" t="n">
        <v>2</v>
      </c>
      <c r="I359" s="7" t="n">
        <v>0</v>
      </c>
      <c r="J359" s="7" t="n">
        <v>0</v>
      </c>
      <c r="K359" s="7" t="n">
        <v>2</v>
      </c>
      <c r="L359" s="7" t="n">
        <v>13</v>
      </c>
      <c r="M359" s="7" t="n">
        <v>1</v>
      </c>
      <c r="N359" s="7" t="n">
        <v>2</v>
      </c>
      <c r="O359" s="7" t="n">
        <v>0</v>
      </c>
      <c r="P359" s="8" t="n">
        <f aca="false">IF(E359=0,0,G359/E359)</f>
        <v>0.458333333333333</v>
      </c>
      <c r="Q359" s="8" t="n">
        <f aca="false">IF(E359+N359=0,0,(G359+N359)/(E359+N359))</f>
        <v>0.5</v>
      </c>
      <c r="R359" s="8" t="n">
        <f aca="false">IF(E359=0,0,L359/E359)</f>
        <v>0.541666666666667</v>
      </c>
      <c r="S359" s="8" t="n">
        <f aca="false">R359+Q359</f>
        <v>1.04166666666667</v>
      </c>
      <c r="T359" s="8" t="n">
        <f aca="false">R359-P359</f>
        <v>0.0833333333333333</v>
      </c>
    </row>
    <row r="360" customFormat="false" ht="14.25" hidden="false" customHeight="true" outlineLevel="0" collapsed="false">
      <c r="A360" s="6" t="n">
        <v>2024</v>
      </c>
      <c r="B360" s="6" t="s">
        <v>50</v>
      </c>
      <c r="C360" s="6" t="s">
        <v>55</v>
      </c>
      <c r="D360" s="7" t="n">
        <v>5</v>
      </c>
      <c r="E360" s="7" t="n">
        <v>18</v>
      </c>
      <c r="F360" s="7" t="n">
        <v>11</v>
      </c>
      <c r="G360" s="7" t="n">
        <v>9</v>
      </c>
      <c r="H360" s="7" t="n">
        <v>1</v>
      </c>
      <c r="I360" s="7" t="n">
        <v>0</v>
      </c>
      <c r="J360" s="7" t="n">
        <v>2</v>
      </c>
      <c r="K360" s="7" t="n">
        <v>3</v>
      </c>
      <c r="L360" s="7" t="n">
        <v>16</v>
      </c>
      <c r="M360" s="7" t="n">
        <v>6</v>
      </c>
      <c r="N360" s="7" t="n">
        <v>3</v>
      </c>
      <c r="O360" s="7" t="n">
        <v>0</v>
      </c>
      <c r="P360" s="8" t="n">
        <f aca="false">IF(E360=0,0,G360/E360)</f>
        <v>0.5</v>
      </c>
      <c r="Q360" s="8" t="n">
        <f aca="false">IF(E360+N360=0,0,(G360+N360)/(E360+N360))</f>
        <v>0.571428571428571</v>
      </c>
      <c r="R360" s="8" t="n">
        <f aca="false">IF(E360=0,0,L360/E360)</f>
        <v>0.888888888888889</v>
      </c>
      <c r="S360" s="8" t="n">
        <f aca="false">R360+Q360</f>
        <v>1.46031746031746</v>
      </c>
      <c r="T360" s="8" t="n">
        <f aca="false">R360-P360</f>
        <v>0.388888888888889</v>
      </c>
    </row>
    <row r="361" customFormat="false" ht="14.25" hidden="false" customHeight="true" outlineLevel="0" collapsed="false">
      <c r="A361" s="6" t="n">
        <v>2024</v>
      </c>
      <c r="B361" s="6" t="s">
        <v>50</v>
      </c>
      <c r="C361" s="6" t="s">
        <v>53</v>
      </c>
      <c r="D361" s="7" t="n">
        <v>8</v>
      </c>
      <c r="E361" s="7" t="n">
        <v>25</v>
      </c>
      <c r="F361" s="7" t="n">
        <v>10</v>
      </c>
      <c r="G361" s="7" t="n">
        <v>9</v>
      </c>
      <c r="H361" s="7" t="n">
        <v>1</v>
      </c>
      <c r="I361" s="7" t="n">
        <v>0</v>
      </c>
      <c r="J361" s="7" t="n">
        <v>1</v>
      </c>
      <c r="K361" s="7" t="n">
        <v>2</v>
      </c>
      <c r="L361" s="7" t="n">
        <v>13</v>
      </c>
      <c r="M361" s="7" t="n">
        <v>2</v>
      </c>
      <c r="N361" s="7" t="n">
        <v>3</v>
      </c>
      <c r="O361" s="7" t="n">
        <v>0</v>
      </c>
      <c r="P361" s="8" t="n">
        <f aca="false">IF(E361=0,0,G361/E361)</f>
        <v>0.36</v>
      </c>
      <c r="Q361" s="8" t="n">
        <f aca="false">IF(E361+N361=0,0,(G361+N361)/(E361+N361))</f>
        <v>0.428571428571429</v>
      </c>
      <c r="R361" s="8" t="n">
        <f aca="false">IF(E361=0,0,L361/E361)</f>
        <v>0.52</v>
      </c>
      <c r="S361" s="8" t="n">
        <f aca="false">R361+Q361</f>
        <v>0.948571428571429</v>
      </c>
      <c r="T361" s="8" t="n">
        <f aca="false">R361-P361</f>
        <v>0.16</v>
      </c>
    </row>
    <row r="362" customFormat="false" ht="14.25" hidden="false" customHeight="true" outlineLevel="0" collapsed="false">
      <c r="A362" s="6" t="n">
        <v>2024</v>
      </c>
      <c r="B362" s="6" t="s">
        <v>50</v>
      </c>
      <c r="C362" s="6" t="s">
        <v>56</v>
      </c>
      <c r="D362" s="7" t="n">
        <v>11</v>
      </c>
      <c r="E362" s="7" t="n">
        <v>36</v>
      </c>
      <c r="F362" s="7" t="n">
        <v>9</v>
      </c>
      <c r="G362" s="7" t="n">
        <v>8</v>
      </c>
      <c r="H362" s="7" t="n">
        <v>3</v>
      </c>
      <c r="I362" s="7" t="n">
        <v>0</v>
      </c>
      <c r="J362" s="7" t="n">
        <v>1</v>
      </c>
      <c r="K362" s="7" t="n">
        <v>4</v>
      </c>
      <c r="L362" s="7" t="n">
        <v>14</v>
      </c>
      <c r="M362" s="7" t="n">
        <v>8</v>
      </c>
      <c r="N362" s="7" t="n">
        <v>4</v>
      </c>
      <c r="O362" s="7" t="n">
        <v>0</v>
      </c>
      <c r="P362" s="8" t="n">
        <f aca="false">IF(E362=0,0,G362/E362)</f>
        <v>0.222222222222222</v>
      </c>
      <c r="Q362" s="8" t="n">
        <f aca="false">IF(E362+N362=0,0,(G362+N362)/(E362+N362))</f>
        <v>0.3</v>
      </c>
      <c r="R362" s="8" t="n">
        <f aca="false">IF(E362=0,0,L362/E362)</f>
        <v>0.388888888888889</v>
      </c>
      <c r="S362" s="8" t="n">
        <f aca="false">R362+Q362</f>
        <v>0.688888888888889</v>
      </c>
      <c r="T362" s="8" t="n">
        <f aca="false">R362-P362</f>
        <v>0.166666666666667</v>
      </c>
    </row>
    <row r="363" customFormat="false" ht="14.25" hidden="false" customHeight="true" outlineLevel="0" collapsed="false">
      <c r="A363" s="6" t="n">
        <v>2024</v>
      </c>
      <c r="B363" s="6" t="s">
        <v>50</v>
      </c>
      <c r="C363" s="6" t="s">
        <v>54</v>
      </c>
      <c r="D363" s="7" t="n">
        <v>7</v>
      </c>
      <c r="E363" s="7" t="n">
        <v>25</v>
      </c>
      <c r="F363" s="7" t="n">
        <v>5</v>
      </c>
      <c r="G363" s="7" t="n">
        <v>8</v>
      </c>
      <c r="H363" s="7" t="n">
        <v>0</v>
      </c>
      <c r="I363" s="7" t="n">
        <v>0</v>
      </c>
      <c r="J363" s="7" t="n">
        <v>0</v>
      </c>
      <c r="K363" s="7" t="n">
        <v>0</v>
      </c>
      <c r="L363" s="7" t="n">
        <v>8</v>
      </c>
      <c r="M363" s="7" t="n">
        <v>2</v>
      </c>
      <c r="N363" s="7" t="n">
        <v>1</v>
      </c>
      <c r="O363" s="7" t="n">
        <v>0</v>
      </c>
      <c r="P363" s="8" t="n">
        <f aca="false">IF(E363=0,0,G363/E363)</f>
        <v>0.32</v>
      </c>
      <c r="Q363" s="8" t="n">
        <f aca="false">IF(E363+N363=0,0,(G363+N363)/(E363+N363))</f>
        <v>0.346153846153846</v>
      </c>
      <c r="R363" s="8" t="n">
        <f aca="false">IF(E363=0,0,L363/E363)</f>
        <v>0.32</v>
      </c>
      <c r="S363" s="8" t="n">
        <f aca="false">R363+Q363</f>
        <v>0.666153846153846</v>
      </c>
      <c r="T363" s="8" t="n">
        <f aca="false">R363-P363</f>
        <v>0</v>
      </c>
    </row>
    <row r="364" customFormat="false" ht="14.25" hidden="false" customHeight="true" outlineLevel="0" collapsed="false">
      <c r="A364" s="6" t="n">
        <v>2024</v>
      </c>
      <c r="B364" s="6" t="s">
        <v>50</v>
      </c>
      <c r="C364" s="6" t="s">
        <v>59</v>
      </c>
      <c r="D364" s="7" t="n">
        <v>10</v>
      </c>
      <c r="E364" s="7" t="n">
        <v>29</v>
      </c>
      <c r="F364" s="7" t="n">
        <v>4</v>
      </c>
      <c r="G364" s="7" t="n">
        <v>6</v>
      </c>
      <c r="H364" s="7" t="n">
        <v>2</v>
      </c>
      <c r="I364" s="7" t="n">
        <v>0</v>
      </c>
      <c r="J364" s="7" t="n">
        <v>0</v>
      </c>
      <c r="K364" s="7" t="n">
        <v>2</v>
      </c>
      <c r="L364" s="7" t="n">
        <v>8</v>
      </c>
      <c r="M364" s="7" t="n">
        <v>2</v>
      </c>
      <c r="N364" s="7" t="n">
        <v>1</v>
      </c>
      <c r="O364" s="7" t="n">
        <v>2</v>
      </c>
      <c r="P364" s="8" t="n">
        <f aca="false">IF(E364=0,0,G364/E364)</f>
        <v>0.206896551724138</v>
      </c>
      <c r="Q364" s="8" t="n">
        <f aca="false">IF(E364+N364=0,0,(G364+N364)/(E364+N364))</f>
        <v>0.233333333333333</v>
      </c>
      <c r="R364" s="8" t="n">
        <f aca="false">IF(E364=0,0,L364/E364)</f>
        <v>0.275862068965517</v>
      </c>
      <c r="S364" s="8" t="n">
        <f aca="false">R364+Q364</f>
        <v>0.509195402298851</v>
      </c>
      <c r="T364" s="8" t="n">
        <f aca="false">R364-P364</f>
        <v>0.0689655172413793</v>
      </c>
    </row>
    <row r="365" customFormat="false" ht="14.25" hidden="false" customHeight="true" outlineLevel="0" collapsed="false">
      <c r="A365" s="6" t="n">
        <v>2024</v>
      </c>
      <c r="B365" s="6" t="s">
        <v>50</v>
      </c>
      <c r="C365" s="6" t="s">
        <v>62</v>
      </c>
      <c r="D365" s="7" t="n">
        <v>10</v>
      </c>
      <c r="E365" s="7" t="n">
        <v>28</v>
      </c>
      <c r="F365" s="7" t="n">
        <v>3</v>
      </c>
      <c r="G365" s="7" t="n">
        <v>6</v>
      </c>
      <c r="H365" s="7" t="n">
        <v>0</v>
      </c>
      <c r="I365" s="7" t="n">
        <v>0</v>
      </c>
      <c r="J365" s="7" t="n">
        <v>0</v>
      </c>
      <c r="K365" s="7" t="n">
        <v>0</v>
      </c>
      <c r="L365" s="7" t="n">
        <v>6</v>
      </c>
      <c r="M365" s="7" t="n">
        <v>1</v>
      </c>
      <c r="N365" s="7" t="n">
        <v>1</v>
      </c>
      <c r="O365" s="7" t="n">
        <v>1</v>
      </c>
      <c r="P365" s="8" t="n">
        <f aca="false">IF(E365=0,0,G365/E365)</f>
        <v>0.214285714285714</v>
      </c>
      <c r="Q365" s="8" t="n">
        <f aca="false">IF(E365+N365=0,0,(G365+N365)/(E365+N365))</f>
        <v>0.241379310344828</v>
      </c>
      <c r="R365" s="8" t="n">
        <f aca="false">IF(E365=0,0,L365/E365)</f>
        <v>0.214285714285714</v>
      </c>
      <c r="S365" s="8" t="n">
        <f aca="false">R365+Q365</f>
        <v>0.455665024630542</v>
      </c>
      <c r="T365" s="8" t="n">
        <f aca="false">R365-P365</f>
        <v>0</v>
      </c>
    </row>
    <row r="366" customFormat="false" ht="14.25" hidden="false" customHeight="true" outlineLevel="0" collapsed="false">
      <c r="A366" s="6" t="n">
        <v>2024</v>
      </c>
      <c r="B366" s="6" t="s">
        <v>50</v>
      </c>
      <c r="C366" s="6" t="s">
        <v>64</v>
      </c>
      <c r="D366" s="7" t="n">
        <v>7</v>
      </c>
      <c r="E366" s="7" t="n">
        <v>19</v>
      </c>
      <c r="F366" s="7" t="n">
        <v>6</v>
      </c>
      <c r="G366" s="7" t="n">
        <v>5</v>
      </c>
      <c r="H366" s="7" t="n">
        <v>1</v>
      </c>
      <c r="I366" s="7" t="n">
        <v>0</v>
      </c>
      <c r="J366" s="7" t="n">
        <v>2</v>
      </c>
      <c r="K366" s="7" t="n">
        <v>3</v>
      </c>
      <c r="L366" s="7" t="n">
        <v>12</v>
      </c>
      <c r="M366" s="7" t="n">
        <v>6</v>
      </c>
      <c r="N366" s="7" t="n">
        <v>5</v>
      </c>
      <c r="O366" s="7" t="n">
        <v>1</v>
      </c>
      <c r="P366" s="8" t="n">
        <f aca="false">IF(E366=0,0,G366/E366)</f>
        <v>0.263157894736842</v>
      </c>
      <c r="Q366" s="8" t="n">
        <f aca="false">IF(E366+N366=0,0,(G366+N366)/(E366+N366))</f>
        <v>0.416666666666667</v>
      </c>
      <c r="R366" s="8" t="n">
        <f aca="false">IF(E366=0,0,L366/E366)</f>
        <v>0.631578947368421</v>
      </c>
      <c r="S366" s="8" t="n">
        <f aca="false">R366+Q366</f>
        <v>1.04824561403509</v>
      </c>
      <c r="T366" s="8" t="n">
        <f aca="false">R366-P366</f>
        <v>0.368421052631579</v>
      </c>
    </row>
    <row r="367" customFormat="false" ht="14.25" hidden="false" customHeight="true" outlineLevel="0" collapsed="false">
      <c r="A367" s="6" t="n">
        <v>2024</v>
      </c>
      <c r="B367" s="6" t="s">
        <v>50</v>
      </c>
      <c r="C367" s="6" t="s">
        <v>237</v>
      </c>
      <c r="D367" s="7" t="n">
        <v>2</v>
      </c>
      <c r="E367" s="7" t="n">
        <v>7</v>
      </c>
      <c r="F367" s="7" t="n">
        <v>6</v>
      </c>
      <c r="G367" s="7" t="n">
        <v>4</v>
      </c>
      <c r="H367" s="7" t="n">
        <v>0</v>
      </c>
      <c r="I367" s="7" t="n">
        <v>0</v>
      </c>
      <c r="J367" s="7" t="n">
        <v>3</v>
      </c>
      <c r="K367" s="7" t="n">
        <v>3</v>
      </c>
      <c r="L367" s="7" t="n">
        <v>13</v>
      </c>
      <c r="M367" s="7" t="n">
        <v>7</v>
      </c>
      <c r="N367" s="7" t="n">
        <v>2</v>
      </c>
      <c r="O367" s="7" t="n">
        <v>0</v>
      </c>
      <c r="P367" s="8" t="n">
        <f aca="false">IF(E367=0,0,G367/E367)</f>
        <v>0.571428571428571</v>
      </c>
      <c r="Q367" s="8" t="n">
        <f aca="false">IF(E367+N367=0,0,(G367+N367)/(E367+N367))</f>
        <v>0.666666666666667</v>
      </c>
      <c r="R367" s="8" t="n">
        <f aca="false">IF(E367=0,0,L367/E367)</f>
        <v>1.85714285714286</v>
      </c>
      <c r="S367" s="8" t="n">
        <f aca="false">R367+Q367</f>
        <v>2.52380952380952</v>
      </c>
      <c r="T367" s="8" t="n">
        <f aca="false">R367-P367</f>
        <v>1.28571428571429</v>
      </c>
    </row>
    <row r="368" customFormat="false" ht="14.25" hidden="false" customHeight="true" outlineLevel="0" collapsed="false">
      <c r="A368" s="6" t="n">
        <v>2024</v>
      </c>
      <c r="B368" s="6" t="s">
        <v>50</v>
      </c>
      <c r="C368" s="6" t="s">
        <v>69</v>
      </c>
      <c r="D368" s="7" t="n">
        <v>4</v>
      </c>
      <c r="E368" s="7" t="n">
        <v>13</v>
      </c>
      <c r="F368" s="7" t="n">
        <v>3</v>
      </c>
      <c r="G368" s="7" t="n">
        <v>4</v>
      </c>
      <c r="H368" s="7" t="n">
        <v>0</v>
      </c>
      <c r="I368" s="7" t="n">
        <v>0</v>
      </c>
      <c r="J368" s="7" t="n">
        <v>1</v>
      </c>
      <c r="K368" s="7" t="n">
        <v>1</v>
      </c>
      <c r="L368" s="7" t="n">
        <v>7</v>
      </c>
      <c r="M368" s="7" t="n">
        <v>4</v>
      </c>
      <c r="N368" s="7" t="n">
        <v>0</v>
      </c>
      <c r="O368" s="7" t="n">
        <v>1</v>
      </c>
      <c r="P368" s="8" t="n">
        <f aca="false">IF(E368=0,0,G368/E368)</f>
        <v>0.307692307692308</v>
      </c>
      <c r="Q368" s="8" t="n">
        <f aca="false">IF(E368+N368=0,0,(G368+N368)/(E368+N368))</f>
        <v>0.307692307692308</v>
      </c>
      <c r="R368" s="8" t="n">
        <f aca="false">IF(E368=0,0,L368/E368)</f>
        <v>0.538461538461538</v>
      </c>
      <c r="S368" s="8" t="n">
        <f aca="false">R368+Q368</f>
        <v>0.846153846153846</v>
      </c>
      <c r="T368" s="8" t="n">
        <f aca="false">R368-P368</f>
        <v>0.230769230769231</v>
      </c>
    </row>
    <row r="369" customFormat="false" ht="14.25" hidden="false" customHeight="true" outlineLevel="0" collapsed="false">
      <c r="A369" s="6" t="n">
        <v>2024</v>
      </c>
      <c r="B369" s="6" t="s">
        <v>50</v>
      </c>
      <c r="C369" s="6" t="s">
        <v>60</v>
      </c>
      <c r="D369" s="7" t="n">
        <v>6</v>
      </c>
      <c r="E369" s="7" t="n">
        <v>18</v>
      </c>
      <c r="F369" s="7" t="n">
        <v>3</v>
      </c>
      <c r="G369" s="7" t="n">
        <v>3</v>
      </c>
      <c r="H369" s="7" t="n">
        <v>1</v>
      </c>
      <c r="I369" s="7" t="n">
        <v>0</v>
      </c>
      <c r="J369" s="7" t="n">
        <v>0</v>
      </c>
      <c r="K369" s="7" t="n">
        <v>1</v>
      </c>
      <c r="L369" s="7" t="n">
        <v>4</v>
      </c>
      <c r="M369" s="7" t="n">
        <v>3</v>
      </c>
      <c r="N369" s="7" t="n">
        <v>3</v>
      </c>
      <c r="O369" s="7" t="n">
        <v>2</v>
      </c>
      <c r="P369" s="8" t="n">
        <f aca="false">IF(E369=0,0,G369/E369)</f>
        <v>0.166666666666667</v>
      </c>
      <c r="Q369" s="8" t="n">
        <f aca="false">IF(E369+N369=0,0,(G369+N369)/(E369+N369))</f>
        <v>0.285714285714286</v>
      </c>
      <c r="R369" s="8" t="n">
        <f aca="false">IF(E369=0,0,L369/E369)</f>
        <v>0.222222222222222</v>
      </c>
      <c r="S369" s="8" t="n">
        <f aca="false">R369+Q369</f>
        <v>0.507936507936508</v>
      </c>
      <c r="T369" s="8" t="n">
        <f aca="false">R369-P369</f>
        <v>0.0555555555555556</v>
      </c>
    </row>
    <row r="370" customFormat="false" ht="14.25" hidden="false" customHeight="true" outlineLevel="0" collapsed="false">
      <c r="A370" s="6" t="n">
        <v>2024</v>
      </c>
      <c r="B370" s="6" t="s">
        <v>50</v>
      </c>
      <c r="C370" s="6" t="s">
        <v>241</v>
      </c>
      <c r="D370" s="7" t="n">
        <v>2</v>
      </c>
      <c r="E370" s="7" t="n">
        <v>4</v>
      </c>
      <c r="F370" s="7" t="n">
        <v>0</v>
      </c>
      <c r="G370" s="7" t="n">
        <v>2</v>
      </c>
      <c r="H370" s="7" t="n">
        <v>1</v>
      </c>
      <c r="I370" s="7" t="n">
        <v>0</v>
      </c>
      <c r="J370" s="7" t="n">
        <v>0</v>
      </c>
      <c r="K370" s="7" t="n">
        <v>1</v>
      </c>
      <c r="L370" s="7" t="n">
        <v>3</v>
      </c>
      <c r="M370" s="7" t="n">
        <v>0</v>
      </c>
      <c r="N370" s="7" t="n">
        <v>1</v>
      </c>
      <c r="O370" s="7" t="n">
        <v>0</v>
      </c>
      <c r="P370" s="8" t="n">
        <f aca="false">IF(E370=0,0,G370/E370)</f>
        <v>0.5</v>
      </c>
      <c r="Q370" s="8" t="n">
        <f aca="false">IF(E370+N370=0,0,(G370+N370)/(E370+N370))</f>
        <v>0.6</v>
      </c>
      <c r="R370" s="8" t="n">
        <f aca="false">IF(E370=0,0,L370/E370)</f>
        <v>0.75</v>
      </c>
      <c r="S370" s="8" t="n">
        <f aca="false">R370+Q370</f>
        <v>1.35</v>
      </c>
      <c r="T370" s="8" t="n">
        <f aca="false">R370-P370</f>
        <v>0.25</v>
      </c>
    </row>
    <row r="371" customFormat="false" ht="14.25" hidden="false" customHeight="true" outlineLevel="0" collapsed="false">
      <c r="A371" s="6" t="n">
        <v>2024</v>
      </c>
      <c r="B371" s="6" t="s">
        <v>50</v>
      </c>
      <c r="C371" s="6" t="s">
        <v>63</v>
      </c>
      <c r="D371" s="7" t="n">
        <v>5</v>
      </c>
      <c r="E371" s="7" t="n">
        <v>9</v>
      </c>
      <c r="F371" s="7" t="n">
        <v>0</v>
      </c>
      <c r="G371" s="7" t="n">
        <v>2</v>
      </c>
      <c r="H371" s="7" t="n">
        <v>0</v>
      </c>
      <c r="I371" s="7" t="n">
        <v>0</v>
      </c>
      <c r="J371" s="7" t="n">
        <v>0</v>
      </c>
      <c r="K371" s="7" t="n">
        <v>0</v>
      </c>
      <c r="L371" s="7" t="n">
        <v>2</v>
      </c>
      <c r="M371" s="7" t="n">
        <v>1</v>
      </c>
      <c r="N371" s="7" t="n">
        <v>0</v>
      </c>
      <c r="O371" s="7" t="n">
        <v>1</v>
      </c>
      <c r="P371" s="8" t="n">
        <f aca="false">IF(E371=0,0,G371/E371)</f>
        <v>0.222222222222222</v>
      </c>
      <c r="Q371" s="8" t="n">
        <f aca="false">IF(E371+N371=0,0,(G371+N371)/(E371+N371))</f>
        <v>0.222222222222222</v>
      </c>
      <c r="R371" s="8" t="n">
        <f aca="false">IF(E371=0,0,L371/E371)</f>
        <v>0.222222222222222</v>
      </c>
      <c r="S371" s="8" t="n">
        <f aca="false">R371+Q371</f>
        <v>0.444444444444444</v>
      </c>
      <c r="T371" s="8" t="n">
        <f aca="false">R371-P371</f>
        <v>0</v>
      </c>
    </row>
    <row r="372" customFormat="false" ht="14.25" hidden="false" customHeight="true" outlineLevel="0" collapsed="false">
      <c r="A372" s="6" t="n">
        <v>2024</v>
      </c>
      <c r="B372" s="6" t="s">
        <v>50</v>
      </c>
      <c r="C372" s="6" t="s">
        <v>67</v>
      </c>
      <c r="D372" s="7" t="n">
        <v>7</v>
      </c>
      <c r="E372" s="7" t="n">
        <v>10</v>
      </c>
      <c r="F372" s="7" t="n">
        <v>3</v>
      </c>
      <c r="G372" s="7" t="n">
        <v>2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2</v>
      </c>
      <c r="M372" s="7" t="n">
        <v>0</v>
      </c>
      <c r="N372" s="7" t="n">
        <v>1</v>
      </c>
      <c r="O372" s="7" t="n">
        <v>1</v>
      </c>
      <c r="P372" s="8" t="n">
        <f aca="false">IF(E372=0,0,G372/E372)</f>
        <v>0.2</v>
      </c>
      <c r="Q372" s="8" t="n">
        <f aca="false">IF(E372+N372=0,0,(G372+N372)/(E372+N372))</f>
        <v>0.272727272727273</v>
      </c>
      <c r="R372" s="8" t="n">
        <f aca="false">IF(E372=0,0,L372/E372)</f>
        <v>0.2</v>
      </c>
      <c r="S372" s="8" t="n">
        <f aca="false">R372+Q372</f>
        <v>0.472727272727273</v>
      </c>
      <c r="T372" s="8" t="n">
        <f aca="false">R372-P372</f>
        <v>0</v>
      </c>
    </row>
    <row r="373" customFormat="false" ht="14.25" hidden="false" customHeight="true" outlineLevel="0" collapsed="false">
      <c r="A373" s="6" t="n">
        <v>2024</v>
      </c>
      <c r="B373" s="6" t="s">
        <v>50</v>
      </c>
      <c r="C373" s="6" t="s">
        <v>239</v>
      </c>
      <c r="D373" s="7" t="n">
        <v>1</v>
      </c>
      <c r="E373" s="7" t="n">
        <v>2</v>
      </c>
      <c r="F373" s="7" t="n">
        <v>1</v>
      </c>
      <c r="G373" s="7" t="n">
        <v>1</v>
      </c>
      <c r="H373" s="7" t="n">
        <v>0</v>
      </c>
      <c r="I373" s="7" t="n">
        <v>0</v>
      </c>
      <c r="J373" s="7" t="n">
        <v>1</v>
      </c>
      <c r="K373" s="7" t="n">
        <v>1</v>
      </c>
      <c r="L373" s="7" t="n">
        <v>4</v>
      </c>
      <c r="M373" s="7" t="n">
        <v>1</v>
      </c>
      <c r="N373" s="7" t="n">
        <v>1</v>
      </c>
      <c r="O373" s="7" t="n">
        <v>0</v>
      </c>
      <c r="P373" s="8" t="n">
        <f aca="false">IF(E373=0,0,G373/E373)</f>
        <v>0.5</v>
      </c>
      <c r="Q373" s="8" t="n">
        <f aca="false">IF(E373+N373=0,0,(G373+N373)/(E373+N373))</f>
        <v>0.666666666666667</v>
      </c>
      <c r="R373" s="8" t="n">
        <f aca="false">IF(E373=0,0,L373/E373)</f>
        <v>2</v>
      </c>
      <c r="S373" s="8" t="n">
        <f aca="false">R373+Q373</f>
        <v>2.66666666666667</v>
      </c>
      <c r="T373" s="8" t="n">
        <f aca="false">R373-P373</f>
        <v>1.5</v>
      </c>
    </row>
    <row r="374" customFormat="false" ht="14.25" hidden="false" customHeight="true" outlineLevel="0" collapsed="false">
      <c r="A374" s="6" t="n">
        <v>2024</v>
      </c>
      <c r="B374" s="6" t="s">
        <v>50</v>
      </c>
      <c r="C374" s="6" t="s">
        <v>240</v>
      </c>
      <c r="D374" s="7" t="n">
        <v>3</v>
      </c>
      <c r="E374" s="7" t="n">
        <v>3</v>
      </c>
      <c r="F374" s="7" t="n">
        <v>0</v>
      </c>
      <c r="G374" s="7" t="n">
        <v>1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1</v>
      </c>
      <c r="M374" s="7" t="n">
        <v>1</v>
      </c>
      <c r="N374" s="7" t="n">
        <v>0</v>
      </c>
      <c r="O374" s="7" t="n">
        <v>0</v>
      </c>
      <c r="P374" s="8" t="n">
        <f aca="false">IF(E374=0,0,G374/E374)</f>
        <v>0.333333333333333</v>
      </c>
      <c r="Q374" s="8" t="n">
        <f aca="false">IF(E374+N374=0,0,(G374+N374)/(E374+N374))</f>
        <v>0.333333333333333</v>
      </c>
      <c r="R374" s="8" t="n">
        <f aca="false">IF(E374=0,0,L374/E374)</f>
        <v>0.333333333333333</v>
      </c>
      <c r="S374" s="8" t="n">
        <f aca="false">R374+Q374</f>
        <v>0.666666666666667</v>
      </c>
      <c r="T374" s="8" t="n">
        <f aca="false">R374-P374</f>
        <v>0</v>
      </c>
    </row>
    <row r="375" customFormat="false" ht="14.25" hidden="false" customHeight="true" outlineLevel="0" collapsed="false">
      <c r="A375" s="6" t="n">
        <v>2024</v>
      </c>
      <c r="B375" s="6" t="s">
        <v>50</v>
      </c>
      <c r="C375" s="6" t="s">
        <v>239</v>
      </c>
      <c r="D375" s="7" t="n">
        <v>2</v>
      </c>
      <c r="E375" s="7" t="n">
        <v>4</v>
      </c>
      <c r="F375" s="7" t="n">
        <v>1</v>
      </c>
      <c r="G375" s="7" t="n">
        <v>1</v>
      </c>
      <c r="H375" s="7" t="n">
        <v>0</v>
      </c>
      <c r="I375" s="7" t="n">
        <v>0</v>
      </c>
      <c r="J375" s="7" t="n">
        <v>0</v>
      </c>
      <c r="K375" s="7" t="n">
        <v>0</v>
      </c>
      <c r="L375" s="7" t="n">
        <v>1</v>
      </c>
      <c r="M375" s="7" t="n">
        <v>1</v>
      </c>
      <c r="N375" s="7" t="n">
        <v>0</v>
      </c>
      <c r="O375" s="7" t="n">
        <v>0</v>
      </c>
      <c r="P375" s="8" t="n">
        <f aca="false">IF(E375=0,0,G375/E375)</f>
        <v>0.25</v>
      </c>
      <c r="Q375" s="8" t="n">
        <f aca="false">IF(E375+N375=0,0,(G375+N375)/(E375+N375))</f>
        <v>0.25</v>
      </c>
      <c r="R375" s="8" t="n">
        <f aca="false">IF(E375=0,0,L375/E375)</f>
        <v>0.25</v>
      </c>
      <c r="S375" s="8" t="n">
        <f aca="false">R375+Q375</f>
        <v>0.5</v>
      </c>
      <c r="T375" s="8" t="n">
        <f aca="false">R375-P375</f>
        <v>0</v>
      </c>
    </row>
    <row r="376" customFormat="false" ht="14.25" hidden="false" customHeight="true" outlineLevel="0" collapsed="false">
      <c r="A376" s="6" t="n">
        <v>2024</v>
      </c>
      <c r="B376" s="6" t="s">
        <v>50</v>
      </c>
      <c r="C376" s="6" t="s">
        <v>66</v>
      </c>
      <c r="D376" s="7" t="n">
        <v>3</v>
      </c>
      <c r="E376" s="7" t="n">
        <v>6</v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2</v>
      </c>
      <c r="N376" s="7" t="n">
        <v>0</v>
      </c>
      <c r="O376" s="7" t="n">
        <v>0</v>
      </c>
      <c r="P376" s="8" t="n">
        <f aca="false">IF(E376=0,0,G376/E376)</f>
        <v>0</v>
      </c>
      <c r="Q376" s="8" t="n">
        <f aca="false">IF(E376+N376=0,0,(G376+N376)/(E376+N376))</f>
        <v>0</v>
      </c>
      <c r="R376" s="8" t="n">
        <f aca="false">IF(E376=0,0,L376/E376)</f>
        <v>0</v>
      </c>
      <c r="S376" s="8" t="n">
        <f aca="false">R376+Q376</f>
        <v>0</v>
      </c>
      <c r="T376" s="8" t="n">
        <f aca="false">R376-P376</f>
        <v>0</v>
      </c>
    </row>
    <row r="377" customFormat="false" ht="14.25" hidden="false" customHeight="true" outlineLevel="0" collapsed="false">
      <c r="A377" s="6" t="n">
        <v>2024</v>
      </c>
      <c r="B377" s="6" t="s">
        <v>50</v>
      </c>
      <c r="C377" s="6" t="s">
        <v>70</v>
      </c>
      <c r="D377" s="7" t="n">
        <v>2</v>
      </c>
      <c r="E377" s="7" t="n">
        <v>3</v>
      </c>
      <c r="F377" s="7" t="n">
        <v>0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0</v>
      </c>
      <c r="L377" s="7" t="n">
        <v>0</v>
      </c>
      <c r="M377" s="7" t="n">
        <v>0</v>
      </c>
      <c r="N377" s="7" t="n">
        <v>0</v>
      </c>
      <c r="O377" s="7" t="n">
        <v>0</v>
      </c>
      <c r="P377" s="8" t="n">
        <f aca="false">IF(E377=0,0,G377/E377)</f>
        <v>0</v>
      </c>
      <c r="Q377" s="8" t="n">
        <f aca="false">IF(E377+N377=0,0,(G377+N377)/(E377+N377))</f>
        <v>0</v>
      </c>
      <c r="R377" s="8" t="n">
        <f aca="false">IF(E377=0,0,L377/E377)</f>
        <v>0</v>
      </c>
      <c r="S377" s="8" t="n">
        <f aca="false">R377+Q377</f>
        <v>0</v>
      </c>
      <c r="T377" s="8" t="n">
        <f aca="false">R377-P377</f>
        <v>0</v>
      </c>
    </row>
    <row r="378" customFormat="false" ht="14.25" hidden="false" customHeight="true" outlineLevel="0" collapsed="false">
      <c r="A378" s="6" t="n">
        <v>2024</v>
      </c>
      <c r="B378" s="6" t="s">
        <v>71</v>
      </c>
      <c r="C378" s="6" t="s">
        <v>73</v>
      </c>
      <c r="D378" s="7" t="n">
        <v>9</v>
      </c>
      <c r="E378" s="7" t="n">
        <v>29</v>
      </c>
      <c r="F378" s="7" t="n">
        <v>8</v>
      </c>
      <c r="G378" s="7" t="n">
        <v>12</v>
      </c>
      <c r="H378" s="7" t="n">
        <v>1</v>
      </c>
      <c r="I378" s="7" t="n">
        <v>0</v>
      </c>
      <c r="J378" s="7" t="n">
        <v>3</v>
      </c>
      <c r="K378" s="7" t="n">
        <v>4</v>
      </c>
      <c r="L378" s="7" t="n">
        <v>22</v>
      </c>
      <c r="M378" s="7" t="n">
        <v>7</v>
      </c>
      <c r="N378" s="7" t="n">
        <v>6</v>
      </c>
      <c r="O378" s="7" t="n">
        <v>1</v>
      </c>
      <c r="P378" s="8" t="n">
        <f aca="false">IF(E378=0,0,G378/E378)</f>
        <v>0.413793103448276</v>
      </c>
      <c r="Q378" s="8" t="n">
        <f aca="false">IF(E378+N378=0,0,(G378+N378)/(E378+N378))</f>
        <v>0.514285714285714</v>
      </c>
      <c r="R378" s="8" t="n">
        <f aca="false">IF(E378=0,0,L378/E378)</f>
        <v>0.758620689655172</v>
      </c>
      <c r="S378" s="8" t="n">
        <f aca="false">R378+Q378</f>
        <v>1.27290640394089</v>
      </c>
      <c r="T378" s="8" t="n">
        <f aca="false">R378-P378</f>
        <v>0.344827586206897</v>
      </c>
    </row>
    <row r="379" customFormat="false" ht="14.25" hidden="false" customHeight="true" outlineLevel="0" collapsed="false">
      <c r="A379" s="6" t="n">
        <v>2024</v>
      </c>
      <c r="B379" s="6" t="s">
        <v>71</v>
      </c>
      <c r="C379" s="6" t="s">
        <v>72</v>
      </c>
      <c r="D379" s="7" t="n">
        <v>7</v>
      </c>
      <c r="E379" s="7" t="n">
        <v>24</v>
      </c>
      <c r="F379" s="7" t="n">
        <v>10</v>
      </c>
      <c r="G379" s="7" t="n">
        <v>9</v>
      </c>
      <c r="H379" s="7" t="n">
        <v>1</v>
      </c>
      <c r="I379" s="7" t="n">
        <v>0</v>
      </c>
      <c r="J379" s="7" t="n">
        <v>6</v>
      </c>
      <c r="K379" s="7" t="n">
        <v>7</v>
      </c>
      <c r="L379" s="7" t="n">
        <v>28</v>
      </c>
      <c r="M379" s="7" t="n">
        <v>13</v>
      </c>
      <c r="N379" s="7" t="n">
        <v>2</v>
      </c>
      <c r="O379" s="7" t="n">
        <v>1</v>
      </c>
      <c r="P379" s="8" t="n">
        <f aca="false">IF(E379=0,0,G379/E379)</f>
        <v>0.375</v>
      </c>
      <c r="Q379" s="8" t="n">
        <f aca="false">IF(E379+N379=0,0,(G379+N379)/(E379+N379))</f>
        <v>0.423076923076923</v>
      </c>
      <c r="R379" s="8" t="n">
        <f aca="false">IF(E379=0,0,L379/E379)</f>
        <v>1.16666666666667</v>
      </c>
      <c r="S379" s="8" t="n">
        <f aca="false">R379+Q379</f>
        <v>1.58974358974359</v>
      </c>
      <c r="T379" s="8" t="n">
        <f aca="false">R379-P379</f>
        <v>0.791666666666667</v>
      </c>
    </row>
    <row r="380" customFormat="false" ht="14.25" hidden="false" customHeight="true" outlineLevel="0" collapsed="false">
      <c r="A380" s="6" t="n">
        <v>2024</v>
      </c>
      <c r="B380" s="6" t="s">
        <v>71</v>
      </c>
      <c r="C380" s="6" t="s">
        <v>76</v>
      </c>
      <c r="D380" s="7" t="n">
        <v>9</v>
      </c>
      <c r="E380" s="7" t="n">
        <v>25</v>
      </c>
      <c r="F380" s="7" t="n">
        <v>7</v>
      </c>
      <c r="G380" s="7" t="n">
        <v>9</v>
      </c>
      <c r="H380" s="7" t="n">
        <v>5</v>
      </c>
      <c r="I380" s="7" t="n">
        <v>0</v>
      </c>
      <c r="J380" s="7" t="n">
        <v>0</v>
      </c>
      <c r="K380" s="7" t="n">
        <v>5</v>
      </c>
      <c r="L380" s="7" t="n">
        <v>14</v>
      </c>
      <c r="M380" s="7" t="n">
        <v>0</v>
      </c>
      <c r="N380" s="7" t="n">
        <v>3</v>
      </c>
      <c r="O380" s="7" t="n">
        <v>1</v>
      </c>
      <c r="P380" s="8" t="n">
        <f aca="false">IF(E380=0,0,G380/E380)</f>
        <v>0.36</v>
      </c>
      <c r="Q380" s="8" t="n">
        <f aca="false">IF(E380+N380=0,0,(G380+N380)/(E380+N380))</f>
        <v>0.428571428571429</v>
      </c>
      <c r="R380" s="8" t="n">
        <f aca="false">IF(E380=0,0,L380/E380)</f>
        <v>0.56</v>
      </c>
      <c r="S380" s="8" t="n">
        <f aca="false">R380+Q380</f>
        <v>0.988571428571429</v>
      </c>
      <c r="T380" s="8" t="n">
        <f aca="false">R380-P380</f>
        <v>0.2</v>
      </c>
    </row>
    <row r="381" customFormat="false" ht="14.25" hidden="false" customHeight="true" outlineLevel="0" collapsed="false">
      <c r="A381" s="6" t="n">
        <v>2024</v>
      </c>
      <c r="B381" s="6" t="s">
        <v>71</v>
      </c>
      <c r="C381" s="6" t="s">
        <v>81</v>
      </c>
      <c r="D381" s="7" t="n">
        <v>4</v>
      </c>
      <c r="E381" s="7" t="n">
        <v>15</v>
      </c>
      <c r="F381" s="7" t="n">
        <v>5</v>
      </c>
      <c r="G381" s="7" t="n">
        <v>8</v>
      </c>
      <c r="H381" s="7" t="n">
        <v>1</v>
      </c>
      <c r="I381" s="7" t="n">
        <v>0</v>
      </c>
      <c r="J381" s="7" t="n">
        <v>3</v>
      </c>
      <c r="K381" s="7" t="n">
        <v>4</v>
      </c>
      <c r="L381" s="7" t="n">
        <v>18</v>
      </c>
      <c r="M381" s="7" t="n">
        <v>6</v>
      </c>
      <c r="N381" s="7" t="n">
        <v>1</v>
      </c>
      <c r="O381" s="7" t="n">
        <v>0</v>
      </c>
      <c r="P381" s="8" t="n">
        <f aca="false">IF(E381=0,0,G381/E381)</f>
        <v>0.533333333333333</v>
      </c>
      <c r="Q381" s="8" t="n">
        <f aca="false">IF(E381+N381=0,0,(G381+N381)/(E381+N381))</f>
        <v>0.5625</v>
      </c>
      <c r="R381" s="8" t="n">
        <f aca="false">IF(E381=0,0,L381/E381)</f>
        <v>1.2</v>
      </c>
      <c r="S381" s="8" t="n">
        <f aca="false">R381+Q381</f>
        <v>1.7625</v>
      </c>
      <c r="T381" s="8" t="n">
        <f aca="false">R381-P381</f>
        <v>0.666666666666667</v>
      </c>
    </row>
    <row r="382" customFormat="false" ht="14.25" hidden="false" customHeight="true" outlineLevel="0" collapsed="false">
      <c r="A382" s="6" t="n">
        <v>2024</v>
      </c>
      <c r="B382" s="6" t="s">
        <v>71</v>
      </c>
      <c r="C382" s="6" t="s">
        <v>80</v>
      </c>
      <c r="D382" s="7" t="n">
        <v>5</v>
      </c>
      <c r="E382" s="7" t="n">
        <v>19</v>
      </c>
      <c r="F382" s="7" t="n">
        <v>6</v>
      </c>
      <c r="G382" s="7" t="n">
        <v>8</v>
      </c>
      <c r="H382" s="7" t="n">
        <v>1</v>
      </c>
      <c r="I382" s="7" t="n">
        <v>0</v>
      </c>
      <c r="J382" s="7" t="n">
        <v>2</v>
      </c>
      <c r="K382" s="7" t="n">
        <v>3</v>
      </c>
      <c r="L382" s="7" t="n">
        <v>15</v>
      </c>
      <c r="M382" s="7" t="n">
        <v>7</v>
      </c>
      <c r="N382" s="7" t="n">
        <v>1</v>
      </c>
      <c r="O382" s="7" t="n">
        <v>0</v>
      </c>
      <c r="P382" s="8" t="n">
        <f aca="false">IF(E382=0,0,G382/E382)</f>
        <v>0.421052631578947</v>
      </c>
      <c r="Q382" s="8" t="n">
        <f aca="false">IF(E382+N382=0,0,(G382+N382)/(E382+N382))</f>
        <v>0.45</v>
      </c>
      <c r="R382" s="8" t="n">
        <f aca="false">IF(E382=0,0,L382/E382)</f>
        <v>0.789473684210526</v>
      </c>
      <c r="S382" s="8" t="n">
        <f aca="false">R382+Q382</f>
        <v>1.23947368421053</v>
      </c>
      <c r="T382" s="8" t="n">
        <f aca="false">R382-P382</f>
        <v>0.368421052631579</v>
      </c>
    </row>
    <row r="383" customFormat="false" ht="14.25" hidden="false" customHeight="true" outlineLevel="0" collapsed="false">
      <c r="A383" s="6" t="n">
        <v>2024</v>
      </c>
      <c r="B383" s="6" t="s">
        <v>71</v>
      </c>
      <c r="C383" s="6" t="s">
        <v>77</v>
      </c>
      <c r="D383" s="7" t="n">
        <v>7</v>
      </c>
      <c r="E383" s="7" t="n">
        <v>25</v>
      </c>
      <c r="F383" s="7" t="n">
        <v>5</v>
      </c>
      <c r="G383" s="7" t="n">
        <v>8</v>
      </c>
      <c r="H383" s="7" t="n">
        <v>1</v>
      </c>
      <c r="I383" s="7" t="n">
        <v>0</v>
      </c>
      <c r="J383" s="7" t="n">
        <v>1</v>
      </c>
      <c r="K383" s="7" t="n">
        <v>2</v>
      </c>
      <c r="L383" s="7" t="n">
        <v>12</v>
      </c>
      <c r="M383" s="7" t="n">
        <v>4</v>
      </c>
      <c r="N383" s="7" t="n">
        <v>2</v>
      </c>
      <c r="O383" s="7" t="n">
        <v>0</v>
      </c>
      <c r="P383" s="8" t="n">
        <f aca="false">IF(E383=0,0,G383/E383)</f>
        <v>0.32</v>
      </c>
      <c r="Q383" s="8" t="n">
        <f aca="false">IF(E383+N383=0,0,(G383+N383)/(E383+N383))</f>
        <v>0.37037037037037</v>
      </c>
      <c r="R383" s="8" t="n">
        <f aca="false">IF(E383=0,0,L383/E383)</f>
        <v>0.48</v>
      </c>
      <c r="S383" s="8" t="n">
        <f aca="false">R383+Q383</f>
        <v>0.85037037037037</v>
      </c>
      <c r="T383" s="8" t="n">
        <f aca="false">R383-P383</f>
        <v>0.16</v>
      </c>
    </row>
    <row r="384" customFormat="false" ht="14.25" hidden="false" customHeight="true" outlineLevel="0" collapsed="false">
      <c r="A384" s="6" t="n">
        <v>2024</v>
      </c>
      <c r="B384" s="6" t="s">
        <v>71</v>
      </c>
      <c r="C384" s="6" t="s">
        <v>75</v>
      </c>
      <c r="D384" s="7" t="n">
        <v>4</v>
      </c>
      <c r="E384" s="7" t="n">
        <v>13</v>
      </c>
      <c r="F384" s="7" t="n">
        <v>4</v>
      </c>
      <c r="G384" s="7" t="n">
        <v>5</v>
      </c>
      <c r="H384" s="7" t="n">
        <v>1</v>
      </c>
      <c r="I384" s="7" t="n">
        <v>0</v>
      </c>
      <c r="J384" s="7" t="n">
        <v>2</v>
      </c>
      <c r="K384" s="7" t="n">
        <v>3</v>
      </c>
      <c r="L384" s="7" t="n">
        <v>12</v>
      </c>
      <c r="M384" s="7" t="n">
        <v>3</v>
      </c>
      <c r="N384" s="7" t="n">
        <v>2</v>
      </c>
      <c r="O384" s="7" t="n">
        <v>0</v>
      </c>
      <c r="P384" s="8" t="n">
        <f aca="false">IF(E384=0,0,G384/E384)</f>
        <v>0.384615384615385</v>
      </c>
      <c r="Q384" s="8" t="n">
        <f aca="false">IF(E384+N384=0,0,(G384+N384)/(E384+N384))</f>
        <v>0.466666666666667</v>
      </c>
      <c r="R384" s="8" t="n">
        <f aca="false">IF(E384=0,0,L384/E384)</f>
        <v>0.923076923076923</v>
      </c>
      <c r="S384" s="8" t="n">
        <f aca="false">R384+Q384</f>
        <v>1.38974358974359</v>
      </c>
      <c r="T384" s="8" t="n">
        <f aca="false">R384-P384</f>
        <v>0.538461538461539</v>
      </c>
    </row>
    <row r="385" customFormat="false" ht="14.25" hidden="false" customHeight="true" outlineLevel="0" collapsed="false">
      <c r="A385" s="6" t="n">
        <v>2024</v>
      </c>
      <c r="B385" s="6" t="s">
        <v>71</v>
      </c>
      <c r="C385" s="6" t="s">
        <v>79</v>
      </c>
      <c r="D385" s="7" t="n">
        <v>9</v>
      </c>
      <c r="E385" s="7" t="n">
        <v>26</v>
      </c>
      <c r="F385" s="7" t="n">
        <v>4</v>
      </c>
      <c r="G385" s="7" t="n">
        <v>5</v>
      </c>
      <c r="H385" s="7" t="n">
        <v>1</v>
      </c>
      <c r="I385" s="7" t="n">
        <v>0</v>
      </c>
      <c r="J385" s="7" t="n">
        <v>0</v>
      </c>
      <c r="K385" s="7" t="n">
        <v>1</v>
      </c>
      <c r="L385" s="7" t="n">
        <v>6</v>
      </c>
      <c r="M385" s="7" t="n">
        <v>2</v>
      </c>
      <c r="N385" s="7" t="n">
        <v>5</v>
      </c>
      <c r="O385" s="7" t="n">
        <v>0</v>
      </c>
      <c r="P385" s="8" t="n">
        <f aca="false">IF(E385=0,0,G385/E385)</f>
        <v>0.192307692307692</v>
      </c>
      <c r="Q385" s="8" t="n">
        <f aca="false">IF(E385+N385=0,0,(G385+N385)/(E385+N385))</f>
        <v>0.32258064516129</v>
      </c>
      <c r="R385" s="8" t="n">
        <f aca="false">IF(E385=0,0,L385/E385)</f>
        <v>0.230769230769231</v>
      </c>
      <c r="S385" s="8" t="n">
        <f aca="false">R385+Q385</f>
        <v>0.553349875930521</v>
      </c>
      <c r="T385" s="8" t="n">
        <f aca="false">R385-P385</f>
        <v>0.0384615384615385</v>
      </c>
    </row>
    <row r="386" customFormat="false" ht="14.25" hidden="false" customHeight="true" outlineLevel="0" collapsed="false">
      <c r="A386" s="6" t="n">
        <v>2024</v>
      </c>
      <c r="B386" s="6" t="s">
        <v>71</v>
      </c>
      <c r="C386" s="6" t="s">
        <v>243</v>
      </c>
      <c r="D386" s="7" t="n">
        <v>4</v>
      </c>
      <c r="E386" s="7" t="n">
        <v>13</v>
      </c>
      <c r="F386" s="7" t="n">
        <v>2</v>
      </c>
      <c r="G386" s="7" t="n">
        <v>4</v>
      </c>
      <c r="H386" s="7" t="n">
        <v>0</v>
      </c>
      <c r="I386" s="7" t="n">
        <v>0</v>
      </c>
      <c r="J386" s="7" t="n">
        <v>1</v>
      </c>
      <c r="K386" s="7" t="n">
        <v>1</v>
      </c>
      <c r="L386" s="7" t="n">
        <v>7</v>
      </c>
      <c r="M386" s="7" t="n">
        <v>3</v>
      </c>
      <c r="N386" s="7" t="n">
        <v>0</v>
      </c>
      <c r="O386" s="7" t="n">
        <v>3</v>
      </c>
      <c r="P386" s="8" t="n">
        <f aca="false">IF(E386=0,0,G386/E386)</f>
        <v>0.307692307692308</v>
      </c>
      <c r="Q386" s="8" t="n">
        <f aca="false">IF(E386+N386=0,0,(G386+N386)/(E386+N386))</f>
        <v>0.307692307692308</v>
      </c>
      <c r="R386" s="8" t="n">
        <f aca="false">IF(E386=0,0,L386/E386)</f>
        <v>0.538461538461538</v>
      </c>
      <c r="S386" s="8" t="n">
        <f aca="false">R386+Q386</f>
        <v>0.846153846153846</v>
      </c>
      <c r="T386" s="8" t="n">
        <f aca="false">R386-P386</f>
        <v>0.230769230769231</v>
      </c>
    </row>
    <row r="387" customFormat="false" ht="14.25" hidden="false" customHeight="true" outlineLevel="0" collapsed="false">
      <c r="A387" s="6" t="n">
        <v>2024</v>
      </c>
      <c r="B387" s="6" t="s">
        <v>71</v>
      </c>
      <c r="C387" s="6" t="s">
        <v>281</v>
      </c>
      <c r="D387" s="7" t="n">
        <v>8</v>
      </c>
      <c r="E387" s="7" t="n">
        <v>19</v>
      </c>
      <c r="F387" s="7" t="n">
        <v>1</v>
      </c>
      <c r="G387" s="7" t="n">
        <v>4</v>
      </c>
      <c r="H387" s="7" t="n">
        <v>0</v>
      </c>
      <c r="I387" s="7" t="n">
        <v>0</v>
      </c>
      <c r="J387" s="7" t="n">
        <v>0</v>
      </c>
      <c r="K387" s="7" t="n">
        <v>0</v>
      </c>
      <c r="L387" s="7" t="n">
        <v>4</v>
      </c>
      <c r="M387" s="7" t="n">
        <v>2</v>
      </c>
      <c r="N387" s="7" t="n">
        <v>5</v>
      </c>
      <c r="O387" s="7" t="n">
        <v>1</v>
      </c>
      <c r="P387" s="8" t="n">
        <f aca="false">IF(E387=0,0,G387/E387)</f>
        <v>0.210526315789474</v>
      </c>
      <c r="Q387" s="8" t="n">
        <f aca="false">IF(E387+N387=0,0,(G387+N387)/(E387+N387))</f>
        <v>0.375</v>
      </c>
      <c r="R387" s="8" t="n">
        <f aca="false">IF(E387=0,0,L387/E387)</f>
        <v>0.210526315789474</v>
      </c>
      <c r="S387" s="8" t="n">
        <f aca="false">R387+Q387</f>
        <v>0.585526315789474</v>
      </c>
      <c r="T387" s="8" t="n">
        <f aca="false">R387-P387</f>
        <v>0</v>
      </c>
    </row>
    <row r="388" customFormat="false" ht="14.25" hidden="false" customHeight="true" outlineLevel="0" collapsed="false">
      <c r="A388" s="6" t="n">
        <v>2024</v>
      </c>
      <c r="B388" s="6" t="s">
        <v>71</v>
      </c>
      <c r="C388" s="6" t="s">
        <v>242</v>
      </c>
      <c r="D388" s="7" t="n">
        <v>7</v>
      </c>
      <c r="E388" s="7" t="n">
        <v>17</v>
      </c>
      <c r="F388" s="7" t="n">
        <v>1</v>
      </c>
      <c r="G388" s="7" t="n">
        <v>4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4</v>
      </c>
      <c r="M388" s="7" t="n">
        <v>2</v>
      </c>
      <c r="N388" s="7" t="n">
        <v>1</v>
      </c>
      <c r="O388" s="7" t="n">
        <v>0</v>
      </c>
      <c r="P388" s="8" t="n">
        <f aca="false">IF(E388=0,0,G388/E388)</f>
        <v>0.235294117647059</v>
      </c>
      <c r="Q388" s="8" t="n">
        <f aca="false">IF(E388+N388=0,0,(G388+N388)/(E388+N388))</f>
        <v>0.277777777777778</v>
      </c>
      <c r="R388" s="8" t="n">
        <f aca="false">IF(E388=0,0,L388/E388)</f>
        <v>0.235294117647059</v>
      </c>
      <c r="S388" s="8" t="n">
        <f aca="false">R388+Q388</f>
        <v>0.513071895424837</v>
      </c>
      <c r="T388" s="8" t="n">
        <f aca="false">R388-P388</f>
        <v>0</v>
      </c>
    </row>
    <row r="389" customFormat="false" ht="14.25" hidden="false" customHeight="true" outlineLevel="0" collapsed="false">
      <c r="A389" s="6" t="n">
        <v>2024</v>
      </c>
      <c r="B389" s="6" t="s">
        <v>71</v>
      </c>
      <c r="C389" s="6" t="s">
        <v>87</v>
      </c>
      <c r="D389" s="7" t="n">
        <v>5</v>
      </c>
      <c r="E389" s="7" t="n">
        <v>13</v>
      </c>
      <c r="F389" s="7" t="n">
        <v>2</v>
      </c>
      <c r="G389" s="7" t="n">
        <v>3</v>
      </c>
      <c r="H389" s="7" t="n">
        <v>0</v>
      </c>
      <c r="I389" s="7" t="n">
        <v>0</v>
      </c>
      <c r="J389" s="7" t="n">
        <v>0</v>
      </c>
      <c r="K389" s="7" t="n">
        <v>0</v>
      </c>
      <c r="L389" s="7" t="n">
        <v>3</v>
      </c>
      <c r="M389" s="7" t="n">
        <v>0</v>
      </c>
      <c r="N389" s="7" t="n">
        <v>2</v>
      </c>
      <c r="O389" s="7" t="n">
        <v>1</v>
      </c>
      <c r="P389" s="8" t="n">
        <f aca="false">IF(E389=0,0,G389/E389)</f>
        <v>0.230769230769231</v>
      </c>
      <c r="Q389" s="8" t="n">
        <f aca="false">IF(E389+N389=0,0,(G389+N389)/(E389+N389))</f>
        <v>0.333333333333333</v>
      </c>
      <c r="R389" s="8" t="n">
        <f aca="false">IF(E389=0,0,L389/E389)</f>
        <v>0.230769230769231</v>
      </c>
      <c r="S389" s="8" t="n">
        <f aca="false">R389+Q389</f>
        <v>0.564102564102564</v>
      </c>
      <c r="T389" s="8" t="n">
        <f aca="false">R389-P389</f>
        <v>0</v>
      </c>
    </row>
    <row r="390" customFormat="false" ht="14.25" hidden="false" customHeight="true" outlineLevel="0" collapsed="false">
      <c r="A390" s="6" t="n">
        <v>2024</v>
      </c>
      <c r="B390" s="6" t="s">
        <v>71</v>
      </c>
      <c r="C390" s="6" t="s">
        <v>85</v>
      </c>
      <c r="D390" s="7" t="n">
        <v>8</v>
      </c>
      <c r="E390" s="7" t="n">
        <v>16</v>
      </c>
      <c r="F390" s="7" t="n">
        <v>1</v>
      </c>
      <c r="G390" s="7" t="n">
        <v>2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2</v>
      </c>
      <c r="M390" s="7" t="n">
        <v>3</v>
      </c>
      <c r="N390" s="7" t="n">
        <v>1</v>
      </c>
      <c r="O390" s="7" t="n">
        <v>0</v>
      </c>
      <c r="P390" s="8" t="n">
        <f aca="false">IF(E390=0,0,G390/E390)</f>
        <v>0.125</v>
      </c>
      <c r="Q390" s="8" t="n">
        <f aca="false">IF(E390+N390=0,0,(G390+N390)/(E390+N390))</f>
        <v>0.176470588235294</v>
      </c>
      <c r="R390" s="8" t="n">
        <f aca="false">IF(E390=0,0,L390/E390)</f>
        <v>0.125</v>
      </c>
      <c r="S390" s="8" t="n">
        <f aca="false">R390+Q390</f>
        <v>0.301470588235294</v>
      </c>
      <c r="T390" s="8" t="n">
        <f aca="false">R390-P390</f>
        <v>0</v>
      </c>
    </row>
    <row r="391" customFormat="false" ht="14.25" hidden="false" customHeight="true" outlineLevel="0" collapsed="false">
      <c r="A391" s="6" t="n">
        <v>2024</v>
      </c>
      <c r="B391" s="6" t="s">
        <v>71</v>
      </c>
      <c r="C391" s="6" t="s">
        <v>83</v>
      </c>
      <c r="D391" s="7" t="n">
        <v>3</v>
      </c>
      <c r="E391" s="7" t="n">
        <v>8</v>
      </c>
      <c r="F391" s="7" t="n">
        <v>2</v>
      </c>
      <c r="G391" s="7" t="n">
        <v>2</v>
      </c>
      <c r="H391" s="7" t="n">
        <v>0</v>
      </c>
      <c r="I391" s="7" t="n">
        <v>0</v>
      </c>
      <c r="J391" s="7" t="n">
        <v>0</v>
      </c>
      <c r="K391" s="7" t="n">
        <v>0</v>
      </c>
      <c r="L391" s="7" t="n">
        <v>2</v>
      </c>
      <c r="M391" s="7" t="n">
        <v>1</v>
      </c>
      <c r="N391" s="7" t="n">
        <v>0</v>
      </c>
      <c r="O391" s="7" t="n">
        <v>0</v>
      </c>
      <c r="P391" s="8" t="n">
        <f aca="false">IF(E391=0,0,G391/E391)</f>
        <v>0.25</v>
      </c>
      <c r="Q391" s="8" t="n">
        <f aca="false">IF(E391+N391=0,0,(G391+N391)/(E391+N391))</f>
        <v>0.25</v>
      </c>
      <c r="R391" s="8" t="n">
        <f aca="false">IF(E391=0,0,L391/E391)</f>
        <v>0.25</v>
      </c>
      <c r="S391" s="8" t="n">
        <f aca="false">R391+Q391</f>
        <v>0.5</v>
      </c>
      <c r="T391" s="8" t="n">
        <f aca="false">R391-P391</f>
        <v>0</v>
      </c>
    </row>
    <row r="392" customFormat="false" ht="14.25" hidden="false" customHeight="true" outlineLevel="0" collapsed="false">
      <c r="A392" s="6" t="n">
        <v>2024</v>
      </c>
      <c r="B392" s="6" t="s">
        <v>71</v>
      </c>
      <c r="C392" s="6" t="s">
        <v>88</v>
      </c>
      <c r="D392" s="7" t="n">
        <v>1</v>
      </c>
      <c r="E392" s="7" t="n">
        <v>3</v>
      </c>
      <c r="F392" s="7" t="n">
        <v>2</v>
      </c>
      <c r="G392" s="7" t="n">
        <v>1</v>
      </c>
      <c r="H392" s="7" t="n">
        <v>0</v>
      </c>
      <c r="I392" s="7" t="n">
        <v>0</v>
      </c>
      <c r="J392" s="7" t="n">
        <v>1</v>
      </c>
      <c r="K392" s="7" t="n">
        <v>1</v>
      </c>
      <c r="L392" s="7" t="n">
        <v>4</v>
      </c>
      <c r="M392" s="7" t="n">
        <v>3</v>
      </c>
      <c r="N392" s="7" t="n">
        <v>1</v>
      </c>
      <c r="O392" s="7" t="n">
        <v>0</v>
      </c>
      <c r="P392" s="8" t="n">
        <f aca="false">IF(E392=0,0,G392/E392)</f>
        <v>0.333333333333333</v>
      </c>
      <c r="Q392" s="8" t="n">
        <f aca="false">IF(E392+N392=0,0,(G392+N392)/(E392+N392))</f>
        <v>0.5</v>
      </c>
      <c r="R392" s="8" t="n">
        <f aca="false">IF(E392=0,0,L392/E392)</f>
        <v>1.33333333333333</v>
      </c>
      <c r="S392" s="8" t="n">
        <f aca="false">R392+Q392</f>
        <v>1.83333333333333</v>
      </c>
      <c r="T392" s="8" t="n">
        <f aca="false">R392-P392</f>
        <v>1</v>
      </c>
    </row>
    <row r="393" customFormat="false" ht="14.25" hidden="false" customHeight="true" outlineLevel="0" collapsed="false">
      <c r="A393" s="6" t="n">
        <v>2024</v>
      </c>
      <c r="B393" s="6" t="s">
        <v>71</v>
      </c>
      <c r="C393" s="6" t="s">
        <v>282</v>
      </c>
      <c r="D393" s="7" t="n">
        <v>1</v>
      </c>
      <c r="E393" s="7" t="n">
        <v>3</v>
      </c>
      <c r="F393" s="7" t="n">
        <v>1</v>
      </c>
      <c r="G393" s="7" t="n">
        <v>1</v>
      </c>
      <c r="H393" s="7" t="n">
        <v>0</v>
      </c>
      <c r="I393" s="7" t="n">
        <v>0</v>
      </c>
      <c r="J393" s="7" t="n">
        <v>0</v>
      </c>
      <c r="K393" s="7" t="n">
        <v>0</v>
      </c>
      <c r="L393" s="7" t="n">
        <v>1</v>
      </c>
      <c r="M393" s="7" t="n">
        <v>1</v>
      </c>
      <c r="N393" s="7" t="n">
        <v>1</v>
      </c>
      <c r="O393" s="7" t="n">
        <v>0</v>
      </c>
      <c r="P393" s="8" t="n">
        <f aca="false">IF(E393=0,0,G393/E393)</f>
        <v>0.333333333333333</v>
      </c>
      <c r="Q393" s="8" t="n">
        <f aca="false">IF(E393+N393=0,0,(G393+N393)/(E393+N393))</f>
        <v>0.5</v>
      </c>
      <c r="R393" s="8" t="n">
        <f aca="false">IF(E393=0,0,L393/E393)</f>
        <v>0.333333333333333</v>
      </c>
      <c r="S393" s="8" t="n">
        <f aca="false">R393+Q393</f>
        <v>0.833333333333333</v>
      </c>
      <c r="T393" s="8" t="n">
        <f aca="false">R393-P393</f>
        <v>0</v>
      </c>
    </row>
    <row r="394" customFormat="false" ht="14.25" hidden="false" customHeight="true" outlineLevel="0" collapsed="false">
      <c r="A394" s="6" t="n">
        <v>2024</v>
      </c>
      <c r="B394" s="6" t="s">
        <v>71</v>
      </c>
      <c r="C394" s="6" t="s">
        <v>283</v>
      </c>
      <c r="D394" s="7" t="n">
        <v>1</v>
      </c>
      <c r="E394" s="7" t="n">
        <v>2</v>
      </c>
      <c r="F394" s="7" t="n">
        <v>0</v>
      </c>
      <c r="G394" s="7" t="n">
        <v>1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1</v>
      </c>
      <c r="M394" s="7" t="n">
        <v>0</v>
      </c>
      <c r="N394" s="7" t="n">
        <v>1</v>
      </c>
      <c r="O394" s="7" t="n">
        <v>0</v>
      </c>
      <c r="P394" s="8" t="n">
        <f aca="false">IF(E394=0,0,G394/E394)</f>
        <v>0.5</v>
      </c>
      <c r="Q394" s="8" t="n">
        <f aca="false">IF(E394+N394=0,0,(G394+N394)/(E394+N394))</f>
        <v>0.666666666666667</v>
      </c>
      <c r="R394" s="8" t="n">
        <f aca="false">IF(E394=0,0,L394/E394)</f>
        <v>0.5</v>
      </c>
      <c r="S394" s="8" t="n">
        <f aca="false">R394+Q394</f>
        <v>1.16666666666667</v>
      </c>
      <c r="T394" s="8" t="n">
        <f aca="false">R394-P394</f>
        <v>0</v>
      </c>
    </row>
    <row r="395" customFormat="false" ht="14.25" hidden="false" customHeight="true" outlineLevel="0" collapsed="false">
      <c r="A395" s="6" t="n">
        <v>2024</v>
      </c>
      <c r="B395" s="6" t="s">
        <v>71</v>
      </c>
      <c r="C395" s="6" t="s">
        <v>284</v>
      </c>
      <c r="D395" s="7" t="n">
        <v>2</v>
      </c>
      <c r="E395" s="7" t="n">
        <v>5</v>
      </c>
      <c r="F395" s="7" t="n">
        <v>2</v>
      </c>
      <c r="G395" s="7" t="n">
        <v>1</v>
      </c>
      <c r="H395" s="7" t="n">
        <v>0</v>
      </c>
      <c r="I395" s="7" t="n">
        <v>0</v>
      </c>
      <c r="J395" s="7" t="n">
        <v>0</v>
      </c>
      <c r="K395" s="7" t="n">
        <v>0</v>
      </c>
      <c r="L395" s="7" t="n">
        <v>1</v>
      </c>
      <c r="M395" s="7" t="n">
        <v>0</v>
      </c>
      <c r="N395" s="7" t="n">
        <v>1</v>
      </c>
      <c r="O395" s="7" t="n">
        <v>0</v>
      </c>
      <c r="P395" s="8" t="n">
        <f aca="false">IF(E395=0,0,G395/E395)</f>
        <v>0.2</v>
      </c>
      <c r="Q395" s="8" t="n">
        <f aca="false">IF(E395+N395=0,0,(G395+N395)/(E395+N395))</f>
        <v>0.333333333333333</v>
      </c>
      <c r="R395" s="8" t="n">
        <f aca="false">IF(E395=0,0,L395/E395)</f>
        <v>0.2</v>
      </c>
      <c r="S395" s="8" t="n">
        <f aca="false">R395+Q395</f>
        <v>0.533333333333333</v>
      </c>
      <c r="T395" s="8" t="n">
        <f aca="false">R395-P395</f>
        <v>0</v>
      </c>
    </row>
    <row r="396" customFormat="false" ht="14.25" hidden="false" customHeight="true" outlineLevel="0" collapsed="false">
      <c r="A396" s="6" t="n">
        <v>2024</v>
      </c>
      <c r="B396" s="6" t="s">
        <v>71</v>
      </c>
      <c r="C396" s="6" t="s">
        <v>89</v>
      </c>
      <c r="D396" s="7" t="n">
        <v>1</v>
      </c>
      <c r="E396" s="7" t="n">
        <v>1</v>
      </c>
      <c r="F396" s="7" t="n">
        <v>0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1</v>
      </c>
      <c r="P396" s="8" t="n">
        <f aca="false">IF(E396=0,0,G396/E396)</f>
        <v>0</v>
      </c>
      <c r="Q396" s="8" t="n">
        <f aca="false">IF(E396+N396=0,0,(G396+N396)/(E396+N396))</f>
        <v>0</v>
      </c>
      <c r="R396" s="8" t="n">
        <f aca="false">IF(E396=0,0,L396/E396)</f>
        <v>0</v>
      </c>
      <c r="S396" s="8" t="n">
        <f aca="false">R396+Q396</f>
        <v>0</v>
      </c>
      <c r="T396" s="8" t="n">
        <f aca="false">R396-P396</f>
        <v>0</v>
      </c>
    </row>
    <row r="397" customFormat="false" ht="14.25" hidden="false" customHeight="true" outlineLevel="0" collapsed="false">
      <c r="A397" s="6" t="n">
        <v>2024</v>
      </c>
      <c r="B397" s="6" t="s">
        <v>71</v>
      </c>
      <c r="C397" s="6" t="s">
        <v>92</v>
      </c>
      <c r="D397" s="7" t="n">
        <v>4</v>
      </c>
      <c r="E397" s="7" t="n">
        <v>11</v>
      </c>
      <c r="F397" s="7" t="n">
        <v>1</v>
      </c>
      <c r="G397" s="7" t="n">
        <v>0</v>
      </c>
      <c r="H397" s="7" t="n">
        <v>0</v>
      </c>
      <c r="I397" s="7" t="n">
        <v>0</v>
      </c>
      <c r="J397" s="7" t="n">
        <v>0</v>
      </c>
      <c r="K397" s="7" t="n">
        <v>0</v>
      </c>
      <c r="L397" s="7" t="n">
        <v>0</v>
      </c>
      <c r="M397" s="7" t="n">
        <v>0</v>
      </c>
      <c r="N397" s="7" t="n">
        <v>2</v>
      </c>
      <c r="O397" s="7" t="n">
        <v>0</v>
      </c>
      <c r="P397" s="8" t="n">
        <f aca="false">IF(E397=0,0,G397/E397)</f>
        <v>0</v>
      </c>
      <c r="Q397" s="8" t="n">
        <f aca="false">IF(E397+N397=0,0,(G397+N397)/(E397+N397))</f>
        <v>0.153846153846154</v>
      </c>
      <c r="R397" s="8" t="n">
        <f aca="false">IF(E397=0,0,L397/E397)</f>
        <v>0</v>
      </c>
      <c r="S397" s="8" t="n">
        <f aca="false">R397+Q397</f>
        <v>0.153846153846154</v>
      </c>
      <c r="T397" s="8" t="n">
        <f aca="false">R397-P397</f>
        <v>0</v>
      </c>
    </row>
    <row r="398" customFormat="false" ht="14.25" hidden="false" customHeight="true" outlineLevel="0" collapsed="false">
      <c r="A398" s="6" t="n">
        <v>2024</v>
      </c>
      <c r="B398" s="6" t="s">
        <v>71</v>
      </c>
      <c r="C398" s="6" t="s">
        <v>90</v>
      </c>
      <c r="D398" s="7" t="n">
        <v>1</v>
      </c>
      <c r="E398" s="7" t="n">
        <v>3</v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8" t="n">
        <f aca="false">IF(E398=0,0,G398/E398)</f>
        <v>0</v>
      </c>
      <c r="Q398" s="8" t="n">
        <f aca="false">IF(E398+N398=0,0,(G398+N398)/(E398+N398))</f>
        <v>0</v>
      </c>
      <c r="R398" s="8" t="n">
        <f aca="false">IF(E398=0,0,L398/E398)</f>
        <v>0</v>
      </c>
      <c r="S398" s="8" t="n">
        <f aca="false">R398+Q398</f>
        <v>0</v>
      </c>
      <c r="T398" s="8" t="n">
        <f aca="false">R398-P398</f>
        <v>0</v>
      </c>
    </row>
    <row r="399" customFormat="false" ht="14.25" hidden="false" customHeight="true" outlineLevel="0" collapsed="false">
      <c r="A399" s="6" t="n">
        <v>2024</v>
      </c>
      <c r="B399" s="6" t="s">
        <v>97</v>
      </c>
      <c r="C399" s="6" t="s">
        <v>98</v>
      </c>
      <c r="D399" s="7" t="n">
        <v>8</v>
      </c>
      <c r="E399" s="7" t="n">
        <v>23</v>
      </c>
      <c r="F399" s="7" t="n">
        <v>5</v>
      </c>
      <c r="G399" s="7" t="n">
        <v>8</v>
      </c>
      <c r="H399" s="7" t="n">
        <v>0</v>
      </c>
      <c r="I399" s="7" t="n">
        <v>0</v>
      </c>
      <c r="J399" s="7" t="n">
        <v>3</v>
      </c>
      <c r="K399" s="7" t="n">
        <v>3</v>
      </c>
      <c r="L399" s="7" t="n">
        <v>17</v>
      </c>
      <c r="M399" s="7" t="n">
        <v>7</v>
      </c>
      <c r="N399" s="7" t="n">
        <v>2</v>
      </c>
      <c r="O399" s="7" t="n">
        <v>0</v>
      </c>
      <c r="P399" s="8" t="n">
        <f aca="false">IF(E399=0,0,G399/E399)</f>
        <v>0.347826086956522</v>
      </c>
      <c r="Q399" s="8" t="n">
        <f aca="false">IF(E399+N399=0,0,(G399+N399)/(E399+N399))</f>
        <v>0.4</v>
      </c>
      <c r="R399" s="8" t="n">
        <f aca="false">IF(E399=0,0,L399/E399)</f>
        <v>0.739130434782609</v>
      </c>
      <c r="S399" s="8" t="n">
        <f aca="false">R399+Q399</f>
        <v>1.13913043478261</v>
      </c>
      <c r="T399" s="8" t="n">
        <f aca="false">R399-P399</f>
        <v>0.391304347826087</v>
      </c>
    </row>
    <row r="400" customFormat="false" ht="14.25" hidden="false" customHeight="true" outlineLevel="0" collapsed="false">
      <c r="A400" s="6" t="n">
        <v>2024</v>
      </c>
      <c r="B400" s="6" t="s">
        <v>97</v>
      </c>
      <c r="C400" s="6" t="s">
        <v>285</v>
      </c>
      <c r="D400" s="7" t="n">
        <v>5</v>
      </c>
      <c r="E400" s="7" t="n">
        <v>14</v>
      </c>
      <c r="F400" s="7" t="n">
        <v>2</v>
      </c>
      <c r="G400" s="7" t="n">
        <v>8</v>
      </c>
      <c r="H400" s="7" t="n">
        <v>6</v>
      </c>
      <c r="I400" s="7" t="n">
        <v>0</v>
      </c>
      <c r="J400" s="7" t="n">
        <v>0</v>
      </c>
      <c r="K400" s="7" t="n">
        <v>6</v>
      </c>
      <c r="L400" s="7" t="n">
        <v>14</v>
      </c>
      <c r="M400" s="7" t="n">
        <v>1</v>
      </c>
      <c r="N400" s="7" t="n">
        <v>1</v>
      </c>
      <c r="O400" s="7" t="n">
        <v>0</v>
      </c>
      <c r="P400" s="8" t="n">
        <f aca="false">IF(E400=0,0,G400/E400)</f>
        <v>0.571428571428571</v>
      </c>
      <c r="Q400" s="8" t="n">
        <f aca="false">IF(E400+N400=0,0,(G400+N400)/(E400+N400))</f>
        <v>0.6</v>
      </c>
      <c r="R400" s="8" t="n">
        <f aca="false">IF(E400=0,0,L400/E400)</f>
        <v>1</v>
      </c>
      <c r="S400" s="8" t="n">
        <f aca="false">R400+Q400</f>
        <v>1.6</v>
      </c>
      <c r="T400" s="8" t="n">
        <f aca="false">R400-P400</f>
        <v>0.428571428571429</v>
      </c>
    </row>
    <row r="401" customFormat="false" ht="14.25" hidden="false" customHeight="true" outlineLevel="0" collapsed="false">
      <c r="A401" s="6" t="n">
        <v>2024</v>
      </c>
      <c r="B401" s="6" t="s">
        <v>97</v>
      </c>
      <c r="C401" s="6" t="s">
        <v>101</v>
      </c>
      <c r="D401" s="7" t="n">
        <v>4</v>
      </c>
      <c r="E401" s="7" t="n">
        <v>9</v>
      </c>
      <c r="F401" s="7" t="n">
        <v>2</v>
      </c>
      <c r="G401" s="7" t="n">
        <v>3</v>
      </c>
      <c r="H401" s="7" t="n">
        <v>0</v>
      </c>
      <c r="I401" s="7" t="n">
        <v>0</v>
      </c>
      <c r="J401" s="7" t="n">
        <v>1</v>
      </c>
      <c r="K401" s="7" t="n">
        <v>1</v>
      </c>
      <c r="L401" s="7" t="n">
        <v>6</v>
      </c>
      <c r="M401" s="7" t="n">
        <v>1</v>
      </c>
      <c r="N401" s="7" t="n">
        <v>2</v>
      </c>
      <c r="O401" s="7" t="n">
        <v>0</v>
      </c>
      <c r="P401" s="8" t="n">
        <f aca="false">IF(E401=0,0,G401/E401)</f>
        <v>0.333333333333333</v>
      </c>
      <c r="Q401" s="8" t="n">
        <f aca="false">IF(E401+N401=0,0,(G401+N401)/(E401+N401))</f>
        <v>0.454545454545455</v>
      </c>
      <c r="R401" s="8" t="n">
        <f aca="false">IF(E401=0,0,L401/E401)</f>
        <v>0.666666666666667</v>
      </c>
      <c r="S401" s="8" t="n">
        <f aca="false">R401+Q401</f>
        <v>1.12121212121212</v>
      </c>
      <c r="T401" s="8" t="n">
        <f aca="false">R401-P401</f>
        <v>0.333333333333333</v>
      </c>
    </row>
    <row r="402" customFormat="false" ht="14.25" hidden="false" customHeight="true" outlineLevel="0" collapsed="false">
      <c r="A402" s="6" t="n">
        <v>2024</v>
      </c>
      <c r="B402" s="6" t="s">
        <v>97</v>
      </c>
      <c r="C402" s="6" t="s">
        <v>251</v>
      </c>
      <c r="D402" s="7" t="n">
        <v>6</v>
      </c>
      <c r="E402" s="7" t="n">
        <v>15</v>
      </c>
      <c r="F402" s="7" t="n">
        <v>1</v>
      </c>
      <c r="G402" s="7" t="n">
        <v>3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3</v>
      </c>
      <c r="M402" s="7" t="n">
        <v>1</v>
      </c>
      <c r="N402" s="7" t="n">
        <v>3</v>
      </c>
      <c r="O402" s="7" t="n">
        <v>4</v>
      </c>
      <c r="P402" s="8" t="n">
        <f aca="false">IF(E402=0,0,G402/E402)</f>
        <v>0.2</v>
      </c>
      <c r="Q402" s="8" t="n">
        <f aca="false">IF(E402+N402=0,0,(G402+N402)/(E402+N402))</f>
        <v>0.333333333333333</v>
      </c>
      <c r="R402" s="8" t="n">
        <f aca="false">IF(E402=0,0,L402/E402)</f>
        <v>0.2</v>
      </c>
      <c r="S402" s="8" t="n">
        <f aca="false">R402+Q402</f>
        <v>0.533333333333333</v>
      </c>
      <c r="T402" s="8" t="n">
        <f aca="false">R402-P402</f>
        <v>0</v>
      </c>
    </row>
    <row r="403" customFormat="false" ht="14.25" hidden="false" customHeight="true" outlineLevel="0" collapsed="false">
      <c r="A403" s="6" t="n">
        <v>2024</v>
      </c>
      <c r="B403" s="6" t="s">
        <v>97</v>
      </c>
      <c r="C403" s="6" t="s">
        <v>108</v>
      </c>
      <c r="D403" s="7" t="n">
        <v>5</v>
      </c>
      <c r="E403" s="7" t="n">
        <v>12</v>
      </c>
      <c r="F403" s="7" t="n">
        <v>0</v>
      </c>
      <c r="G403" s="7" t="n">
        <v>3</v>
      </c>
      <c r="H403" s="7" t="n">
        <v>0</v>
      </c>
      <c r="I403" s="7" t="n">
        <v>0</v>
      </c>
      <c r="J403" s="7" t="n">
        <v>0</v>
      </c>
      <c r="K403" s="7" t="n">
        <v>0</v>
      </c>
      <c r="L403" s="7" t="n">
        <v>3</v>
      </c>
      <c r="M403" s="7" t="n">
        <v>1</v>
      </c>
      <c r="N403" s="7" t="n">
        <v>1</v>
      </c>
      <c r="O403" s="7" t="n">
        <v>0</v>
      </c>
      <c r="P403" s="8" t="n">
        <f aca="false">IF(E403=0,0,G403/E403)</f>
        <v>0.25</v>
      </c>
      <c r="Q403" s="8" t="n">
        <f aca="false">IF(E403+N403=0,0,(G403+N403)/(E403+N403))</f>
        <v>0.307692307692308</v>
      </c>
      <c r="R403" s="8" t="n">
        <f aca="false">IF(E403=0,0,L403/E403)</f>
        <v>0.25</v>
      </c>
      <c r="S403" s="8" t="n">
        <f aca="false">R403+Q403</f>
        <v>0.557692307692308</v>
      </c>
      <c r="T403" s="8" t="n">
        <f aca="false">R403-P403</f>
        <v>0</v>
      </c>
    </row>
    <row r="404" customFormat="false" ht="14.25" hidden="false" customHeight="true" outlineLevel="0" collapsed="false">
      <c r="A404" s="6" t="n">
        <v>2024</v>
      </c>
      <c r="B404" s="6" t="s">
        <v>97</v>
      </c>
      <c r="C404" s="6" t="s">
        <v>257</v>
      </c>
      <c r="D404" s="7" t="n">
        <v>7</v>
      </c>
      <c r="E404" s="7" t="n">
        <v>20</v>
      </c>
      <c r="F404" s="7" t="n">
        <v>0</v>
      </c>
      <c r="G404" s="7" t="n">
        <v>2</v>
      </c>
      <c r="H404" s="7" t="n">
        <v>1</v>
      </c>
      <c r="I404" s="7" t="n">
        <v>0</v>
      </c>
      <c r="J404" s="7" t="n">
        <v>0</v>
      </c>
      <c r="K404" s="7" t="n">
        <v>1</v>
      </c>
      <c r="L404" s="7" t="n">
        <v>3</v>
      </c>
      <c r="M404" s="7" t="n">
        <v>1</v>
      </c>
      <c r="N404" s="7" t="n">
        <v>0</v>
      </c>
      <c r="O404" s="7" t="n">
        <v>0</v>
      </c>
      <c r="P404" s="8" t="n">
        <f aca="false">IF(E404=0,0,G404/E404)</f>
        <v>0.1</v>
      </c>
      <c r="Q404" s="8" t="n">
        <f aca="false">IF(E404+N404=0,0,(G404+N404)/(E404+N404))</f>
        <v>0.1</v>
      </c>
      <c r="R404" s="8" t="n">
        <f aca="false">IF(E404=0,0,L404/E404)</f>
        <v>0.15</v>
      </c>
      <c r="S404" s="8" t="n">
        <f aca="false">R404+Q404</f>
        <v>0.25</v>
      </c>
      <c r="T404" s="8" t="n">
        <f aca="false">R404-P404</f>
        <v>0.05</v>
      </c>
    </row>
    <row r="405" customFormat="false" ht="14.25" hidden="false" customHeight="true" outlineLevel="0" collapsed="false">
      <c r="A405" s="6" t="n">
        <v>2024</v>
      </c>
      <c r="B405" s="6" t="s">
        <v>97</v>
      </c>
      <c r="C405" s="6" t="s">
        <v>254</v>
      </c>
      <c r="D405" s="7" t="n">
        <v>8</v>
      </c>
      <c r="E405" s="7" t="n">
        <v>23</v>
      </c>
      <c r="F405" s="7" t="n">
        <v>2</v>
      </c>
      <c r="G405" s="7" t="n">
        <v>2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2</v>
      </c>
      <c r="M405" s="7" t="n">
        <v>1</v>
      </c>
      <c r="N405" s="7" t="n">
        <v>2</v>
      </c>
      <c r="O405" s="7" t="n">
        <v>2</v>
      </c>
      <c r="P405" s="8" t="n">
        <f aca="false">IF(E405=0,0,G405/E405)</f>
        <v>0.0869565217391304</v>
      </c>
      <c r="Q405" s="8" t="n">
        <f aca="false">IF(E405+N405=0,0,(G405+N405)/(E405+N405))</f>
        <v>0.16</v>
      </c>
      <c r="R405" s="8" t="n">
        <f aca="false">IF(E405=0,0,L405/E405)</f>
        <v>0.0869565217391304</v>
      </c>
      <c r="S405" s="8" t="n">
        <f aca="false">R405+Q405</f>
        <v>0.24695652173913</v>
      </c>
      <c r="T405" s="8" t="n">
        <f aca="false">R405-P405</f>
        <v>0</v>
      </c>
    </row>
    <row r="406" customFormat="false" ht="14.25" hidden="false" customHeight="true" outlineLevel="0" collapsed="false">
      <c r="A406" s="6" t="n">
        <v>2024</v>
      </c>
      <c r="B406" s="6" t="s">
        <v>97</v>
      </c>
      <c r="C406" s="6" t="s">
        <v>102</v>
      </c>
      <c r="D406" s="7" t="n">
        <v>8</v>
      </c>
      <c r="E406" s="7" t="n">
        <v>20</v>
      </c>
      <c r="F406" s="7" t="n">
        <v>0</v>
      </c>
      <c r="G406" s="7" t="n">
        <v>2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2</v>
      </c>
      <c r="M406" s="7" t="n">
        <v>0</v>
      </c>
      <c r="N406" s="7" t="n">
        <v>2</v>
      </c>
      <c r="O406" s="7" t="n">
        <v>1</v>
      </c>
      <c r="P406" s="8" t="n">
        <f aca="false">IF(E406=0,0,G406/E406)</f>
        <v>0.1</v>
      </c>
      <c r="Q406" s="8" t="n">
        <f aca="false">IF(E406+N406=0,0,(G406+N406)/(E406+N406))</f>
        <v>0.181818181818182</v>
      </c>
      <c r="R406" s="8" t="n">
        <f aca="false">IF(E406=0,0,L406/E406)</f>
        <v>0.1</v>
      </c>
      <c r="S406" s="8" t="n">
        <f aca="false">R406+Q406</f>
        <v>0.281818181818182</v>
      </c>
      <c r="T406" s="8" t="n">
        <f aca="false">R406-P406</f>
        <v>0</v>
      </c>
    </row>
    <row r="407" customFormat="false" ht="14.25" hidden="false" customHeight="true" outlineLevel="0" collapsed="false">
      <c r="A407" s="6" t="n">
        <v>2024</v>
      </c>
      <c r="B407" s="6" t="s">
        <v>97</v>
      </c>
      <c r="C407" s="6" t="s">
        <v>286</v>
      </c>
      <c r="D407" s="7" t="n">
        <v>2</v>
      </c>
      <c r="E407" s="7" t="n">
        <v>5</v>
      </c>
      <c r="F407" s="7" t="n">
        <v>0</v>
      </c>
      <c r="G407" s="7" t="n">
        <v>2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2</v>
      </c>
      <c r="M407" s="7" t="n">
        <v>0</v>
      </c>
      <c r="N407" s="7" t="n">
        <v>1</v>
      </c>
      <c r="O407" s="7" t="n">
        <v>1</v>
      </c>
      <c r="P407" s="8" t="n">
        <f aca="false">IF(E407=0,0,G407/E407)</f>
        <v>0.4</v>
      </c>
      <c r="Q407" s="8" t="n">
        <f aca="false">IF(E407+N407=0,0,(G407+N407)/(E407+N407))</f>
        <v>0.5</v>
      </c>
      <c r="R407" s="8" t="n">
        <f aca="false">IF(E407=0,0,L407/E407)</f>
        <v>0.4</v>
      </c>
      <c r="S407" s="8" t="n">
        <f aca="false">R407+Q407</f>
        <v>0.9</v>
      </c>
      <c r="T407" s="8" t="n">
        <f aca="false">R407-P407</f>
        <v>0</v>
      </c>
    </row>
    <row r="408" customFormat="false" ht="14.25" hidden="false" customHeight="true" outlineLevel="0" collapsed="false">
      <c r="A408" s="6" t="n">
        <v>2024</v>
      </c>
      <c r="B408" s="6" t="s">
        <v>97</v>
      </c>
      <c r="C408" s="6" t="s">
        <v>99</v>
      </c>
      <c r="D408" s="7" t="n">
        <v>3</v>
      </c>
      <c r="E408" s="7" t="n">
        <v>5</v>
      </c>
      <c r="F408" s="7" t="n">
        <v>0</v>
      </c>
      <c r="G408" s="7" t="n">
        <v>2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2</v>
      </c>
      <c r="M408" s="7" t="n">
        <v>0</v>
      </c>
      <c r="N408" s="7" t="n">
        <v>2</v>
      </c>
      <c r="O408" s="7" t="n">
        <v>0</v>
      </c>
      <c r="P408" s="8" t="n">
        <f aca="false">IF(E408=0,0,G408/E408)</f>
        <v>0.4</v>
      </c>
      <c r="Q408" s="8" t="n">
        <f aca="false">IF(E408+N408=0,0,(G408+N408)/(E408+N408))</f>
        <v>0.571428571428571</v>
      </c>
      <c r="R408" s="8" t="n">
        <f aca="false">IF(E408=0,0,L408/E408)</f>
        <v>0.4</v>
      </c>
      <c r="S408" s="8" t="n">
        <f aca="false">R408+Q408</f>
        <v>0.971428571428571</v>
      </c>
      <c r="T408" s="8" t="n">
        <f aca="false">R408-P408</f>
        <v>0</v>
      </c>
    </row>
    <row r="409" customFormat="false" ht="14.25" hidden="false" customHeight="true" outlineLevel="0" collapsed="false">
      <c r="A409" s="6" t="n">
        <v>2024</v>
      </c>
      <c r="B409" s="6" t="s">
        <v>97</v>
      </c>
      <c r="C409" s="6" t="s">
        <v>287</v>
      </c>
      <c r="D409" s="7" t="n">
        <v>2</v>
      </c>
      <c r="E409" s="7" t="n">
        <v>5</v>
      </c>
      <c r="F409" s="7" t="n">
        <v>0</v>
      </c>
      <c r="G409" s="7" t="n">
        <v>1</v>
      </c>
      <c r="H409" s="7" t="n">
        <v>0</v>
      </c>
      <c r="I409" s="7" t="n">
        <v>0</v>
      </c>
      <c r="J409" s="7" t="n">
        <v>0</v>
      </c>
      <c r="K409" s="7" t="n">
        <v>0</v>
      </c>
      <c r="L409" s="7" t="n">
        <v>1</v>
      </c>
      <c r="M409" s="7" t="n">
        <v>0</v>
      </c>
      <c r="N409" s="7" t="n">
        <v>1</v>
      </c>
      <c r="O409" s="7" t="n">
        <v>1</v>
      </c>
      <c r="P409" s="8" t="n">
        <f aca="false">IF(E409=0,0,G409/E409)</f>
        <v>0.2</v>
      </c>
      <c r="Q409" s="8" t="n">
        <f aca="false">IF(E409+N409=0,0,(G409+N409)/(E409+N409))</f>
        <v>0.333333333333333</v>
      </c>
      <c r="R409" s="8" t="n">
        <f aca="false">IF(E409=0,0,L409/E409)</f>
        <v>0.2</v>
      </c>
      <c r="S409" s="8" t="n">
        <f aca="false">R409+Q409</f>
        <v>0.533333333333333</v>
      </c>
      <c r="T409" s="8" t="n">
        <f aca="false">R409-P409</f>
        <v>0</v>
      </c>
    </row>
    <row r="410" customFormat="false" ht="14.25" hidden="false" customHeight="true" outlineLevel="0" collapsed="false">
      <c r="A410" s="6" t="n">
        <v>2024</v>
      </c>
      <c r="B410" s="6" t="s">
        <v>97</v>
      </c>
      <c r="C410" s="6" t="s">
        <v>288</v>
      </c>
      <c r="D410" s="7" t="n">
        <v>1</v>
      </c>
      <c r="E410" s="7" t="n">
        <v>2</v>
      </c>
      <c r="F410" s="7" t="n">
        <v>0</v>
      </c>
      <c r="G410" s="7" t="n">
        <v>1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1</v>
      </c>
      <c r="M410" s="7" t="n">
        <v>0</v>
      </c>
      <c r="N410" s="7" t="n">
        <v>0</v>
      </c>
      <c r="O410" s="7" t="n">
        <v>1</v>
      </c>
      <c r="P410" s="8" t="n">
        <f aca="false">IF(E410=0,0,G410/E410)</f>
        <v>0.5</v>
      </c>
      <c r="Q410" s="8" t="n">
        <f aca="false">IF(E410+N410=0,0,(G410+N410)/(E410+N410))</f>
        <v>0.5</v>
      </c>
      <c r="R410" s="8" t="n">
        <f aca="false">IF(E410=0,0,L410/E410)</f>
        <v>0.5</v>
      </c>
      <c r="S410" s="8" t="n">
        <f aca="false">R410+Q410</f>
        <v>1</v>
      </c>
      <c r="T410" s="8" t="n">
        <f aca="false">R410-P410</f>
        <v>0</v>
      </c>
    </row>
    <row r="411" customFormat="false" ht="14.25" hidden="false" customHeight="true" outlineLevel="0" collapsed="false">
      <c r="A411" s="6" t="n">
        <v>2024</v>
      </c>
      <c r="B411" s="6" t="s">
        <v>97</v>
      </c>
      <c r="C411" s="6" t="s">
        <v>261</v>
      </c>
      <c r="D411" s="7" t="n">
        <v>1</v>
      </c>
      <c r="E411" s="7" t="n">
        <v>3</v>
      </c>
      <c r="F411" s="7" t="n">
        <v>0</v>
      </c>
      <c r="G411" s="7" t="n">
        <v>1</v>
      </c>
      <c r="H411" s="7" t="n">
        <v>0</v>
      </c>
      <c r="I411" s="7" t="n">
        <v>0</v>
      </c>
      <c r="J411" s="7" t="n">
        <v>0</v>
      </c>
      <c r="K411" s="7" t="n">
        <v>0</v>
      </c>
      <c r="L411" s="7" t="n">
        <v>1</v>
      </c>
      <c r="M411" s="7" t="n">
        <v>0</v>
      </c>
      <c r="N411" s="7" t="n">
        <v>0</v>
      </c>
      <c r="O411" s="7" t="n">
        <v>1</v>
      </c>
      <c r="P411" s="8" t="n">
        <f aca="false">IF(E411=0,0,G411/E411)</f>
        <v>0.333333333333333</v>
      </c>
      <c r="Q411" s="8" t="n">
        <f aca="false">IF(E411+N411=0,0,(G411+N411)/(E411+N411))</f>
        <v>0.333333333333333</v>
      </c>
      <c r="R411" s="8" t="n">
        <f aca="false">IF(E411=0,0,L411/E411)</f>
        <v>0.333333333333333</v>
      </c>
      <c r="S411" s="8" t="n">
        <f aca="false">R411+Q411</f>
        <v>0.666666666666667</v>
      </c>
      <c r="T411" s="8" t="n">
        <f aca="false">R411-P411</f>
        <v>0</v>
      </c>
    </row>
    <row r="412" customFormat="false" ht="14.25" hidden="false" customHeight="true" outlineLevel="0" collapsed="false">
      <c r="A412" s="6" t="n">
        <v>2024</v>
      </c>
      <c r="B412" s="6" t="s">
        <v>97</v>
      </c>
      <c r="C412" s="6" t="s">
        <v>289</v>
      </c>
      <c r="D412" s="7" t="n">
        <v>1</v>
      </c>
      <c r="E412" s="7" t="n">
        <v>2</v>
      </c>
      <c r="F412" s="7" t="n">
        <v>0</v>
      </c>
      <c r="G412" s="7" t="n">
        <v>1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1</v>
      </c>
      <c r="M412" s="7" t="n">
        <v>0</v>
      </c>
      <c r="N412" s="7" t="n">
        <v>0</v>
      </c>
      <c r="O412" s="7" t="n">
        <v>0</v>
      </c>
      <c r="P412" s="8" t="n">
        <f aca="false">IF(E412=0,0,G412/E412)</f>
        <v>0.5</v>
      </c>
      <c r="Q412" s="8" t="n">
        <f aca="false">IF(E412+N412=0,0,(G412+N412)/(E412+N412))</f>
        <v>0.5</v>
      </c>
      <c r="R412" s="8" t="n">
        <f aca="false">IF(E412=0,0,L412/E412)</f>
        <v>0.5</v>
      </c>
      <c r="S412" s="8" t="n">
        <f aca="false">R412+Q412</f>
        <v>1</v>
      </c>
      <c r="T412" s="8" t="n">
        <f aca="false">R412-P412</f>
        <v>0</v>
      </c>
    </row>
    <row r="413" customFormat="false" ht="14.25" hidden="false" customHeight="true" outlineLevel="0" collapsed="false">
      <c r="A413" s="6" t="n">
        <v>2024</v>
      </c>
      <c r="B413" s="6" t="s">
        <v>97</v>
      </c>
      <c r="C413" s="6" t="s">
        <v>290</v>
      </c>
      <c r="D413" s="7" t="n">
        <v>1</v>
      </c>
      <c r="E413" s="7" t="n">
        <v>3</v>
      </c>
      <c r="F413" s="7" t="n">
        <v>0</v>
      </c>
      <c r="G413" s="7" t="n">
        <v>1</v>
      </c>
      <c r="H413" s="7" t="n">
        <v>0</v>
      </c>
      <c r="I413" s="7" t="n">
        <v>0</v>
      </c>
      <c r="J413" s="7" t="n">
        <v>0</v>
      </c>
      <c r="K413" s="7" t="n">
        <v>0</v>
      </c>
      <c r="L413" s="7" t="n">
        <v>1</v>
      </c>
      <c r="M413" s="7" t="n">
        <v>0</v>
      </c>
      <c r="N413" s="7" t="n">
        <v>0</v>
      </c>
      <c r="O413" s="7" t="n">
        <v>0</v>
      </c>
      <c r="P413" s="8" t="n">
        <f aca="false">IF(E413=0,0,G413/E413)</f>
        <v>0.333333333333333</v>
      </c>
      <c r="Q413" s="8" t="n">
        <f aca="false">IF(E413+N413=0,0,(G413+N413)/(E413+N413))</f>
        <v>0.333333333333333</v>
      </c>
      <c r="R413" s="8" t="n">
        <f aca="false">IF(E413=0,0,L413/E413)</f>
        <v>0.333333333333333</v>
      </c>
      <c r="S413" s="8" t="n">
        <f aca="false">R413+Q413</f>
        <v>0.666666666666667</v>
      </c>
      <c r="T413" s="8" t="n">
        <f aca="false">R413-P413</f>
        <v>0</v>
      </c>
    </row>
    <row r="414" customFormat="false" ht="14.25" hidden="false" customHeight="true" outlineLevel="0" collapsed="false">
      <c r="A414" s="6" t="n">
        <v>2024</v>
      </c>
      <c r="B414" s="6" t="s">
        <v>97</v>
      </c>
      <c r="C414" s="6" t="s">
        <v>277</v>
      </c>
      <c r="D414" s="7" t="n">
        <v>2</v>
      </c>
      <c r="E414" s="7" t="n">
        <v>5</v>
      </c>
      <c r="F414" s="7" t="n">
        <v>0</v>
      </c>
      <c r="G414" s="7" t="n">
        <v>1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1</v>
      </c>
      <c r="M414" s="7" t="n">
        <v>0</v>
      </c>
      <c r="N414" s="7" t="n">
        <v>0</v>
      </c>
      <c r="O414" s="7" t="n">
        <v>0</v>
      </c>
      <c r="P414" s="8" t="n">
        <f aca="false">IF(E414=0,0,G414/E414)</f>
        <v>0.2</v>
      </c>
      <c r="Q414" s="8" t="n">
        <f aca="false">IF(E414+N414=0,0,(G414+N414)/(E414+N414))</f>
        <v>0.2</v>
      </c>
      <c r="R414" s="8" t="n">
        <f aca="false">IF(E414=0,0,L414/E414)</f>
        <v>0.2</v>
      </c>
      <c r="S414" s="8" t="n">
        <f aca="false">R414+Q414</f>
        <v>0.4</v>
      </c>
      <c r="T414" s="8" t="n">
        <f aca="false">R414-P414</f>
        <v>0</v>
      </c>
    </row>
    <row r="415" customFormat="false" ht="14.25" hidden="false" customHeight="true" outlineLevel="0" collapsed="false">
      <c r="A415" s="6" t="n">
        <v>2024</v>
      </c>
      <c r="B415" s="6" t="s">
        <v>97</v>
      </c>
      <c r="C415" s="6" t="s">
        <v>109</v>
      </c>
      <c r="D415" s="7" t="n">
        <v>4</v>
      </c>
      <c r="E415" s="7" t="n">
        <v>10</v>
      </c>
      <c r="F415" s="7" t="n">
        <v>0</v>
      </c>
      <c r="G415" s="7" t="n">
        <v>1</v>
      </c>
      <c r="H415" s="7" t="n">
        <v>0</v>
      </c>
      <c r="I415" s="7" t="n">
        <v>0</v>
      </c>
      <c r="J415" s="7" t="n">
        <v>0</v>
      </c>
      <c r="K415" s="7" t="n">
        <v>0</v>
      </c>
      <c r="L415" s="7" t="n">
        <v>1</v>
      </c>
      <c r="M415" s="7" t="n">
        <v>0</v>
      </c>
      <c r="N415" s="7" t="n">
        <v>0</v>
      </c>
      <c r="O415" s="7" t="n">
        <v>0</v>
      </c>
      <c r="P415" s="8" t="n">
        <f aca="false">IF(E415=0,0,G415/E415)</f>
        <v>0.1</v>
      </c>
      <c r="Q415" s="8" t="n">
        <f aca="false">IF(E415+N415=0,0,(G415+N415)/(E415+N415))</f>
        <v>0.1</v>
      </c>
      <c r="R415" s="8" t="n">
        <f aca="false">IF(E415=0,0,L415/E415)</f>
        <v>0.1</v>
      </c>
      <c r="S415" s="8" t="n">
        <f aca="false">R415+Q415</f>
        <v>0.2</v>
      </c>
      <c r="T415" s="8" t="n">
        <f aca="false">R415-P415</f>
        <v>0</v>
      </c>
    </row>
    <row r="416" customFormat="false" ht="14.25" hidden="false" customHeight="true" outlineLevel="0" collapsed="false">
      <c r="A416" s="6" t="n">
        <v>2024</v>
      </c>
      <c r="B416" s="6" t="s">
        <v>97</v>
      </c>
      <c r="C416" s="6" t="s">
        <v>291</v>
      </c>
      <c r="D416" s="7" t="n">
        <v>1</v>
      </c>
      <c r="E416" s="7" t="n">
        <v>3</v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2</v>
      </c>
      <c r="P416" s="8" t="n">
        <f aca="false">IF(E416=0,0,G416/E416)</f>
        <v>0</v>
      </c>
      <c r="Q416" s="8" t="n">
        <f aca="false">IF(E416+N416=0,0,(G416+N416)/(E416+N416))</f>
        <v>0</v>
      </c>
      <c r="R416" s="8" t="n">
        <f aca="false">IF(E416=0,0,L416/E416)</f>
        <v>0</v>
      </c>
      <c r="S416" s="8" t="n">
        <f aca="false">R416+Q416</f>
        <v>0</v>
      </c>
      <c r="T416" s="8" t="n">
        <f aca="false">R416-P416</f>
        <v>0</v>
      </c>
    </row>
    <row r="417" customFormat="false" ht="14.25" hidden="false" customHeight="true" outlineLevel="0" collapsed="false">
      <c r="A417" s="6" t="n">
        <v>2024</v>
      </c>
      <c r="B417" s="6" t="s">
        <v>97</v>
      </c>
      <c r="C417" s="6" t="s">
        <v>292</v>
      </c>
      <c r="D417" s="7" t="n">
        <v>2</v>
      </c>
      <c r="E417" s="7" t="n">
        <v>3</v>
      </c>
      <c r="F417" s="7" t="n">
        <v>0</v>
      </c>
      <c r="G417" s="7" t="n">
        <v>0</v>
      </c>
      <c r="H417" s="7" t="n">
        <v>0</v>
      </c>
      <c r="I417" s="7" t="n">
        <v>0</v>
      </c>
      <c r="J417" s="7" t="n">
        <v>0</v>
      </c>
      <c r="K417" s="7" t="n">
        <v>0</v>
      </c>
      <c r="L417" s="7" t="n">
        <v>0</v>
      </c>
      <c r="M417" s="7" t="n">
        <v>0</v>
      </c>
      <c r="N417" s="7" t="n">
        <v>2</v>
      </c>
      <c r="O417" s="7" t="n">
        <v>1</v>
      </c>
      <c r="P417" s="8" t="n">
        <f aca="false">IF(E417=0,0,G417/E417)</f>
        <v>0</v>
      </c>
      <c r="Q417" s="8" t="n">
        <f aca="false">IF(E417+N417=0,0,(G417+N417)/(E417+N417))</f>
        <v>0.4</v>
      </c>
      <c r="R417" s="8" t="n">
        <f aca="false">IF(E417=0,0,L417/E417)</f>
        <v>0</v>
      </c>
      <c r="S417" s="8" t="n">
        <f aca="false">R417+Q417</f>
        <v>0.4</v>
      </c>
      <c r="T417" s="8" t="n">
        <f aca="false">R417-P417</f>
        <v>0</v>
      </c>
    </row>
    <row r="418" customFormat="false" ht="14.25" hidden="false" customHeight="true" outlineLevel="0" collapsed="false">
      <c r="A418" s="6" t="n">
        <v>2024</v>
      </c>
      <c r="B418" s="6" t="s">
        <v>97</v>
      </c>
      <c r="C418" s="6" t="s">
        <v>117</v>
      </c>
      <c r="D418" s="7" t="n">
        <v>4</v>
      </c>
      <c r="E418" s="7" t="n">
        <v>7</v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1</v>
      </c>
      <c r="O418" s="7" t="n">
        <v>0</v>
      </c>
      <c r="P418" s="8" t="n">
        <f aca="false">IF(E418=0,0,G418/E418)</f>
        <v>0</v>
      </c>
      <c r="Q418" s="8" t="n">
        <f aca="false">IF(E418+N418=0,0,(G418+N418)/(E418+N418))</f>
        <v>0.125</v>
      </c>
      <c r="R418" s="8" t="n">
        <f aca="false">IF(E418=0,0,L418/E418)</f>
        <v>0</v>
      </c>
      <c r="S418" s="8" t="n">
        <f aca="false">R418+Q418</f>
        <v>0.125</v>
      </c>
      <c r="T418" s="8" t="n">
        <f aca="false">R418-P418</f>
        <v>0</v>
      </c>
    </row>
    <row r="419" customFormat="false" ht="14.25" hidden="false" customHeight="true" outlineLevel="0" collapsed="false">
      <c r="A419" s="6" t="n">
        <v>2024</v>
      </c>
      <c r="B419" s="6" t="s">
        <v>97</v>
      </c>
      <c r="C419" s="6" t="s">
        <v>293</v>
      </c>
      <c r="D419" s="7" t="n">
        <v>2</v>
      </c>
      <c r="E419" s="7" t="n">
        <v>4</v>
      </c>
      <c r="F419" s="7" t="n">
        <v>0</v>
      </c>
      <c r="G419" s="7" t="n">
        <v>0</v>
      </c>
      <c r="H419" s="7" t="n">
        <v>0</v>
      </c>
      <c r="I419" s="7" t="n">
        <v>0</v>
      </c>
      <c r="J419" s="7" t="n">
        <v>0</v>
      </c>
      <c r="K419" s="7" t="n">
        <v>0</v>
      </c>
      <c r="L419" s="7" t="n">
        <v>0</v>
      </c>
      <c r="M419" s="7" t="n">
        <v>0</v>
      </c>
      <c r="N419" s="7" t="n">
        <v>0</v>
      </c>
      <c r="O419" s="7" t="n">
        <v>0</v>
      </c>
      <c r="P419" s="8" t="n">
        <f aca="false">IF(E419=0,0,G419/E419)</f>
        <v>0</v>
      </c>
      <c r="Q419" s="8" t="n">
        <f aca="false">IF(E419+N419=0,0,(G419+N419)/(E419+N419))</f>
        <v>0</v>
      </c>
      <c r="R419" s="8" t="n">
        <f aca="false">IF(E419=0,0,L419/E419)</f>
        <v>0</v>
      </c>
      <c r="S419" s="8" t="n">
        <f aca="false">R419+Q419</f>
        <v>0</v>
      </c>
      <c r="T419" s="8" t="n">
        <f aca="false">R419-P419</f>
        <v>0</v>
      </c>
    </row>
    <row r="420" customFormat="false" ht="14.25" hidden="false" customHeight="true" outlineLevel="0" collapsed="false">
      <c r="A420" s="6" t="n">
        <v>2024</v>
      </c>
      <c r="B420" s="6" t="s">
        <v>97</v>
      </c>
      <c r="C420" s="6" t="s">
        <v>260</v>
      </c>
      <c r="D420" s="7" t="n">
        <v>1</v>
      </c>
      <c r="E420" s="7" t="n">
        <v>3</v>
      </c>
      <c r="F420" s="7" t="n">
        <v>1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8" t="n">
        <f aca="false">IF(E420=0,0,G420/E420)</f>
        <v>0</v>
      </c>
      <c r="Q420" s="8" t="n">
        <f aca="false">IF(E420+N420=0,0,(G420+N420)/(E420+N420))</f>
        <v>0</v>
      </c>
      <c r="R420" s="8" t="n">
        <f aca="false">IF(E420=0,0,L420/E420)</f>
        <v>0</v>
      </c>
      <c r="S420" s="8" t="n">
        <f aca="false">R420+Q420</f>
        <v>0</v>
      </c>
      <c r="T420" s="8" t="n">
        <f aca="false">R420-P420</f>
        <v>0</v>
      </c>
    </row>
    <row r="421" customFormat="false" ht="14.25" hidden="false" customHeight="true" outlineLevel="0" collapsed="false">
      <c r="A421" s="6" t="n">
        <v>2024</v>
      </c>
      <c r="B421" s="6" t="s">
        <v>97</v>
      </c>
      <c r="C421" s="6" t="s">
        <v>253</v>
      </c>
      <c r="D421" s="7" t="n">
        <v>1</v>
      </c>
      <c r="E421" s="7" t="n">
        <v>3</v>
      </c>
      <c r="F421" s="7" t="n">
        <v>0</v>
      </c>
      <c r="G421" s="7" t="n">
        <v>0</v>
      </c>
      <c r="H421" s="7" t="n">
        <v>0</v>
      </c>
      <c r="I421" s="7" t="n">
        <v>0</v>
      </c>
      <c r="J421" s="7" t="n">
        <v>0</v>
      </c>
      <c r="K421" s="7" t="n">
        <v>0</v>
      </c>
      <c r="L421" s="7" t="n">
        <v>0</v>
      </c>
      <c r="M421" s="7" t="n">
        <v>0</v>
      </c>
      <c r="N421" s="7" t="n">
        <v>0</v>
      </c>
      <c r="O421" s="7" t="n">
        <v>0</v>
      </c>
      <c r="P421" s="8" t="n">
        <f aca="false">IF(E421=0,0,G421/E421)</f>
        <v>0</v>
      </c>
      <c r="Q421" s="8" t="n">
        <f aca="false">IF(E421+N421=0,0,(G421+N421)/(E421+N421))</f>
        <v>0</v>
      </c>
      <c r="R421" s="8" t="n">
        <f aca="false">IF(E421=0,0,L421/E421)</f>
        <v>0</v>
      </c>
      <c r="S421" s="8" t="n">
        <f aca="false">R421+Q421</f>
        <v>0</v>
      </c>
      <c r="T421" s="8" t="n">
        <f aca="false">R421-P421</f>
        <v>0</v>
      </c>
    </row>
    <row r="422" customFormat="false" ht="14.25" hidden="false" customHeight="true" outlineLevel="0" collapsed="false">
      <c r="A422" s="6" t="n">
        <v>2024</v>
      </c>
      <c r="B422" s="6" t="s">
        <v>97</v>
      </c>
      <c r="C422" s="6" t="s">
        <v>252</v>
      </c>
      <c r="D422" s="7" t="n">
        <v>1</v>
      </c>
      <c r="E422" s="7" t="n">
        <v>3</v>
      </c>
      <c r="F422" s="7" t="n">
        <v>0</v>
      </c>
      <c r="G422" s="7" t="n">
        <v>0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7" t="n">
        <v>0</v>
      </c>
      <c r="P422" s="8" t="n">
        <f aca="false">IF(E422=0,0,G422/E422)</f>
        <v>0</v>
      </c>
      <c r="Q422" s="8" t="n">
        <f aca="false">IF(E422+N422=0,0,(G422+N422)/(E422+N422))</f>
        <v>0</v>
      </c>
      <c r="R422" s="8" t="n">
        <f aca="false">IF(E422=0,0,L422/E422)</f>
        <v>0</v>
      </c>
      <c r="S422" s="8" t="n">
        <f aca="false">R422+Q422</f>
        <v>0</v>
      </c>
      <c r="T422" s="8" t="n">
        <f aca="false">R422-P422</f>
        <v>0</v>
      </c>
    </row>
    <row r="423" customFormat="false" ht="14.25" hidden="false" customHeight="true" outlineLevel="0" collapsed="false">
      <c r="A423" s="6" t="n">
        <v>2024</v>
      </c>
      <c r="B423" s="6" t="s">
        <v>97</v>
      </c>
      <c r="C423" s="6" t="s">
        <v>294</v>
      </c>
      <c r="D423" s="7" t="n">
        <v>1</v>
      </c>
      <c r="E423" s="7" t="n">
        <v>3</v>
      </c>
      <c r="F423" s="7" t="n">
        <v>0</v>
      </c>
      <c r="G423" s="7" t="n">
        <v>0</v>
      </c>
      <c r="H423" s="7" t="n">
        <v>0</v>
      </c>
      <c r="I423" s="7" t="n">
        <v>0</v>
      </c>
      <c r="J423" s="7" t="n">
        <v>0</v>
      </c>
      <c r="K423" s="7" t="n">
        <v>0</v>
      </c>
      <c r="L423" s="7" t="n">
        <v>0</v>
      </c>
      <c r="M423" s="7" t="n">
        <v>0</v>
      </c>
      <c r="N423" s="7" t="n">
        <v>0</v>
      </c>
      <c r="O423" s="7" t="n">
        <v>0</v>
      </c>
      <c r="P423" s="8" t="n">
        <f aca="false">IF(E423=0,0,G423/E423)</f>
        <v>0</v>
      </c>
      <c r="Q423" s="8" t="n">
        <f aca="false">IF(E423+N423=0,0,(G423+N423)/(E423+N423))</f>
        <v>0</v>
      </c>
      <c r="R423" s="8" t="n">
        <f aca="false">IF(E423=0,0,L423/E423)</f>
        <v>0</v>
      </c>
      <c r="S423" s="8" t="n">
        <f aca="false">R423+Q423</f>
        <v>0</v>
      </c>
      <c r="T423" s="8" t="n">
        <f aca="false">R423-P423</f>
        <v>0</v>
      </c>
    </row>
    <row r="424" customFormat="false" ht="14.25" hidden="false" customHeight="true" outlineLevel="0" collapsed="false">
      <c r="A424" s="6" t="n">
        <v>2024</v>
      </c>
      <c r="B424" s="6" t="s">
        <v>97</v>
      </c>
      <c r="C424" s="6" t="s">
        <v>295</v>
      </c>
      <c r="D424" s="7" t="n">
        <v>1</v>
      </c>
      <c r="E424" s="7" t="n">
        <v>3</v>
      </c>
      <c r="F424" s="7" t="n">
        <v>0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8" t="n">
        <f aca="false">IF(E424=0,0,G424/E424)</f>
        <v>0</v>
      </c>
      <c r="Q424" s="8" t="n">
        <f aca="false">IF(E424+N424=0,0,(G424+N424)/(E424+N424))</f>
        <v>0</v>
      </c>
      <c r="R424" s="8" t="n">
        <f aca="false">IF(E424=0,0,L424/E424)</f>
        <v>0</v>
      </c>
      <c r="S424" s="8" t="n">
        <f aca="false">R424+Q424</f>
        <v>0</v>
      </c>
      <c r="T424" s="8" t="n">
        <f aca="false">R424-P424</f>
        <v>0</v>
      </c>
    </row>
    <row r="425" customFormat="false" ht="14.25" hidden="false" customHeight="true" outlineLevel="0" collapsed="false">
      <c r="A425" s="6" t="n">
        <v>2024</v>
      </c>
      <c r="B425" s="6" t="s">
        <v>97</v>
      </c>
      <c r="C425" s="6" t="s">
        <v>296</v>
      </c>
      <c r="D425" s="7" t="n">
        <v>1</v>
      </c>
      <c r="E425" s="7" t="n">
        <v>2</v>
      </c>
      <c r="F425" s="7" t="n">
        <v>0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0</v>
      </c>
      <c r="L425" s="7" t="n">
        <v>0</v>
      </c>
      <c r="M425" s="7" t="n">
        <v>0</v>
      </c>
      <c r="N425" s="7" t="n">
        <v>0</v>
      </c>
      <c r="O425" s="7" t="n">
        <v>0</v>
      </c>
      <c r="P425" s="8" t="n">
        <f aca="false">IF(E425=0,0,G425/E425)</f>
        <v>0</v>
      </c>
      <c r="Q425" s="8" t="n">
        <f aca="false">IF(E425+N425=0,0,(G425+N425)/(E425+N425))</f>
        <v>0</v>
      </c>
      <c r="R425" s="8" t="n">
        <f aca="false">IF(E425=0,0,L425/E425)</f>
        <v>0</v>
      </c>
      <c r="S425" s="8" t="n">
        <f aca="false">R425+Q425</f>
        <v>0</v>
      </c>
      <c r="T425" s="8" t="n">
        <f aca="false">R425-P425</f>
        <v>0</v>
      </c>
    </row>
    <row r="426" customFormat="false" ht="14.25" hidden="false" customHeight="true" outlineLevel="0" collapsed="false">
      <c r="A426" s="6" t="n">
        <v>2024</v>
      </c>
      <c r="B426" s="6" t="s">
        <v>121</v>
      </c>
      <c r="C426" s="6" t="s">
        <v>123</v>
      </c>
      <c r="D426" s="7" t="n">
        <v>12</v>
      </c>
      <c r="E426" s="7" t="n">
        <v>45</v>
      </c>
      <c r="F426" s="7" t="n">
        <v>15</v>
      </c>
      <c r="G426" s="7" t="n">
        <v>20</v>
      </c>
      <c r="H426" s="7" t="n">
        <v>3</v>
      </c>
      <c r="I426" s="7" t="n">
        <v>0</v>
      </c>
      <c r="J426" s="7" t="n">
        <v>4</v>
      </c>
      <c r="K426" s="7" t="n">
        <v>7</v>
      </c>
      <c r="L426" s="7" t="n">
        <v>35</v>
      </c>
      <c r="M426" s="7" t="n">
        <v>9</v>
      </c>
      <c r="N426" s="7" t="n">
        <v>4</v>
      </c>
      <c r="O426" s="7" t="n">
        <v>0</v>
      </c>
      <c r="P426" s="8" t="n">
        <f aca="false">IF(E426=0,0,G426/E426)</f>
        <v>0.444444444444444</v>
      </c>
      <c r="Q426" s="8" t="n">
        <f aca="false">IF(E426+N426=0,0,(G426+N426)/(E426+N426))</f>
        <v>0.489795918367347</v>
      </c>
      <c r="R426" s="8" t="n">
        <f aca="false">IF(E426=0,0,L426/E426)</f>
        <v>0.777777777777778</v>
      </c>
      <c r="S426" s="8" t="n">
        <f aca="false">R426+Q426</f>
        <v>1.26757369614512</v>
      </c>
      <c r="T426" s="8" t="n">
        <f aca="false">R426-P426</f>
        <v>0.333333333333333</v>
      </c>
    </row>
    <row r="427" customFormat="false" ht="14.25" hidden="false" customHeight="true" outlineLevel="0" collapsed="false">
      <c r="A427" s="6" t="n">
        <v>2024</v>
      </c>
      <c r="B427" s="6" t="s">
        <v>121</v>
      </c>
      <c r="C427" s="6" t="s">
        <v>122</v>
      </c>
      <c r="D427" s="7" t="n">
        <v>11</v>
      </c>
      <c r="E427" s="7" t="n">
        <v>37</v>
      </c>
      <c r="F427" s="7" t="n">
        <v>6</v>
      </c>
      <c r="G427" s="7" t="n">
        <v>14</v>
      </c>
      <c r="H427" s="7" t="n">
        <v>5</v>
      </c>
      <c r="I427" s="7" t="n">
        <v>1</v>
      </c>
      <c r="J427" s="7" t="n">
        <v>0</v>
      </c>
      <c r="K427" s="7" t="n">
        <v>6</v>
      </c>
      <c r="L427" s="7" t="n">
        <v>21</v>
      </c>
      <c r="M427" s="7" t="n">
        <v>8</v>
      </c>
      <c r="N427" s="7" t="n">
        <v>3</v>
      </c>
      <c r="O427" s="7" t="n">
        <v>0</v>
      </c>
      <c r="P427" s="8" t="n">
        <f aca="false">IF(E427=0,0,G427/E427)</f>
        <v>0.378378378378378</v>
      </c>
      <c r="Q427" s="8" t="n">
        <f aca="false">IF(E427+N427=0,0,(G427+N427)/(E427+N427))</f>
        <v>0.425</v>
      </c>
      <c r="R427" s="8" t="n">
        <f aca="false">IF(E427=0,0,L427/E427)</f>
        <v>0.567567567567568</v>
      </c>
      <c r="S427" s="8" t="n">
        <f aca="false">R427+Q427</f>
        <v>0.992567567567568</v>
      </c>
      <c r="T427" s="8" t="n">
        <f aca="false">R427-P427</f>
        <v>0.189189189189189</v>
      </c>
    </row>
    <row r="428" customFormat="false" ht="14.25" hidden="false" customHeight="true" outlineLevel="0" collapsed="false">
      <c r="A428" s="6" t="n">
        <v>2024</v>
      </c>
      <c r="B428" s="6" t="s">
        <v>121</v>
      </c>
      <c r="C428" s="6" t="s">
        <v>137</v>
      </c>
      <c r="D428" s="7" t="n">
        <v>9</v>
      </c>
      <c r="E428" s="7" t="n">
        <v>35</v>
      </c>
      <c r="F428" s="7" t="n">
        <v>11</v>
      </c>
      <c r="G428" s="7" t="n">
        <v>14</v>
      </c>
      <c r="H428" s="7" t="n">
        <v>2</v>
      </c>
      <c r="I428" s="7" t="n">
        <v>0</v>
      </c>
      <c r="J428" s="7" t="n">
        <v>0</v>
      </c>
      <c r="K428" s="7" t="n">
        <v>2</v>
      </c>
      <c r="L428" s="7" t="n">
        <v>16</v>
      </c>
      <c r="M428" s="7" t="n">
        <v>5</v>
      </c>
      <c r="N428" s="7" t="n">
        <v>1</v>
      </c>
      <c r="O428" s="7" t="n">
        <v>1</v>
      </c>
      <c r="P428" s="8" t="n">
        <f aca="false">IF(E428=0,0,G428/E428)</f>
        <v>0.4</v>
      </c>
      <c r="Q428" s="8" t="n">
        <f aca="false">IF(E428+N428=0,0,(G428+N428)/(E428+N428))</f>
        <v>0.416666666666667</v>
      </c>
      <c r="R428" s="8" t="n">
        <f aca="false">IF(E428=0,0,L428/E428)</f>
        <v>0.457142857142857</v>
      </c>
      <c r="S428" s="8" t="n">
        <f aca="false">R428+Q428</f>
        <v>0.873809523809524</v>
      </c>
      <c r="T428" s="8" t="n">
        <f aca="false">R428-P428</f>
        <v>0.0571428571428571</v>
      </c>
    </row>
    <row r="429" customFormat="false" ht="14.25" hidden="false" customHeight="true" outlineLevel="0" collapsed="false">
      <c r="A429" s="6" t="n">
        <v>2024</v>
      </c>
      <c r="B429" s="6" t="s">
        <v>121</v>
      </c>
      <c r="C429" s="6" t="s">
        <v>125</v>
      </c>
      <c r="D429" s="7" t="n">
        <v>12</v>
      </c>
      <c r="E429" s="7" t="n">
        <v>41</v>
      </c>
      <c r="F429" s="7" t="n">
        <v>4</v>
      </c>
      <c r="G429" s="7" t="n">
        <v>13</v>
      </c>
      <c r="H429" s="7" t="n">
        <v>2</v>
      </c>
      <c r="I429" s="7" t="n">
        <v>0</v>
      </c>
      <c r="J429" s="7" t="n">
        <v>1</v>
      </c>
      <c r="K429" s="7" t="n">
        <v>3</v>
      </c>
      <c r="L429" s="7" t="n">
        <v>18</v>
      </c>
      <c r="M429" s="7" t="n">
        <v>10</v>
      </c>
      <c r="N429" s="7" t="n">
        <v>3</v>
      </c>
      <c r="O429" s="7" t="n">
        <v>0</v>
      </c>
      <c r="P429" s="8" t="n">
        <f aca="false">IF(E429=0,0,G429/E429)</f>
        <v>0.317073170731707</v>
      </c>
      <c r="Q429" s="8" t="n">
        <f aca="false">IF(E429+N429=0,0,(G429+N429)/(E429+N429))</f>
        <v>0.363636363636364</v>
      </c>
      <c r="R429" s="8" t="n">
        <f aca="false">IF(E429=0,0,L429/E429)</f>
        <v>0.439024390243902</v>
      </c>
      <c r="S429" s="8" t="n">
        <f aca="false">R429+Q429</f>
        <v>0.802660753880266</v>
      </c>
      <c r="T429" s="8" t="n">
        <f aca="false">R429-P429</f>
        <v>0.121951219512195</v>
      </c>
    </row>
    <row r="430" customFormat="false" ht="14.25" hidden="false" customHeight="true" outlineLevel="0" collapsed="false">
      <c r="A430" s="6" t="n">
        <v>2024</v>
      </c>
      <c r="B430" s="6" t="s">
        <v>121</v>
      </c>
      <c r="C430" s="6" t="s">
        <v>131</v>
      </c>
      <c r="D430" s="7" t="n">
        <v>6</v>
      </c>
      <c r="E430" s="7" t="n">
        <v>23</v>
      </c>
      <c r="F430" s="7" t="n">
        <v>10</v>
      </c>
      <c r="G430" s="7" t="n">
        <v>13</v>
      </c>
      <c r="H430" s="7" t="n">
        <v>5</v>
      </c>
      <c r="I430" s="7" t="n">
        <v>0</v>
      </c>
      <c r="J430" s="7" t="n">
        <v>0</v>
      </c>
      <c r="K430" s="7" t="n">
        <v>5</v>
      </c>
      <c r="L430" s="7" t="n">
        <v>18</v>
      </c>
      <c r="M430" s="7" t="n">
        <v>5</v>
      </c>
      <c r="N430" s="7" t="n">
        <v>2</v>
      </c>
      <c r="O430" s="7" t="n">
        <v>0</v>
      </c>
      <c r="P430" s="8" t="n">
        <f aca="false">IF(E430=0,0,G430/E430)</f>
        <v>0.565217391304348</v>
      </c>
      <c r="Q430" s="8" t="n">
        <f aca="false">IF(E430+N430=0,0,(G430+N430)/(E430+N430))</f>
        <v>0.6</v>
      </c>
      <c r="R430" s="8" t="n">
        <f aca="false">IF(E430=0,0,L430/E430)</f>
        <v>0.782608695652174</v>
      </c>
      <c r="S430" s="8" t="n">
        <f aca="false">R430+Q430</f>
        <v>1.38260869565217</v>
      </c>
      <c r="T430" s="8" t="n">
        <f aca="false">R430-P430</f>
        <v>0.217391304347826</v>
      </c>
    </row>
    <row r="431" customFormat="false" ht="14.25" hidden="false" customHeight="true" outlineLevel="0" collapsed="false">
      <c r="A431" s="6" t="n">
        <v>2024</v>
      </c>
      <c r="B431" s="6" t="s">
        <v>121</v>
      </c>
      <c r="C431" s="6" t="s">
        <v>144</v>
      </c>
      <c r="D431" s="7" t="n">
        <v>11</v>
      </c>
      <c r="E431" s="7" t="n">
        <v>37</v>
      </c>
      <c r="F431" s="7" t="n">
        <v>3</v>
      </c>
      <c r="G431" s="7" t="n">
        <v>10</v>
      </c>
      <c r="H431" s="7" t="n">
        <v>1</v>
      </c>
      <c r="I431" s="7" t="n">
        <v>0</v>
      </c>
      <c r="J431" s="7" t="n">
        <v>0</v>
      </c>
      <c r="K431" s="7" t="n">
        <v>1</v>
      </c>
      <c r="L431" s="7" t="n">
        <v>11</v>
      </c>
      <c r="M431" s="7" t="n">
        <v>5</v>
      </c>
      <c r="N431" s="7" t="n">
        <v>1</v>
      </c>
      <c r="O431" s="7" t="n">
        <v>2</v>
      </c>
      <c r="P431" s="8" t="n">
        <f aca="false">IF(E431=0,0,G431/E431)</f>
        <v>0.27027027027027</v>
      </c>
      <c r="Q431" s="8" t="n">
        <f aca="false">IF(E431+N431=0,0,(G431+N431)/(E431+N431))</f>
        <v>0.289473684210526</v>
      </c>
      <c r="R431" s="8" t="n">
        <f aca="false">IF(E431=0,0,L431/E431)</f>
        <v>0.297297297297297</v>
      </c>
      <c r="S431" s="8" t="n">
        <f aca="false">R431+Q431</f>
        <v>0.586770981507824</v>
      </c>
      <c r="T431" s="8" t="n">
        <f aca="false">R431-P431</f>
        <v>0.027027027027027</v>
      </c>
    </row>
    <row r="432" customFormat="false" ht="14.25" hidden="false" customHeight="true" outlineLevel="0" collapsed="false">
      <c r="A432" s="6" t="n">
        <v>2024</v>
      </c>
      <c r="B432" s="6" t="s">
        <v>121</v>
      </c>
      <c r="C432" s="6" t="s">
        <v>126</v>
      </c>
      <c r="D432" s="7" t="n">
        <v>6</v>
      </c>
      <c r="E432" s="7" t="n">
        <v>23</v>
      </c>
      <c r="F432" s="7" t="n">
        <v>6</v>
      </c>
      <c r="G432" s="7" t="n">
        <v>9</v>
      </c>
      <c r="H432" s="7" t="n">
        <v>1</v>
      </c>
      <c r="I432" s="7" t="n">
        <v>0</v>
      </c>
      <c r="J432" s="7" t="n">
        <v>1</v>
      </c>
      <c r="K432" s="7" t="n">
        <v>2</v>
      </c>
      <c r="L432" s="7" t="n">
        <v>13</v>
      </c>
      <c r="M432" s="7" t="n">
        <v>6</v>
      </c>
      <c r="N432" s="7" t="n">
        <v>0</v>
      </c>
      <c r="O432" s="7" t="n">
        <v>0</v>
      </c>
      <c r="P432" s="8" t="n">
        <f aca="false">IF(E432=0,0,G432/E432)</f>
        <v>0.391304347826087</v>
      </c>
      <c r="Q432" s="8" t="n">
        <f aca="false">IF(E432+N432=0,0,(G432+N432)/(E432+N432))</f>
        <v>0.391304347826087</v>
      </c>
      <c r="R432" s="8" t="n">
        <f aca="false">IF(E432=0,0,L432/E432)</f>
        <v>0.565217391304348</v>
      </c>
      <c r="S432" s="8" t="n">
        <f aca="false">R432+Q432</f>
        <v>0.956521739130435</v>
      </c>
      <c r="T432" s="8" t="n">
        <f aca="false">R432-P432</f>
        <v>0.173913043478261</v>
      </c>
    </row>
    <row r="433" customFormat="false" ht="14.25" hidden="false" customHeight="true" outlineLevel="0" collapsed="false">
      <c r="A433" s="6" t="n">
        <v>2024</v>
      </c>
      <c r="B433" s="6" t="s">
        <v>121</v>
      </c>
      <c r="C433" s="6" t="s">
        <v>130</v>
      </c>
      <c r="D433" s="7" t="n">
        <v>12</v>
      </c>
      <c r="E433" s="7" t="n">
        <v>35</v>
      </c>
      <c r="F433" s="7" t="n">
        <v>3</v>
      </c>
      <c r="G433" s="7" t="n">
        <v>6</v>
      </c>
      <c r="H433" s="7" t="n">
        <v>2</v>
      </c>
      <c r="I433" s="7" t="n">
        <v>0</v>
      </c>
      <c r="J433" s="7" t="n">
        <v>0</v>
      </c>
      <c r="K433" s="7" t="n">
        <v>2</v>
      </c>
      <c r="L433" s="7" t="n">
        <v>8</v>
      </c>
      <c r="M433" s="7" t="n">
        <v>4</v>
      </c>
      <c r="N433" s="7" t="n">
        <v>4</v>
      </c>
      <c r="O433" s="7" t="n">
        <v>0</v>
      </c>
      <c r="P433" s="8" t="n">
        <f aca="false">IF(E433=0,0,G433/E433)</f>
        <v>0.171428571428571</v>
      </c>
      <c r="Q433" s="8" t="n">
        <f aca="false">IF(E433+N433=0,0,(G433+N433)/(E433+N433))</f>
        <v>0.256410256410256</v>
      </c>
      <c r="R433" s="8" t="n">
        <f aca="false">IF(E433=0,0,L433/E433)</f>
        <v>0.228571428571429</v>
      </c>
      <c r="S433" s="8" t="n">
        <f aca="false">R433+Q433</f>
        <v>0.484981684981685</v>
      </c>
      <c r="T433" s="8" t="n">
        <f aca="false">R433-P433</f>
        <v>0.0571428571428571</v>
      </c>
    </row>
    <row r="434" customFormat="false" ht="14.25" hidden="false" customHeight="true" outlineLevel="0" collapsed="false">
      <c r="A434" s="6" t="n">
        <v>2024</v>
      </c>
      <c r="B434" s="6" t="s">
        <v>121</v>
      </c>
      <c r="C434" s="6" t="s">
        <v>143</v>
      </c>
      <c r="D434" s="7" t="n">
        <v>5</v>
      </c>
      <c r="E434" s="7" t="n">
        <v>15</v>
      </c>
      <c r="F434" s="7" t="n">
        <v>3</v>
      </c>
      <c r="G434" s="7" t="n">
        <v>5</v>
      </c>
      <c r="H434" s="7" t="n">
        <v>0</v>
      </c>
      <c r="I434" s="7" t="n">
        <v>0</v>
      </c>
      <c r="J434" s="7" t="n">
        <v>0</v>
      </c>
      <c r="K434" s="7" t="n">
        <v>0</v>
      </c>
      <c r="L434" s="7" t="n">
        <v>5</v>
      </c>
      <c r="M434" s="7" t="n">
        <v>5</v>
      </c>
      <c r="N434" s="7" t="n">
        <v>2</v>
      </c>
      <c r="O434" s="7" t="n">
        <v>0</v>
      </c>
      <c r="P434" s="8" t="n">
        <f aca="false">IF(E434=0,0,G434/E434)</f>
        <v>0.333333333333333</v>
      </c>
      <c r="Q434" s="8" t="n">
        <f aca="false">IF(E434+N434=0,0,(G434+N434)/(E434+N434))</f>
        <v>0.411764705882353</v>
      </c>
      <c r="R434" s="8" t="n">
        <f aca="false">IF(E434=0,0,L434/E434)</f>
        <v>0.333333333333333</v>
      </c>
      <c r="S434" s="8" t="n">
        <f aca="false">R434+Q434</f>
        <v>0.745098039215686</v>
      </c>
      <c r="T434" s="8" t="n">
        <f aca="false">R434-P434</f>
        <v>0</v>
      </c>
    </row>
    <row r="435" customFormat="false" ht="14.25" hidden="false" customHeight="true" outlineLevel="0" collapsed="false">
      <c r="A435" s="6" t="n">
        <v>2024</v>
      </c>
      <c r="B435" s="6" t="s">
        <v>121</v>
      </c>
      <c r="C435" s="6" t="s">
        <v>265</v>
      </c>
      <c r="D435" s="7" t="n">
        <v>5</v>
      </c>
      <c r="E435" s="7" t="n">
        <v>14</v>
      </c>
      <c r="F435" s="7" t="n">
        <v>1</v>
      </c>
      <c r="G435" s="7" t="n">
        <v>5</v>
      </c>
      <c r="H435" s="7" t="n">
        <v>0</v>
      </c>
      <c r="I435" s="7" t="n">
        <v>0</v>
      </c>
      <c r="J435" s="7" t="n">
        <v>0</v>
      </c>
      <c r="K435" s="7" t="n">
        <v>0</v>
      </c>
      <c r="L435" s="7" t="n">
        <v>5</v>
      </c>
      <c r="M435" s="7" t="n">
        <v>5</v>
      </c>
      <c r="N435" s="7" t="n">
        <v>0</v>
      </c>
      <c r="O435" s="7" t="n">
        <v>0</v>
      </c>
      <c r="P435" s="8" t="n">
        <f aca="false">IF(E435=0,0,G435/E435)</f>
        <v>0.357142857142857</v>
      </c>
      <c r="Q435" s="8" t="n">
        <f aca="false">IF(E435+N435=0,0,(G435+N435)/(E435+N435))</f>
        <v>0.357142857142857</v>
      </c>
      <c r="R435" s="8" t="n">
        <f aca="false">IF(E435=0,0,L435/E435)</f>
        <v>0.357142857142857</v>
      </c>
      <c r="S435" s="8" t="n">
        <f aca="false">R435+Q435</f>
        <v>0.714285714285714</v>
      </c>
      <c r="T435" s="8" t="n">
        <f aca="false">R435-P435</f>
        <v>0</v>
      </c>
    </row>
    <row r="436" customFormat="false" ht="14.25" hidden="false" customHeight="true" outlineLevel="0" collapsed="false">
      <c r="A436" s="6" t="n">
        <v>2024</v>
      </c>
      <c r="B436" s="6" t="s">
        <v>121</v>
      </c>
      <c r="C436" s="6" t="s">
        <v>129</v>
      </c>
      <c r="D436" s="7" t="n">
        <v>5</v>
      </c>
      <c r="E436" s="7" t="n">
        <v>11</v>
      </c>
      <c r="F436" s="7" t="n">
        <v>4</v>
      </c>
      <c r="G436" s="7" t="n">
        <v>4</v>
      </c>
      <c r="H436" s="7" t="n">
        <v>1</v>
      </c>
      <c r="I436" s="7" t="n">
        <v>0</v>
      </c>
      <c r="J436" s="7" t="n">
        <v>0</v>
      </c>
      <c r="K436" s="7" t="n">
        <v>1</v>
      </c>
      <c r="L436" s="7" t="n">
        <v>5</v>
      </c>
      <c r="M436" s="7" t="n">
        <v>2</v>
      </c>
      <c r="N436" s="7" t="n">
        <v>0</v>
      </c>
      <c r="O436" s="7" t="n">
        <v>0</v>
      </c>
      <c r="P436" s="8" t="n">
        <f aca="false">IF(E436=0,0,G436/E436)</f>
        <v>0.363636363636364</v>
      </c>
      <c r="Q436" s="8" t="n">
        <f aca="false">IF(E436+N436=0,0,(G436+N436)/(E436+N436))</f>
        <v>0.363636363636364</v>
      </c>
      <c r="R436" s="8" t="n">
        <f aca="false">IF(E436=0,0,L436/E436)</f>
        <v>0.454545454545455</v>
      </c>
      <c r="S436" s="8" t="n">
        <f aca="false">R436+Q436</f>
        <v>0.818181818181818</v>
      </c>
      <c r="T436" s="8" t="n">
        <f aca="false">R436-P436</f>
        <v>0.0909090909090909</v>
      </c>
    </row>
    <row r="437" customFormat="false" ht="14.25" hidden="false" customHeight="true" outlineLevel="0" collapsed="false">
      <c r="A437" s="6" t="n">
        <v>2024</v>
      </c>
      <c r="B437" s="6" t="s">
        <v>121</v>
      </c>
      <c r="C437" s="6" t="s">
        <v>128</v>
      </c>
      <c r="D437" s="7" t="n">
        <v>5</v>
      </c>
      <c r="E437" s="7" t="n">
        <v>15</v>
      </c>
      <c r="F437" s="7" t="n">
        <v>1</v>
      </c>
      <c r="G437" s="7" t="n">
        <v>4</v>
      </c>
      <c r="H437" s="7" t="n">
        <v>1</v>
      </c>
      <c r="I437" s="7" t="n">
        <v>0</v>
      </c>
      <c r="J437" s="7" t="n">
        <v>0</v>
      </c>
      <c r="K437" s="7" t="n">
        <v>1</v>
      </c>
      <c r="L437" s="7" t="n">
        <v>5</v>
      </c>
      <c r="M437" s="7" t="n">
        <v>0</v>
      </c>
      <c r="N437" s="7" t="n">
        <v>1</v>
      </c>
      <c r="O437" s="7" t="n">
        <v>2</v>
      </c>
      <c r="P437" s="8" t="n">
        <f aca="false">IF(E437=0,0,G437/E437)</f>
        <v>0.266666666666667</v>
      </c>
      <c r="Q437" s="8" t="n">
        <f aca="false">IF(E437+N437=0,0,(G437+N437)/(E437+N437))</f>
        <v>0.3125</v>
      </c>
      <c r="R437" s="8" t="n">
        <f aca="false">IF(E437=0,0,L437/E437)</f>
        <v>0.333333333333333</v>
      </c>
      <c r="S437" s="8" t="n">
        <f aca="false">R437+Q437</f>
        <v>0.645833333333333</v>
      </c>
      <c r="T437" s="8" t="n">
        <f aca="false">R437-P437</f>
        <v>0.0666666666666667</v>
      </c>
    </row>
    <row r="438" customFormat="false" ht="14.25" hidden="false" customHeight="true" outlineLevel="0" collapsed="false">
      <c r="A438" s="6" t="n">
        <v>2024</v>
      </c>
      <c r="B438" s="6" t="s">
        <v>121</v>
      </c>
      <c r="C438" s="6" t="s">
        <v>138</v>
      </c>
      <c r="D438" s="7" t="n">
        <v>5</v>
      </c>
      <c r="E438" s="7" t="n">
        <v>15</v>
      </c>
      <c r="F438" s="7" t="n">
        <v>3</v>
      </c>
      <c r="G438" s="7" t="n">
        <v>3</v>
      </c>
      <c r="H438" s="7" t="n">
        <v>2</v>
      </c>
      <c r="I438" s="7" t="n">
        <v>1</v>
      </c>
      <c r="J438" s="7" t="n">
        <v>0</v>
      </c>
      <c r="K438" s="7" t="n">
        <v>3</v>
      </c>
      <c r="L438" s="7" t="n">
        <v>7</v>
      </c>
      <c r="M438" s="7" t="n">
        <v>4</v>
      </c>
      <c r="N438" s="7" t="n">
        <v>1</v>
      </c>
      <c r="O438" s="7" t="n">
        <v>2</v>
      </c>
      <c r="P438" s="8" t="n">
        <f aca="false">IF(E438=0,0,G438/E438)</f>
        <v>0.2</v>
      </c>
      <c r="Q438" s="8" t="n">
        <f aca="false">IF(E438+N438=0,0,(G438+N438)/(E438+N438))</f>
        <v>0.25</v>
      </c>
      <c r="R438" s="8" t="n">
        <f aca="false">IF(E438=0,0,L438/E438)</f>
        <v>0.466666666666667</v>
      </c>
      <c r="S438" s="8" t="n">
        <f aca="false">R438+Q438</f>
        <v>0.716666666666667</v>
      </c>
      <c r="T438" s="8" t="n">
        <f aca="false">R438-P438</f>
        <v>0.266666666666667</v>
      </c>
    </row>
    <row r="439" customFormat="false" ht="14.25" hidden="false" customHeight="true" outlineLevel="0" collapsed="false">
      <c r="A439" s="6" t="n">
        <v>2024</v>
      </c>
      <c r="B439" s="6" t="s">
        <v>121</v>
      </c>
      <c r="C439" s="6" t="s">
        <v>135</v>
      </c>
      <c r="D439" s="7" t="n">
        <v>9</v>
      </c>
      <c r="E439" s="7" t="n">
        <v>16</v>
      </c>
      <c r="F439" s="7" t="n">
        <v>2</v>
      </c>
      <c r="G439" s="7" t="n">
        <v>3</v>
      </c>
      <c r="H439" s="7" t="n">
        <v>1</v>
      </c>
      <c r="I439" s="7" t="n">
        <v>0</v>
      </c>
      <c r="J439" s="7" t="n">
        <v>0</v>
      </c>
      <c r="K439" s="7" t="n">
        <v>1</v>
      </c>
      <c r="L439" s="7" t="n">
        <v>4</v>
      </c>
      <c r="M439" s="7" t="n">
        <v>0</v>
      </c>
      <c r="N439" s="7" t="n">
        <v>3</v>
      </c>
      <c r="O439" s="7" t="n">
        <v>0</v>
      </c>
      <c r="P439" s="8" t="n">
        <f aca="false">IF(E439=0,0,G439/E439)</f>
        <v>0.1875</v>
      </c>
      <c r="Q439" s="8" t="n">
        <f aca="false">IF(E439+N439=0,0,(G439+N439)/(E439+N439))</f>
        <v>0.315789473684211</v>
      </c>
      <c r="R439" s="8" t="n">
        <f aca="false">IF(E439=0,0,L439/E439)</f>
        <v>0.25</v>
      </c>
      <c r="S439" s="8" t="n">
        <f aca="false">R439+Q439</f>
        <v>0.565789473684211</v>
      </c>
      <c r="T439" s="8" t="n">
        <f aca="false">R439-P439</f>
        <v>0.0625</v>
      </c>
    </row>
    <row r="440" customFormat="false" ht="14.25" hidden="false" customHeight="true" outlineLevel="0" collapsed="false">
      <c r="A440" s="6" t="n">
        <v>2024</v>
      </c>
      <c r="B440" s="6" t="s">
        <v>121</v>
      </c>
      <c r="C440" s="6" t="s">
        <v>139</v>
      </c>
      <c r="D440" s="7" t="n">
        <v>2</v>
      </c>
      <c r="E440" s="7" t="n">
        <v>7</v>
      </c>
      <c r="F440" s="7" t="n">
        <v>1</v>
      </c>
      <c r="G440" s="7" t="n">
        <v>2</v>
      </c>
      <c r="H440" s="7" t="n">
        <v>0</v>
      </c>
      <c r="I440" s="7" t="n">
        <v>0</v>
      </c>
      <c r="J440" s="7" t="n">
        <v>0</v>
      </c>
      <c r="K440" s="7" t="n">
        <v>0</v>
      </c>
      <c r="L440" s="7" t="n">
        <v>2</v>
      </c>
      <c r="M440" s="7" t="n">
        <v>0</v>
      </c>
      <c r="N440" s="7" t="n">
        <v>0</v>
      </c>
      <c r="O440" s="7" t="n">
        <v>1</v>
      </c>
      <c r="P440" s="8" t="n">
        <f aca="false">IF(E440=0,0,G440/E440)</f>
        <v>0.285714285714286</v>
      </c>
      <c r="Q440" s="8" t="n">
        <f aca="false">IF(E440+N440=0,0,(G440+N440)/(E440+N440))</f>
        <v>0.285714285714286</v>
      </c>
      <c r="R440" s="8" t="n">
        <f aca="false">IF(E440=0,0,L440/E440)</f>
        <v>0.285714285714286</v>
      </c>
      <c r="S440" s="8" t="n">
        <f aca="false">R440+Q440</f>
        <v>0.571428571428571</v>
      </c>
      <c r="T440" s="8" t="n">
        <f aca="false">R440-P440</f>
        <v>0</v>
      </c>
    </row>
    <row r="441" customFormat="false" ht="14.25" hidden="false" customHeight="true" outlineLevel="0" collapsed="false">
      <c r="A441" s="6" t="n">
        <v>2024</v>
      </c>
      <c r="B441" s="6" t="s">
        <v>121</v>
      </c>
      <c r="C441" s="6" t="s">
        <v>136</v>
      </c>
      <c r="D441" s="7" t="n">
        <v>4</v>
      </c>
      <c r="E441" s="7" t="n">
        <v>8</v>
      </c>
      <c r="F441" s="7" t="n">
        <v>2</v>
      </c>
      <c r="G441" s="7" t="n">
        <v>1</v>
      </c>
      <c r="H441" s="7" t="n">
        <v>1</v>
      </c>
      <c r="I441" s="7" t="n">
        <v>0</v>
      </c>
      <c r="J441" s="7" t="n">
        <v>0</v>
      </c>
      <c r="K441" s="7" t="n">
        <v>1</v>
      </c>
      <c r="L441" s="7" t="n">
        <v>2</v>
      </c>
      <c r="M441" s="7" t="n">
        <v>0</v>
      </c>
      <c r="N441" s="7" t="n">
        <v>4</v>
      </c>
      <c r="O441" s="7" t="n">
        <v>0</v>
      </c>
      <c r="P441" s="8" t="n">
        <f aca="false">IF(E441=0,0,G441/E441)</f>
        <v>0.125</v>
      </c>
      <c r="Q441" s="8" t="n">
        <f aca="false">IF(E441+N441=0,0,(G441+N441)/(E441+N441))</f>
        <v>0.416666666666667</v>
      </c>
      <c r="R441" s="8" t="n">
        <f aca="false">IF(E441=0,0,L441/E441)</f>
        <v>0.25</v>
      </c>
      <c r="S441" s="8" t="n">
        <f aca="false">R441+Q441</f>
        <v>0.666666666666667</v>
      </c>
      <c r="T441" s="8" t="n">
        <f aca="false">R441-P441</f>
        <v>0.125</v>
      </c>
    </row>
    <row r="442" customFormat="false" ht="14.25" hidden="false" customHeight="true" outlineLevel="0" collapsed="false">
      <c r="A442" s="6" t="n">
        <v>2024</v>
      </c>
      <c r="B442" s="6" t="s">
        <v>121</v>
      </c>
      <c r="C442" s="6" t="s">
        <v>297</v>
      </c>
      <c r="D442" s="7" t="n">
        <v>1</v>
      </c>
      <c r="E442" s="7" t="n">
        <v>1</v>
      </c>
      <c r="F442" s="7" t="n">
        <v>0</v>
      </c>
      <c r="G442" s="7" t="n">
        <v>1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1</v>
      </c>
      <c r="M442" s="7" t="n">
        <v>1</v>
      </c>
      <c r="N442" s="7" t="n">
        <v>0</v>
      </c>
      <c r="O442" s="7" t="n">
        <v>0</v>
      </c>
      <c r="P442" s="8" t="n">
        <f aca="false">IF(E442=0,0,G442/E442)</f>
        <v>1</v>
      </c>
      <c r="Q442" s="8" t="n">
        <f aca="false">IF(E442+N442=0,0,(G442+N442)/(E442+N442))</f>
        <v>1</v>
      </c>
      <c r="R442" s="8" t="n">
        <f aca="false">IF(E442=0,0,L442/E442)</f>
        <v>1</v>
      </c>
      <c r="S442" s="8" t="n">
        <f aca="false">R442+Q442</f>
        <v>2</v>
      </c>
      <c r="T442" s="8" t="n">
        <f aca="false">R442-P442</f>
        <v>0</v>
      </c>
    </row>
    <row r="443" customFormat="false" ht="14.25" hidden="false" customHeight="true" outlineLevel="0" collapsed="false">
      <c r="A443" s="6" t="n">
        <v>2024</v>
      </c>
      <c r="B443" s="6" t="s">
        <v>121</v>
      </c>
      <c r="C443" s="6" t="s">
        <v>298</v>
      </c>
      <c r="D443" s="7" t="n">
        <v>4</v>
      </c>
      <c r="E443" s="7" t="n">
        <v>11</v>
      </c>
      <c r="F443" s="7" t="n">
        <v>1</v>
      </c>
      <c r="G443" s="7" t="n">
        <v>1</v>
      </c>
      <c r="H443" s="7" t="n">
        <v>0</v>
      </c>
      <c r="I443" s="7" t="n">
        <v>0</v>
      </c>
      <c r="J443" s="7" t="n">
        <v>0</v>
      </c>
      <c r="K443" s="7" t="n">
        <v>0</v>
      </c>
      <c r="L443" s="7" t="n">
        <v>1</v>
      </c>
      <c r="M443" s="7" t="n">
        <v>0</v>
      </c>
      <c r="N443" s="7" t="n">
        <v>0</v>
      </c>
      <c r="O443" s="7" t="n">
        <v>0</v>
      </c>
      <c r="P443" s="8" t="n">
        <f aca="false">IF(E443=0,0,G443/E443)</f>
        <v>0.0909090909090909</v>
      </c>
      <c r="Q443" s="8" t="n">
        <f aca="false">IF(E443+N443=0,0,(G443+N443)/(E443+N443))</f>
        <v>0.0909090909090909</v>
      </c>
      <c r="R443" s="8" t="n">
        <f aca="false">IF(E443=0,0,L443/E443)</f>
        <v>0.0909090909090909</v>
      </c>
      <c r="S443" s="8" t="n">
        <f aca="false">R443+Q443</f>
        <v>0.181818181818182</v>
      </c>
      <c r="T443" s="8" t="n">
        <f aca="false">R443-P443</f>
        <v>0</v>
      </c>
    </row>
    <row r="444" customFormat="false" ht="14.25" hidden="false" customHeight="true" outlineLevel="0" collapsed="false">
      <c r="A444" s="6" t="n">
        <v>2024</v>
      </c>
      <c r="B444" s="6" t="s">
        <v>121</v>
      </c>
      <c r="C444" s="6" t="s">
        <v>145</v>
      </c>
      <c r="D444" s="7" t="n">
        <v>2</v>
      </c>
      <c r="E444" s="7" t="n">
        <v>3</v>
      </c>
      <c r="F444" s="7" t="n">
        <v>0</v>
      </c>
      <c r="G444" s="7" t="n">
        <v>0</v>
      </c>
      <c r="H444" s="7" t="n">
        <v>0</v>
      </c>
      <c r="I444" s="7" t="n">
        <v>0</v>
      </c>
      <c r="J444" s="7" t="n">
        <v>0</v>
      </c>
      <c r="K444" s="7" t="n">
        <v>0</v>
      </c>
      <c r="L444" s="7" t="n">
        <v>0</v>
      </c>
      <c r="M444" s="7" t="n">
        <v>0</v>
      </c>
      <c r="N444" s="7" t="n">
        <v>1</v>
      </c>
      <c r="O444" s="7" t="n">
        <v>1</v>
      </c>
      <c r="P444" s="8" t="n">
        <f aca="false">IF(E444=0,0,G444/E444)</f>
        <v>0</v>
      </c>
      <c r="Q444" s="8" t="n">
        <f aca="false">IF(E444+N444=0,0,(G444+N444)/(E444+N444))</f>
        <v>0.25</v>
      </c>
      <c r="R444" s="8" t="n">
        <f aca="false">IF(E444=0,0,L444/E444)</f>
        <v>0</v>
      </c>
      <c r="S444" s="8" t="n">
        <f aca="false">R444+Q444</f>
        <v>0.25</v>
      </c>
      <c r="T444" s="8" t="n">
        <f aca="false">R444-P444</f>
        <v>0</v>
      </c>
    </row>
    <row r="445" customFormat="false" ht="14.25" hidden="false" customHeight="true" outlineLevel="0" collapsed="false">
      <c r="A445" s="6" t="n">
        <v>2024</v>
      </c>
      <c r="B445" s="6" t="s">
        <v>121</v>
      </c>
      <c r="C445" s="6" t="s">
        <v>299</v>
      </c>
      <c r="D445" s="7" t="n">
        <v>2</v>
      </c>
      <c r="E445" s="7" t="n">
        <v>5</v>
      </c>
      <c r="F445" s="7" t="n">
        <v>0</v>
      </c>
      <c r="G445" s="7" t="n">
        <v>0</v>
      </c>
      <c r="H445" s="7" t="n">
        <v>0</v>
      </c>
      <c r="I445" s="7" t="n">
        <v>0</v>
      </c>
      <c r="J445" s="7" t="n">
        <v>0</v>
      </c>
      <c r="K445" s="7" t="n">
        <v>0</v>
      </c>
      <c r="L445" s="7" t="n">
        <v>0</v>
      </c>
      <c r="M445" s="7" t="n">
        <v>0</v>
      </c>
      <c r="N445" s="7" t="n">
        <v>1</v>
      </c>
      <c r="O445" s="7" t="n">
        <v>0</v>
      </c>
      <c r="P445" s="8" t="n">
        <f aca="false">IF(E445=0,0,G445/E445)</f>
        <v>0</v>
      </c>
      <c r="Q445" s="8" t="n">
        <f aca="false">IF(E445+N445=0,0,(G445+N445)/(E445+N445))</f>
        <v>0.166666666666667</v>
      </c>
      <c r="R445" s="8" t="n">
        <f aca="false">IF(E445=0,0,L445/E445)</f>
        <v>0</v>
      </c>
      <c r="S445" s="8" t="n">
        <f aca="false">R445+Q445</f>
        <v>0.166666666666667</v>
      </c>
      <c r="T445" s="8" t="n">
        <f aca="false">R445-P445</f>
        <v>0</v>
      </c>
    </row>
    <row r="446" customFormat="false" ht="14.25" hidden="false" customHeight="true" outlineLevel="0" collapsed="false">
      <c r="A446" s="6" t="n">
        <v>2024</v>
      </c>
      <c r="B446" s="6" t="s">
        <v>121</v>
      </c>
      <c r="C446" s="6" t="s">
        <v>132</v>
      </c>
      <c r="D446" s="7" t="n">
        <v>3</v>
      </c>
      <c r="E446" s="7" t="n">
        <v>2</v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1</v>
      </c>
      <c r="O446" s="7" t="n">
        <v>0</v>
      </c>
      <c r="P446" s="8" t="n">
        <f aca="false">IF(E446=0,0,G446/E446)</f>
        <v>0</v>
      </c>
      <c r="Q446" s="8" t="n">
        <f aca="false">IF(E446+N446=0,0,(G446+N446)/(E446+N446))</f>
        <v>0.333333333333333</v>
      </c>
      <c r="R446" s="8" t="n">
        <f aca="false">IF(E446=0,0,L446/E446)</f>
        <v>0</v>
      </c>
      <c r="S446" s="8" t="n">
        <f aca="false">R446+Q446</f>
        <v>0.333333333333333</v>
      </c>
      <c r="T446" s="8" t="n">
        <f aca="false">R446-P446</f>
        <v>0</v>
      </c>
    </row>
    <row r="447" customFormat="false" ht="14.25" hidden="false" customHeight="true" outlineLevel="0" collapsed="false">
      <c r="A447" s="6" t="n">
        <v>2024</v>
      </c>
      <c r="B447" s="6" t="s">
        <v>121</v>
      </c>
      <c r="C447" s="6" t="s">
        <v>300</v>
      </c>
      <c r="D447" s="7" t="n">
        <v>1</v>
      </c>
      <c r="E447" s="7" t="n">
        <v>2</v>
      </c>
      <c r="F447" s="7" t="n">
        <v>0</v>
      </c>
      <c r="G447" s="7" t="n">
        <v>0</v>
      </c>
      <c r="H447" s="7" t="n">
        <v>0</v>
      </c>
      <c r="I447" s="7" t="n">
        <v>0</v>
      </c>
      <c r="J447" s="7" t="n">
        <v>0</v>
      </c>
      <c r="K447" s="7" t="n">
        <v>0</v>
      </c>
      <c r="L447" s="7" t="n">
        <v>0</v>
      </c>
      <c r="M447" s="7" t="n">
        <v>0</v>
      </c>
      <c r="N447" s="7" t="n">
        <v>0</v>
      </c>
      <c r="O447" s="7" t="n">
        <v>0</v>
      </c>
      <c r="P447" s="8" t="n">
        <f aca="false">IF(E447=0,0,G447/E447)</f>
        <v>0</v>
      </c>
      <c r="Q447" s="8" t="n">
        <f aca="false">IF(E447+N447=0,0,(G447+N447)/(E447+N447))</f>
        <v>0</v>
      </c>
      <c r="R447" s="8" t="n">
        <f aca="false">IF(E447=0,0,L447/E447)</f>
        <v>0</v>
      </c>
      <c r="S447" s="8" t="n">
        <f aca="false">R447+Q447</f>
        <v>0</v>
      </c>
      <c r="T447" s="8" t="n">
        <f aca="false">R447-P447</f>
        <v>0</v>
      </c>
    </row>
    <row r="448" customFormat="false" ht="14.25" hidden="false" customHeight="true" outlineLevel="0" collapsed="false">
      <c r="A448" s="6" t="n">
        <v>2024</v>
      </c>
      <c r="B448" s="6" t="s">
        <v>121</v>
      </c>
      <c r="C448" s="6" t="s">
        <v>268</v>
      </c>
      <c r="D448" s="7" t="n">
        <v>1</v>
      </c>
      <c r="E448" s="7" t="n">
        <v>1</v>
      </c>
      <c r="F448" s="7" t="n">
        <v>0</v>
      </c>
      <c r="G448" s="7" t="n">
        <v>0</v>
      </c>
      <c r="H448" s="7" t="n">
        <v>0</v>
      </c>
      <c r="I448" s="7" t="n">
        <v>0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0</v>
      </c>
      <c r="O448" s="7" t="n">
        <v>0</v>
      </c>
      <c r="P448" s="8" t="n">
        <f aca="false">IF(E448=0,0,G448/E448)</f>
        <v>0</v>
      </c>
      <c r="Q448" s="8" t="n">
        <f aca="false">IF(E448+N448=0,0,(G448+N448)/(E448+N448))</f>
        <v>0</v>
      </c>
      <c r="R448" s="8" t="n">
        <f aca="false">IF(E448=0,0,L448/E448)</f>
        <v>0</v>
      </c>
      <c r="S448" s="8" t="n">
        <f aca="false">R448+Q448</f>
        <v>0</v>
      </c>
      <c r="T448" s="8" t="n">
        <f aca="false">R448-P448</f>
        <v>0</v>
      </c>
    </row>
    <row r="449" customFormat="false" ht="14.25" hidden="false" customHeight="true" outlineLevel="0" collapsed="false">
      <c r="A449" s="6" t="n">
        <v>2024</v>
      </c>
      <c r="B449" s="6" t="s">
        <v>121</v>
      </c>
      <c r="C449" s="6" t="s">
        <v>146</v>
      </c>
      <c r="D449" s="7" t="n">
        <v>1</v>
      </c>
      <c r="E449" s="7" t="n">
        <v>1</v>
      </c>
      <c r="F449" s="7" t="n">
        <v>0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0</v>
      </c>
      <c r="L449" s="7" t="n">
        <v>0</v>
      </c>
      <c r="M449" s="7" t="n">
        <v>0</v>
      </c>
      <c r="N449" s="7" t="n">
        <v>0</v>
      </c>
      <c r="O449" s="7" t="n">
        <v>0</v>
      </c>
      <c r="P449" s="8" t="n">
        <f aca="false">IF(E449=0,0,G449/E449)</f>
        <v>0</v>
      </c>
      <c r="Q449" s="8" t="n">
        <f aca="false">IF(E449+N449=0,0,(G449+N449)/(E449+N449))</f>
        <v>0</v>
      </c>
      <c r="R449" s="8" t="n">
        <f aca="false">IF(E449=0,0,L449/E449)</f>
        <v>0</v>
      </c>
      <c r="S449" s="8" t="n">
        <f aca="false">R449+Q449</f>
        <v>0</v>
      </c>
      <c r="T449" s="8" t="n">
        <f aca="false">R449-P449</f>
        <v>0</v>
      </c>
    </row>
    <row r="450" customFormat="false" ht="14.25" hidden="false" customHeight="true" outlineLevel="0" collapsed="false">
      <c r="A450" s="6" t="n">
        <v>2024</v>
      </c>
      <c r="B450" s="6" t="s">
        <v>121</v>
      </c>
      <c r="C450" s="6" t="s">
        <v>301</v>
      </c>
      <c r="D450" s="7" t="n">
        <v>1</v>
      </c>
      <c r="E450" s="7" t="n">
        <v>1</v>
      </c>
      <c r="F450" s="7" t="n">
        <v>0</v>
      </c>
      <c r="G450" s="7" t="n">
        <v>0</v>
      </c>
      <c r="H450" s="7" t="n">
        <v>0</v>
      </c>
      <c r="I450" s="7" t="n">
        <v>0</v>
      </c>
      <c r="J450" s="7" t="n">
        <v>0</v>
      </c>
      <c r="K450" s="7" t="n">
        <v>0</v>
      </c>
      <c r="L450" s="7" t="n">
        <v>0</v>
      </c>
      <c r="M450" s="7" t="n">
        <v>0</v>
      </c>
      <c r="N450" s="7" t="n">
        <v>0</v>
      </c>
      <c r="O450" s="7" t="n">
        <v>0</v>
      </c>
      <c r="P450" s="8" t="n">
        <f aca="false">IF(E450=0,0,G450/E450)</f>
        <v>0</v>
      </c>
      <c r="Q450" s="8" t="n">
        <f aca="false">IF(E450+N450=0,0,(G450+N450)/(E450+N450))</f>
        <v>0</v>
      </c>
      <c r="R450" s="8" t="n">
        <f aca="false">IF(E450=0,0,L450/E450)</f>
        <v>0</v>
      </c>
      <c r="S450" s="8" t="n">
        <f aca="false">R450+Q450</f>
        <v>0</v>
      </c>
      <c r="T450" s="8" t="n">
        <f aca="false">R450-P450</f>
        <v>0</v>
      </c>
    </row>
    <row r="451" customFormat="false" ht="14.25" hidden="false" customHeight="true" outlineLevel="0" collapsed="false">
      <c r="A451" s="6" t="n">
        <v>2024</v>
      </c>
      <c r="B451" s="6" t="s">
        <v>121</v>
      </c>
      <c r="C451" s="6" t="s">
        <v>140</v>
      </c>
      <c r="D451" s="7" t="n">
        <v>1</v>
      </c>
      <c r="E451" s="7" t="n">
        <v>1</v>
      </c>
      <c r="F451" s="7" t="n">
        <v>0</v>
      </c>
      <c r="G451" s="7" t="n">
        <v>0</v>
      </c>
      <c r="H451" s="7" t="n">
        <v>0</v>
      </c>
      <c r="I451" s="7" t="n">
        <v>0</v>
      </c>
      <c r="J451" s="7" t="n">
        <v>0</v>
      </c>
      <c r="K451" s="7" t="n">
        <v>0</v>
      </c>
      <c r="L451" s="7" t="n">
        <v>0</v>
      </c>
      <c r="M451" s="7" t="n">
        <v>0</v>
      </c>
      <c r="N451" s="7" t="n">
        <v>0</v>
      </c>
      <c r="O451" s="7" t="n">
        <v>0</v>
      </c>
      <c r="P451" s="8" t="n">
        <f aca="false">IF(E451=0,0,G451/E451)</f>
        <v>0</v>
      </c>
      <c r="Q451" s="8" t="n">
        <f aca="false">IF(E451+N451=0,0,(G451+N451)/(E451+N451))</f>
        <v>0</v>
      </c>
      <c r="R451" s="8" t="n">
        <f aca="false">IF(E451=0,0,L451/E451)</f>
        <v>0</v>
      </c>
      <c r="S451" s="8" t="n">
        <f aca="false">R451+Q451</f>
        <v>0</v>
      </c>
      <c r="T451" s="8" t="n">
        <f aca="false">R451-P451</f>
        <v>0</v>
      </c>
    </row>
    <row r="452" customFormat="false" ht="14.25" hidden="false" customHeight="true" outlineLevel="0" collapsed="false">
      <c r="A452" s="6" t="n">
        <v>2024</v>
      </c>
      <c r="B452" s="6" t="s">
        <v>147</v>
      </c>
      <c r="C452" s="6" t="s">
        <v>148</v>
      </c>
      <c r="D452" s="7" t="n">
        <v>9</v>
      </c>
      <c r="E452" s="7" t="n">
        <v>26</v>
      </c>
      <c r="F452" s="7" t="n">
        <v>14</v>
      </c>
      <c r="G452" s="7" t="n">
        <v>14</v>
      </c>
      <c r="H452" s="7" t="n">
        <v>0</v>
      </c>
      <c r="I452" s="7" t="n">
        <v>0</v>
      </c>
      <c r="J452" s="7" t="n">
        <v>7</v>
      </c>
      <c r="K452" s="7" t="n">
        <v>7</v>
      </c>
      <c r="L452" s="7" t="n">
        <v>35</v>
      </c>
      <c r="M452" s="7" t="n">
        <v>15</v>
      </c>
      <c r="N452" s="7" t="n">
        <v>8</v>
      </c>
      <c r="O452" s="7" t="n">
        <v>2</v>
      </c>
      <c r="P452" s="8" t="n">
        <f aca="false">IF(E452=0,0,G452/E452)</f>
        <v>0.538461538461538</v>
      </c>
      <c r="Q452" s="8" t="n">
        <f aca="false">IF(E452+N452=0,0,(G452+N452)/(E452+N452))</f>
        <v>0.647058823529412</v>
      </c>
      <c r="R452" s="8" t="n">
        <f aca="false">IF(E452=0,0,L452/E452)</f>
        <v>1.34615384615385</v>
      </c>
      <c r="S452" s="8" t="n">
        <f aca="false">R452+Q452</f>
        <v>1.99321266968326</v>
      </c>
      <c r="T452" s="8" t="n">
        <f aca="false">R452-P452</f>
        <v>0.807692307692308</v>
      </c>
    </row>
    <row r="453" customFormat="false" ht="14.25" hidden="false" customHeight="true" outlineLevel="0" collapsed="false">
      <c r="A453" s="6" t="n">
        <v>2024</v>
      </c>
      <c r="B453" s="6" t="s">
        <v>147</v>
      </c>
      <c r="C453" s="6" t="s">
        <v>149</v>
      </c>
      <c r="D453" s="7" t="n">
        <v>8</v>
      </c>
      <c r="E453" s="7" t="n">
        <v>28</v>
      </c>
      <c r="F453" s="7" t="n">
        <v>12</v>
      </c>
      <c r="G453" s="7" t="n">
        <v>10</v>
      </c>
      <c r="H453" s="7" t="n">
        <v>0</v>
      </c>
      <c r="I453" s="7" t="n">
        <v>0</v>
      </c>
      <c r="J453" s="7" t="n">
        <v>2</v>
      </c>
      <c r="K453" s="7" t="n">
        <v>2</v>
      </c>
      <c r="L453" s="7" t="n">
        <v>16</v>
      </c>
      <c r="M453" s="7" t="n">
        <v>5</v>
      </c>
      <c r="N453" s="7" t="n">
        <v>3</v>
      </c>
      <c r="O453" s="7" t="n">
        <v>1</v>
      </c>
      <c r="P453" s="8" t="n">
        <f aca="false">IF(E453=0,0,G453/E453)</f>
        <v>0.357142857142857</v>
      </c>
      <c r="Q453" s="8" t="n">
        <f aca="false">IF(E453+N453=0,0,(G453+N453)/(E453+N453))</f>
        <v>0.419354838709677</v>
      </c>
      <c r="R453" s="8" t="n">
        <f aca="false">IF(E453=0,0,L453/E453)</f>
        <v>0.571428571428571</v>
      </c>
      <c r="S453" s="8" t="n">
        <f aca="false">R453+Q453</f>
        <v>0.990783410138249</v>
      </c>
      <c r="T453" s="8" t="n">
        <f aca="false">R453-P453</f>
        <v>0.214285714285714</v>
      </c>
    </row>
    <row r="454" customFormat="false" ht="14.25" hidden="false" customHeight="true" outlineLevel="0" collapsed="false">
      <c r="A454" s="6" t="n">
        <v>2024</v>
      </c>
      <c r="B454" s="6" t="s">
        <v>147</v>
      </c>
      <c r="C454" s="6" t="s">
        <v>154</v>
      </c>
      <c r="D454" s="7" t="n">
        <v>10</v>
      </c>
      <c r="E454" s="7" t="n">
        <v>34</v>
      </c>
      <c r="F454" s="7" t="n">
        <v>10</v>
      </c>
      <c r="G454" s="7" t="n">
        <v>10</v>
      </c>
      <c r="H454" s="7" t="n">
        <v>4</v>
      </c>
      <c r="I454" s="7" t="n">
        <v>0</v>
      </c>
      <c r="J454" s="7" t="n">
        <v>0</v>
      </c>
      <c r="K454" s="7" t="n">
        <v>4</v>
      </c>
      <c r="L454" s="7" t="n">
        <v>14</v>
      </c>
      <c r="M454" s="7" t="n">
        <v>5</v>
      </c>
      <c r="N454" s="7" t="n">
        <v>2</v>
      </c>
      <c r="O454" s="7" t="n">
        <v>1</v>
      </c>
      <c r="P454" s="8" t="n">
        <f aca="false">IF(E454=0,0,G454/E454)</f>
        <v>0.294117647058824</v>
      </c>
      <c r="Q454" s="8" t="n">
        <f aca="false">IF(E454+N454=0,0,(G454+N454)/(E454+N454))</f>
        <v>0.333333333333333</v>
      </c>
      <c r="R454" s="8" t="n">
        <f aca="false">IF(E454=0,0,L454/E454)</f>
        <v>0.411764705882353</v>
      </c>
      <c r="S454" s="8" t="n">
        <f aca="false">R454+Q454</f>
        <v>0.745098039215686</v>
      </c>
      <c r="T454" s="8" t="n">
        <f aca="false">R454-P454</f>
        <v>0.117647058823529</v>
      </c>
    </row>
    <row r="455" customFormat="false" ht="14.25" hidden="false" customHeight="true" outlineLevel="0" collapsed="false">
      <c r="A455" s="6" t="n">
        <v>2024</v>
      </c>
      <c r="B455" s="6" t="s">
        <v>147</v>
      </c>
      <c r="C455" s="6" t="s">
        <v>150</v>
      </c>
      <c r="D455" s="7" t="n">
        <v>10</v>
      </c>
      <c r="E455" s="7" t="n">
        <v>31</v>
      </c>
      <c r="F455" s="7" t="n">
        <v>7</v>
      </c>
      <c r="G455" s="7" t="n">
        <v>9</v>
      </c>
      <c r="H455" s="7" t="n">
        <v>7</v>
      </c>
      <c r="I455" s="7" t="n">
        <v>0</v>
      </c>
      <c r="J455" s="7" t="n">
        <v>0</v>
      </c>
      <c r="K455" s="7" t="n">
        <v>7</v>
      </c>
      <c r="L455" s="7" t="n">
        <v>16</v>
      </c>
      <c r="M455" s="7" t="n">
        <v>7</v>
      </c>
      <c r="N455" s="7" t="n">
        <v>9</v>
      </c>
      <c r="O455" s="7" t="n">
        <v>1</v>
      </c>
      <c r="P455" s="8" t="n">
        <f aca="false">IF(E455=0,0,G455/E455)</f>
        <v>0.290322580645161</v>
      </c>
      <c r="Q455" s="8" t="n">
        <f aca="false">IF(E455+N455=0,0,(G455+N455)/(E455+N455))</f>
        <v>0.45</v>
      </c>
      <c r="R455" s="8" t="n">
        <f aca="false">IF(E455=0,0,L455/E455)</f>
        <v>0.516129032258065</v>
      </c>
      <c r="S455" s="8" t="n">
        <f aca="false">R455+Q455</f>
        <v>0.966129032258065</v>
      </c>
      <c r="T455" s="8" t="n">
        <f aca="false">R455-P455</f>
        <v>0.225806451612903</v>
      </c>
    </row>
    <row r="456" customFormat="false" ht="14.25" hidden="false" customHeight="true" outlineLevel="0" collapsed="false">
      <c r="A456" s="6" t="n">
        <v>2024</v>
      </c>
      <c r="B456" s="6" t="s">
        <v>147</v>
      </c>
      <c r="C456" s="6" t="s">
        <v>151</v>
      </c>
      <c r="D456" s="7" t="n">
        <v>10</v>
      </c>
      <c r="E456" s="7" t="n">
        <v>22</v>
      </c>
      <c r="F456" s="7" t="n">
        <v>9</v>
      </c>
      <c r="G456" s="7" t="n">
        <v>8</v>
      </c>
      <c r="H456" s="7" t="n">
        <v>3</v>
      </c>
      <c r="I456" s="7" t="n">
        <v>0</v>
      </c>
      <c r="J456" s="7" t="n">
        <v>2</v>
      </c>
      <c r="K456" s="7" t="n">
        <v>5</v>
      </c>
      <c r="L456" s="7" t="n">
        <v>17</v>
      </c>
      <c r="M456" s="7" t="n">
        <v>9</v>
      </c>
      <c r="N456" s="7" t="n">
        <v>10</v>
      </c>
      <c r="O456" s="7" t="n">
        <v>1</v>
      </c>
      <c r="P456" s="8" t="n">
        <f aca="false">IF(E456=0,0,G456/E456)</f>
        <v>0.363636363636364</v>
      </c>
      <c r="Q456" s="8" t="n">
        <f aca="false">IF(E456+N456=0,0,(G456+N456)/(E456+N456))</f>
        <v>0.5625</v>
      </c>
      <c r="R456" s="8" t="n">
        <f aca="false">IF(E456=0,0,L456/E456)</f>
        <v>0.772727272727273</v>
      </c>
      <c r="S456" s="8" t="n">
        <f aca="false">R456+Q456</f>
        <v>1.33522727272727</v>
      </c>
      <c r="T456" s="8" t="n">
        <f aca="false">R456-P456</f>
        <v>0.409090909090909</v>
      </c>
    </row>
    <row r="457" customFormat="false" ht="14.25" hidden="false" customHeight="true" outlineLevel="0" collapsed="false">
      <c r="A457" s="6" t="n">
        <v>2024</v>
      </c>
      <c r="B457" s="6" t="s">
        <v>147</v>
      </c>
      <c r="C457" s="6" t="s">
        <v>156</v>
      </c>
      <c r="D457" s="7" t="n">
        <v>9</v>
      </c>
      <c r="E457" s="7" t="n">
        <v>23</v>
      </c>
      <c r="F457" s="7" t="n">
        <v>6</v>
      </c>
      <c r="G457" s="7" t="n">
        <v>8</v>
      </c>
      <c r="H457" s="7" t="n">
        <v>5</v>
      </c>
      <c r="I457" s="7" t="n">
        <v>0</v>
      </c>
      <c r="J457" s="7" t="n">
        <v>0</v>
      </c>
      <c r="K457" s="7" t="n">
        <v>5</v>
      </c>
      <c r="L457" s="7" t="n">
        <v>13</v>
      </c>
      <c r="M457" s="7" t="n">
        <v>9</v>
      </c>
      <c r="N457" s="7" t="n">
        <v>6</v>
      </c>
      <c r="O457" s="7" t="n">
        <v>0</v>
      </c>
      <c r="P457" s="8" t="n">
        <f aca="false">IF(E457=0,0,G457/E457)</f>
        <v>0.347826086956522</v>
      </c>
      <c r="Q457" s="8" t="n">
        <f aca="false">IF(E457+N457=0,0,(G457+N457)/(E457+N457))</f>
        <v>0.482758620689655</v>
      </c>
      <c r="R457" s="8" t="n">
        <f aca="false">IF(E457=0,0,L457/E457)</f>
        <v>0.565217391304348</v>
      </c>
      <c r="S457" s="8" t="n">
        <f aca="false">R457+Q457</f>
        <v>1.047976011994</v>
      </c>
      <c r="T457" s="8" t="n">
        <f aca="false">R457-P457</f>
        <v>0.217391304347826</v>
      </c>
    </row>
    <row r="458" customFormat="false" ht="14.25" hidden="false" customHeight="true" outlineLevel="0" collapsed="false">
      <c r="A458" s="6" t="n">
        <v>2024</v>
      </c>
      <c r="B458" s="6" t="s">
        <v>147</v>
      </c>
      <c r="C458" s="6" t="s">
        <v>153</v>
      </c>
      <c r="D458" s="7" t="n">
        <v>5</v>
      </c>
      <c r="E458" s="7" t="n">
        <v>15</v>
      </c>
      <c r="F458" s="7" t="n">
        <v>4</v>
      </c>
      <c r="G458" s="7" t="n">
        <v>6</v>
      </c>
      <c r="H458" s="7" t="n">
        <v>3</v>
      </c>
      <c r="I458" s="7" t="n">
        <v>0</v>
      </c>
      <c r="J458" s="7" t="n">
        <v>0</v>
      </c>
      <c r="K458" s="7" t="n">
        <v>3</v>
      </c>
      <c r="L458" s="7" t="n">
        <v>9</v>
      </c>
      <c r="M458" s="7" t="n">
        <v>5</v>
      </c>
      <c r="N458" s="7" t="n">
        <v>1</v>
      </c>
      <c r="O458" s="7" t="n">
        <v>1</v>
      </c>
      <c r="P458" s="8" t="n">
        <f aca="false">IF(E458=0,0,G458/E458)</f>
        <v>0.4</v>
      </c>
      <c r="Q458" s="8" t="n">
        <f aca="false">IF(E458+N458=0,0,(G458+N458)/(E458+N458))</f>
        <v>0.4375</v>
      </c>
      <c r="R458" s="8" t="n">
        <f aca="false">IF(E458=0,0,L458/E458)</f>
        <v>0.6</v>
      </c>
      <c r="S458" s="8" t="n">
        <f aca="false">R458+Q458</f>
        <v>1.0375</v>
      </c>
      <c r="T458" s="8" t="n">
        <f aca="false">R458-P458</f>
        <v>0.2</v>
      </c>
    </row>
    <row r="459" customFormat="false" ht="14.25" hidden="false" customHeight="true" outlineLevel="0" collapsed="false">
      <c r="A459" s="6" t="n">
        <v>2024</v>
      </c>
      <c r="B459" s="6" t="s">
        <v>147</v>
      </c>
      <c r="C459" s="6" t="s">
        <v>155</v>
      </c>
      <c r="D459" s="7" t="n">
        <v>10</v>
      </c>
      <c r="E459" s="7" t="n">
        <v>28</v>
      </c>
      <c r="F459" s="7" t="n">
        <v>10</v>
      </c>
      <c r="G459" s="7" t="n">
        <v>5</v>
      </c>
      <c r="H459" s="7" t="n">
        <v>0</v>
      </c>
      <c r="I459" s="7" t="n">
        <v>0</v>
      </c>
      <c r="J459" s="7" t="n">
        <v>1</v>
      </c>
      <c r="K459" s="7" t="n">
        <v>1</v>
      </c>
      <c r="L459" s="7" t="n">
        <v>8</v>
      </c>
      <c r="M459" s="7" t="n">
        <v>8</v>
      </c>
      <c r="N459" s="7" t="n">
        <v>6</v>
      </c>
      <c r="O459" s="7" t="n">
        <v>2</v>
      </c>
      <c r="P459" s="8" t="n">
        <f aca="false">IF(E459=0,0,G459/E459)</f>
        <v>0.178571428571429</v>
      </c>
      <c r="Q459" s="8" t="n">
        <f aca="false">IF(E459+N459=0,0,(G459+N459)/(E459+N459))</f>
        <v>0.323529411764706</v>
      </c>
      <c r="R459" s="8" t="n">
        <f aca="false">IF(E459=0,0,L459/E459)</f>
        <v>0.285714285714286</v>
      </c>
      <c r="S459" s="8" t="n">
        <f aca="false">R459+Q459</f>
        <v>0.609243697478992</v>
      </c>
      <c r="T459" s="8" t="n">
        <f aca="false">R459-P459</f>
        <v>0.107142857142857</v>
      </c>
    </row>
    <row r="460" customFormat="false" ht="14.25" hidden="false" customHeight="true" outlineLevel="0" collapsed="false">
      <c r="A460" s="6" t="n">
        <v>2024</v>
      </c>
      <c r="B460" s="6" t="s">
        <v>147</v>
      </c>
      <c r="C460" s="6" t="s">
        <v>162</v>
      </c>
      <c r="D460" s="7" t="n">
        <v>9</v>
      </c>
      <c r="E460" s="7" t="n">
        <v>15</v>
      </c>
      <c r="F460" s="7" t="n">
        <v>3</v>
      </c>
      <c r="G460" s="7" t="n">
        <v>3</v>
      </c>
      <c r="H460" s="7" t="n">
        <v>0</v>
      </c>
      <c r="I460" s="7" t="n">
        <v>0</v>
      </c>
      <c r="J460" s="7" t="n">
        <v>0</v>
      </c>
      <c r="K460" s="7" t="n">
        <v>0</v>
      </c>
      <c r="L460" s="7" t="n">
        <v>3</v>
      </c>
      <c r="M460" s="7" t="n">
        <v>1</v>
      </c>
      <c r="N460" s="7" t="n">
        <v>2</v>
      </c>
      <c r="O460" s="7" t="n">
        <v>0</v>
      </c>
      <c r="P460" s="8" t="n">
        <f aca="false">IF(E460=0,0,G460/E460)</f>
        <v>0.2</v>
      </c>
      <c r="Q460" s="8" t="n">
        <f aca="false">IF(E460+N460=0,0,(G460+N460)/(E460+N460))</f>
        <v>0.294117647058824</v>
      </c>
      <c r="R460" s="8" t="n">
        <f aca="false">IF(E460=0,0,L460/E460)</f>
        <v>0.2</v>
      </c>
      <c r="S460" s="8" t="n">
        <f aca="false">R460+Q460</f>
        <v>0.494117647058824</v>
      </c>
      <c r="T460" s="8" t="n">
        <f aca="false">R460-P460</f>
        <v>0</v>
      </c>
    </row>
    <row r="461" customFormat="false" ht="14.25" hidden="false" customHeight="true" outlineLevel="0" collapsed="false">
      <c r="A461" s="6" t="n">
        <v>2024</v>
      </c>
      <c r="B461" s="6" t="s">
        <v>147</v>
      </c>
      <c r="C461" s="6" t="s">
        <v>152</v>
      </c>
      <c r="D461" s="7" t="n">
        <v>6</v>
      </c>
      <c r="E461" s="7" t="n">
        <v>11</v>
      </c>
      <c r="F461" s="7" t="n">
        <v>1</v>
      </c>
      <c r="G461" s="7" t="n">
        <v>2</v>
      </c>
      <c r="H461" s="7" t="n">
        <v>1</v>
      </c>
      <c r="I461" s="7" t="n">
        <v>0</v>
      </c>
      <c r="J461" s="7" t="n">
        <v>0</v>
      </c>
      <c r="K461" s="7" t="n">
        <v>1</v>
      </c>
      <c r="L461" s="7" t="n">
        <v>3</v>
      </c>
      <c r="M461" s="7" t="n">
        <v>2</v>
      </c>
      <c r="N461" s="7" t="n">
        <v>2</v>
      </c>
      <c r="O461" s="7" t="n">
        <v>1</v>
      </c>
      <c r="P461" s="8" t="n">
        <f aca="false">IF(E461=0,0,G461/E461)</f>
        <v>0.181818181818182</v>
      </c>
      <c r="Q461" s="8" t="n">
        <f aca="false">IF(E461+N461=0,0,(G461+N461)/(E461+N461))</f>
        <v>0.307692307692308</v>
      </c>
      <c r="R461" s="8" t="n">
        <f aca="false">IF(E461=0,0,L461/E461)</f>
        <v>0.272727272727273</v>
      </c>
      <c r="S461" s="8" t="n">
        <f aca="false">R461+Q461</f>
        <v>0.58041958041958</v>
      </c>
      <c r="T461" s="8" t="n">
        <f aca="false">R461-P461</f>
        <v>0.0909090909090909</v>
      </c>
    </row>
    <row r="462" customFormat="false" ht="14.25" hidden="false" customHeight="true" outlineLevel="0" collapsed="false">
      <c r="A462" s="6" t="n">
        <v>2024</v>
      </c>
      <c r="B462" s="6" t="s">
        <v>147</v>
      </c>
      <c r="C462" s="6" t="s">
        <v>302</v>
      </c>
      <c r="D462" s="7" t="n">
        <v>5</v>
      </c>
      <c r="E462" s="7" t="n">
        <v>12</v>
      </c>
      <c r="F462" s="7" t="n">
        <v>3</v>
      </c>
      <c r="G462" s="7" t="n">
        <v>2</v>
      </c>
      <c r="H462" s="7" t="n">
        <v>0</v>
      </c>
      <c r="I462" s="7" t="n">
        <v>0</v>
      </c>
      <c r="J462" s="7" t="n">
        <v>0</v>
      </c>
      <c r="K462" s="7" t="n">
        <v>0</v>
      </c>
      <c r="L462" s="7" t="n">
        <v>2</v>
      </c>
      <c r="M462" s="7" t="n">
        <v>6</v>
      </c>
      <c r="N462" s="7" t="n">
        <v>2</v>
      </c>
      <c r="O462" s="7" t="n">
        <v>0</v>
      </c>
      <c r="P462" s="8" t="n">
        <f aca="false">IF(E462=0,0,G462/E462)</f>
        <v>0.166666666666667</v>
      </c>
      <c r="Q462" s="8" t="n">
        <f aca="false">IF(E462+N462=0,0,(G462+N462)/(E462+N462))</f>
        <v>0.285714285714286</v>
      </c>
      <c r="R462" s="8" t="n">
        <f aca="false">IF(E462=0,0,L462/E462)</f>
        <v>0.166666666666667</v>
      </c>
      <c r="S462" s="8" t="n">
        <f aca="false">R462+Q462</f>
        <v>0.452380952380952</v>
      </c>
      <c r="T462" s="8" t="n">
        <f aca="false">R462-P462</f>
        <v>0</v>
      </c>
    </row>
    <row r="463" customFormat="false" ht="14.25" hidden="false" customHeight="true" outlineLevel="0" collapsed="false">
      <c r="A463" s="6" t="n">
        <v>2024</v>
      </c>
      <c r="B463" s="6" t="s">
        <v>147</v>
      </c>
      <c r="C463" s="6" t="s">
        <v>303</v>
      </c>
      <c r="D463" s="7" t="n">
        <v>3</v>
      </c>
      <c r="E463" s="7" t="n">
        <v>8</v>
      </c>
      <c r="F463" s="7" t="n">
        <v>2</v>
      </c>
      <c r="G463" s="7" t="n">
        <v>2</v>
      </c>
      <c r="H463" s="7" t="n">
        <v>0</v>
      </c>
      <c r="I463" s="7" t="n">
        <v>0</v>
      </c>
      <c r="J463" s="7" t="n">
        <v>0</v>
      </c>
      <c r="K463" s="7" t="n">
        <v>0</v>
      </c>
      <c r="L463" s="7" t="n">
        <v>2</v>
      </c>
      <c r="M463" s="7" t="n">
        <v>3</v>
      </c>
      <c r="N463" s="7" t="n">
        <v>4</v>
      </c>
      <c r="O463" s="7" t="n">
        <v>0</v>
      </c>
      <c r="P463" s="8" t="n">
        <f aca="false">IF(E463=0,0,G463/E463)</f>
        <v>0.25</v>
      </c>
      <c r="Q463" s="8" t="n">
        <f aca="false">IF(E463+N463=0,0,(G463+N463)/(E463+N463))</f>
        <v>0.5</v>
      </c>
      <c r="R463" s="8" t="n">
        <f aca="false">IF(E463=0,0,L463/E463)</f>
        <v>0.25</v>
      </c>
      <c r="S463" s="8" t="n">
        <f aca="false">R463+Q463</f>
        <v>0.75</v>
      </c>
      <c r="T463" s="8" t="n">
        <f aca="false">R463-P463</f>
        <v>0</v>
      </c>
    </row>
    <row r="464" customFormat="false" ht="14.25" hidden="false" customHeight="true" outlineLevel="0" collapsed="false">
      <c r="A464" s="6" t="n">
        <v>2024</v>
      </c>
      <c r="B464" s="6" t="s">
        <v>147</v>
      </c>
      <c r="C464" s="6" t="s">
        <v>159</v>
      </c>
      <c r="D464" s="7" t="n">
        <v>4</v>
      </c>
      <c r="E464" s="7" t="n">
        <v>13</v>
      </c>
      <c r="F464" s="7" t="n">
        <v>1</v>
      </c>
      <c r="G464" s="7" t="n">
        <v>2</v>
      </c>
      <c r="H464" s="7" t="n">
        <v>0</v>
      </c>
      <c r="I464" s="7" t="n">
        <v>0</v>
      </c>
      <c r="J464" s="7" t="n">
        <v>0</v>
      </c>
      <c r="K464" s="7" t="n">
        <v>0</v>
      </c>
      <c r="L464" s="7" t="n">
        <v>2</v>
      </c>
      <c r="M464" s="7" t="n">
        <v>0</v>
      </c>
      <c r="N464" s="7" t="n">
        <v>0</v>
      </c>
      <c r="O464" s="7" t="n">
        <v>0</v>
      </c>
      <c r="P464" s="8" t="n">
        <f aca="false">IF(E464=0,0,G464/E464)</f>
        <v>0.153846153846154</v>
      </c>
      <c r="Q464" s="8" t="n">
        <f aca="false">IF(E464+N464=0,0,(G464+N464)/(E464+N464))</f>
        <v>0.153846153846154</v>
      </c>
      <c r="R464" s="8" t="n">
        <f aca="false">IF(E464=0,0,L464/E464)</f>
        <v>0.153846153846154</v>
      </c>
      <c r="S464" s="8" t="n">
        <f aca="false">R464+Q464</f>
        <v>0.307692307692308</v>
      </c>
      <c r="T464" s="8" t="n">
        <f aca="false">R464-P464</f>
        <v>0</v>
      </c>
    </row>
    <row r="465" customFormat="false" ht="14.25" hidden="false" customHeight="true" outlineLevel="0" collapsed="false">
      <c r="A465" s="6" t="n">
        <v>2024</v>
      </c>
      <c r="B465" s="6" t="s">
        <v>147</v>
      </c>
      <c r="C465" s="6" t="s">
        <v>161</v>
      </c>
      <c r="D465" s="7" t="n">
        <v>4</v>
      </c>
      <c r="E465" s="7" t="n">
        <v>9</v>
      </c>
      <c r="F465" s="7" t="n">
        <v>0</v>
      </c>
      <c r="G465" s="7" t="n">
        <v>0</v>
      </c>
      <c r="H465" s="7" t="n">
        <v>0</v>
      </c>
      <c r="I465" s="7" t="n">
        <v>0</v>
      </c>
      <c r="J465" s="7" t="n">
        <v>0</v>
      </c>
      <c r="K465" s="7" t="n">
        <v>0</v>
      </c>
      <c r="L465" s="7" t="n">
        <v>0</v>
      </c>
      <c r="M465" s="7" t="n">
        <v>2</v>
      </c>
      <c r="N465" s="7" t="n">
        <v>0</v>
      </c>
      <c r="O465" s="7" t="n">
        <v>0</v>
      </c>
      <c r="P465" s="8" t="n">
        <f aca="false">IF(E465=0,0,G465/E465)</f>
        <v>0</v>
      </c>
      <c r="Q465" s="8" t="n">
        <f aca="false">IF(E465+N465=0,0,(G465+N465)/(E465+N465))</f>
        <v>0</v>
      </c>
      <c r="R465" s="8" t="n">
        <f aca="false">IF(E465=0,0,L465/E465)</f>
        <v>0</v>
      </c>
      <c r="S465" s="8" t="n">
        <f aca="false">R465+Q465</f>
        <v>0</v>
      </c>
      <c r="T465" s="8" t="n">
        <f aca="false">R465-P465</f>
        <v>0</v>
      </c>
    </row>
    <row r="466" customFormat="false" ht="14.25" hidden="false" customHeight="true" outlineLevel="0" collapsed="false">
      <c r="A466" s="6" t="n">
        <v>2024</v>
      </c>
      <c r="B466" s="6" t="s">
        <v>147</v>
      </c>
      <c r="C466" s="6" t="s">
        <v>160</v>
      </c>
      <c r="D466" s="7" t="n">
        <v>3</v>
      </c>
      <c r="E466" s="7" t="n">
        <v>4</v>
      </c>
      <c r="F466" s="7" t="n">
        <v>1</v>
      </c>
      <c r="G466" s="7" t="n">
        <v>0</v>
      </c>
      <c r="H466" s="7" t="n">
        <v>0</v>
      </c>
      <c r="I466" s="7" t="n">
        <v>0</v>
      </c>
      <c r="J466" s="7" t="n">
        <v>0</v>
      </c>
      <c r="K466" s="7" t="n">
        <v>0</v>
      </c>
      <c r="L466" s="7" t="n">
        <v>0</v>
      </c>
      <c r="M466" s="7" t="n">
        <v>0</v>
      </c>
      <c r="N466" s="7" t="n">
        <v>1</v>
      </c>
      <c r="O466" s="7" t="n">
        <v>0</v>
      </c>
      <c r="P466" s="8" t="n">
        <f aca="false">IF(E466=0,0,G466/E466)</f>
        <v>0</v>
      </c>
      <c r="Q466" s="8" t="n">
        <f aca="false">IF(E466+N466=0,0,(G466+N466)/(E466+N466))</f>
        <v>0.2</v>
      </c>
      <c r="R466" s="8" t="n">
        <f aca="false">IF(E466=0,0,L466/E466)</f>
        <v>0</v>
      </c>
      <c r="S466" s="8" t="n">
        <f aca="false">R466+Q466</f>
        <v>0.2</v>
      </c>
      <c r="T466" s="8" t="n">
        <f aca="false">R466-P466</f>
        <v>0</v>
      </c>
    </row>
    <row r="467" customFormat="false" ht="14.25" hidden="false" customHeight="true" outlineLevel="0" collapsed="false">
      <c r="A467" s="6" t="n">
        <v>2024</v>
      </c>
      <c r="B467" s="6" t="s">
        <v>147</v>
      </c>
      <c r="C467" s="6" t="s">
        <v>304</v>
      </c>
      <c r="D467" s="7" t="n">
        <v>1</v>
      </c>
      <c r="E467" s="7" t="n">
        <v>1</v>
      </c>
      <c r="F467" s="7" t="n">
        <v>1</v>
      </c>
      <c r="G467" s="7" t="n">
        <v>0</v>
      </c>
      <c r="H467" s="7" t="n">
        <v>0</v>
      </c>
      <c r="I467" s="7" t="n">
        <v>0</v>
      </c>
      <c r="J467" s="7" t="n">
        <v>0</v>
      </c>
      <c r="K467" s="7" t="n">
        <v>0</v>
      </c>
      <c r="L467" s="7" t="n">
        <v>0</v>
      </c>
      <c r="M467" s="7" t="n">
        <v>0</v>
      </c>
      <c r="N467" s="7" t="n">
        <v>1</v>
      </c>
      <c r="O467" s="7" t="n">
        <v>0</v>
      </c>
      <c r="P467" s="8" t="n">
        <f aca="false">IF(E467=0,0,G467/E467)</f>
        <v>0</v>
      </c>
      <c r="Q467" s="8" t="n">
        <f aca="false">IF(E467+N467=0,0,(G467+N467)/(E467+N467))</f>
        <v>0.5</v>
      </c>
      <c r="R467" s="8" t="n">
        <f aca="false">IF(E467=0,0,L467/E467)</f>
        <v>0</v>
      </c>
      <c r="S467" s="8" t="n">
        <f aca="false">R467+Q467</f>
        <v>0.5</v>
      </c>
      <c r="T467" s="8" t="n">
        <f aca="false">R467-P467</f>
        <v>0</v>
      </c>
    </row>
    <row r="468" customFormat="false" ht="14.25" hidden="false" customHeight="true" outlineLevel="0" collapsed="false">
      <c r="A468" s="6" t="n">
        <v>2024</v>
      </c>
      <c r="B468" s="6" t="s">
        <v>147</v>
      </c>
      <c r="C468" s="6" t="s">
        <v>305</v>
      </c>
      <c r="D468" s="7" t="n">
        <v>1</v>
      </c>
      <c r="E468" s="7" t="n">
        <v>3</v>
      </c>
      <c r="F468" s="7" t="n">
        <v>0</v>
      </c>
      <c r="G468" s="7" t="n">
        <v>0</v>
      </c>
      <c r="H468" s="7" t="n">
        <v>0</v>
      </c>
      <c r="I468" s="7" t="n">
        <v>0</v>
      </c>
      <c r="J468" s="7" t="n">
        <v>0</v>
      </c>
      <c r="K468" s="7" t="n">
        <v>0</v>
      </c>
      <c r="L468" s="7" t="n">
        <v>0</v>
      </c>
      <c r="M468" s="7" t="n">
        <v>0</v>
      </c>
      <c r="N468" s="7" t="n">
        <v>0</v>
      </c>
      <c r="O468" s="7" t="n">
        <v>0</v>
      </c>
      <c r="P468" s="8" t="n">
        <f aca="false">IF(E468=0,0,G468/E468)</f>
        <v>0</v>
      </c>
      <c r="Q468" s="8" t="n">
        <f aca="false">IF(E468+N468=0,0,(G468+N468)/(E468+N468))</f>
        <v>0</v>
      </c>
      <c r="R468" s="8" t="n">
        <f aca="false">IF(E468=0,0,L468/E468)</f>
        <v>0</v>
      </c>
      <c r="S468" s="8" t="n">
        <f aca="false">R468+Q468</f>
        <v>0</v>
      </c>
      <c r="T468" s="8" t="n">
        <f aca="false">R468-P468</f>
        <v>0</v>
      </c>
    </row>
    <row r="469" customFormat="false" ht="14.25" hidden="false" customHeight="true" outlineLevel="0" collapsed="false">
      <c r="A469" s="6" t="n">
        <v>2024</v>
      </c>
      <c r="B469" s="6" t="s">
        <v>147</v>
      </c>
      <c r="C469" s="6" t="s">
        <v>306</v>
      </c>
      <c r="D469" s="7" t="n">
        <v>1</v>
      </c>
      <c r="E469" s="7" t="n">
        <v>2</v>
      </c>
      <c r="F469" s="7" t="n">
        <v>0</v>
      </c>
      <c r="G469" s="7" t="n">
        <v>0</v>
      </c>
      <c r="H469" s="7" t="n">
        <v>0</v>
      </c>
      <c r="I469" s="7" t="n">
        <v>0</v>
      </c>
      <c r="J469" s="7" t="n">
        <v>0</v>
      </c>
      <c r="K469" s="7" t="n">
        <v>0</v>
      </c>
      <c r="L469" s="7" t="n">
        <v>0</v>
      </c>
      <c r="M469" s="7" t="n">
        <v>0</v>
      </c>
      <c r="N469" s="7" t="n">
        <v>0</v>
      </c>
      <c r="O469" s="7" t="n">
        <v>0</v>
      </c>
      <c r="P469" s="8" t="n">
        <f aca="false">IF(E469=0,0,G469/E469)</f>
        <v>0</v>
      </c>
      <c r="Q469" s="8" t="n">
        <f aca="false">IF(E469+N469=0,0,(G469+N469)/(E469+N469))</f>
        <v>0</v>
      </c>
      <c r="R469" s="8" t="n">
        <f aca="false">IF(E469=0,0,L469/E469)</f>
        <v>0</v>
      </c>
      <c r="S469" s="8" t="n">
        <f aca="false">R469+Q469</f>
        <v>0</v>
      </c>
      <c r="T469" s="8" t="n">
        <f aca="false">R469-P469</f>
        <v>0</v>
      </c>
    </row>
    <row r="470" customFormat="false" ht="14.25" hidden="false" customHeight="true" outlineLevel="0" collapsed="false">
      <c r="A470" s="6" t="n">
        <v>2024</v>
      </c>
      <c r="B470" s="6" t="s">
        <v>166</v>
      </c>
      <c r="C470" s="6" t="s">
        <v>175</v>
      </c>
      <c r="D470" s="7" t="n">
        <v>7</v>
      </c>
      <c r="E470" s="7" t="n">
        <v>21</v>
      </c>
      <c r="F470" s="7" t="n">
        <v>7</v>
      </c>
      <c r="G470" s="7" t="n">
        <v>11</v>
      </c>
      <c r="H470" s="7" t="n">
        <v>1</v>
      </c>
      <c r="I470" s="7" t="n">
        <v>0</v>
      </c>
      <c r="J470" s="7" t="n">
        <v>3</v>
      </c>
      <c r="K470" s="7" t="n">
        <v>4</v>
      </c>
      <c r="L470" s="7" t="n">
        <v>21</v>
      </c>
      <c r="M470" s="7" t="n">
        <v>10</v>
      </c>
      <c r="N470" s="7" t="n">
        <v>3</v>
      </c>
      <c r="O470" s="7" t="n">
        <v>0</v>
      </c>
      <c r="P470" s="8" t="n">
        <f aca="false">IF(E470=0,0,G470/E470)</f>
        <v>0.523809523809524</v>
      </c>
      <c r="Q470" s="8" t="n">
        <f aca="false">IF(E470+N470=0,0,(G470+N470)/(E470+N470))</f>
        <v>0.583333333333333</v>
      </c>
      <c r="R470" s="8" t="n">
        <f aca="false">IF(E470=0,0,L470/E470)</f>
        <v>1</v>
      </c>
      <c r="S470" s="8" t="n">
        <f aca="false">R470+Q470</f>
        <v>1.58333333333333</v>
      </c>
      <c r="T470" s="8" t="n">
        <f aca="false">R470-P470</f>
        <v>0.476190476190476</v>
      </c>
    </row>
    <row r="471" customFormat="false" ht="14.25" hidden="false" customHeight="true" outlineLevel="0" collapsed="false">
      <c r="A471" s="6" t="n">
        <v>2024</v>
      </c>
      <c r="B471" s="6" t="s">
        <v>166</v>
      </c>
      <c r="C471" s="6" t="s">
        <v>168</v>
      </c>
      <c r="D471" s="7" t="n">
        <v>9</v>
      </c>
      <c r="E471" s="7" t="n">
        <v>25</v>
      </c>
      <c r="F471" s="7" t="n">
        <v>10</v>
      </c>
      <c r="G471" s="7" t="n">
        <v>8</v>
      </c>
      <c r="H471" s="7" t="n">
        <v>1</v>
      </c>
      <c r="I471" s="7" t="n">
        <v>0</v>
      </c>
      <c r="J471" s="7" t="n">
        <v>5</v>
      </c>
      <c r="K471" s="7" t="n">
        <v>6</v>
      </c>
      <c r="L471" s="7" t="n">
        <v>24</v>
      </c>
      <c r="M471" s="7" t="n">
        <v>14</v>
      </c>
      <c r="N471" s="7" t="n">
        <v>6</v>
      </c>
      <c r="O471" s="7" t="n">
        <v>0</v>
      </c>
      <c r="P471" s="8" t="n">
        <f aca="false">IF(E471=0,0,G471/E471)</f>
        <v>0.32</v>
      </c>
      <c r="Q471" s="8" t="n">
        <f aca="false">IF(E471+N471=0,0,(G471+N471)/(E471+N471))</f>
        <v>0.451612903225806</v>
      </c>
      <c r="R471" s="8" t="n">
        <f aca="false">IF(E471=0,0,L471/E471)</f>
        <v>0.96</v>
      </c>
      <c r="S471" s="8" t="n">
        <f aca="false">R471+Q471</f>
        <v>1.41161290322581</v>
      </c>
      <c r="T471" s="8" t="n">
        <f aca="false">R471-P471</f>
        <v>0.64</v>
      </c>
    </row>
    <row r="472" customFormat="false" ht="14.25" hidden="false" customHeight="true" outlineLevel="0" collapsed="false">
      <c r="A472" s="6" t="n">
        <v>2024</v>
      </c>
      <c r="B472" s="6" t="s">
        <v>166</v>
      </c>
      <c r="C472" s="6" t="s">
        <v>167</v>
      </c>
      <c r="D472" s="7" t="n">
        <v>7</v>
      </c>
      <c r="E472" s="7" t="n">
        <v>21</v>
      </c>
      <c r="F472" s="7" t="n">
        <v>7</v>
      </c>
      <c r="G472" s="7" t="n">
        <v>8</v>
      </c>
      <c r="H472" s="7" t="n">
        <v>1</v>
      </c>
      <c r="I472" s="7" t="n">
        <v>0</v>
      </c>
      <c r="J472" s="7" t="n">
        <v>3</v>
      </c>
      <c r="K472" s="7" t="n">
        <v>4</v>
      </c>
      <c r="L472" s="7" t="n">
        <v>18</v>
      </c>
      <c r="M472" s="7" t="n">
        <v>8</v>
      </c>
      <c r="N472" s="7" t="n">
        <v>4</v>
      </c>
      <c r="O472" s="7" t="n">
        <v>1</v>
      </c>
      <c r="P472" s="8" t="n">
        <f aca="false">IF(E472=0,0,G472/E472)</f>
        <v>0.380952380952381</v>
      </c>
      <c r="Q472" s="8" t="n">
        <f aca="false">IF(E472+N472=0,0,(G472+N472)/(E472+N472))</f>
        <v>0.48</v>
      </c>
      <c r="R472" s="8" t="n">
        <f aca="false">IF(E472=0,0,L472/E472)</f>
        <v>0.857142857142857</v>
      </c>
      <c r="S472" s="8" t="n">
        <f aca="false">R472+Q472</f>
        <v>1.33714285714286</v>
      </c>
      <c r="T472" s="8" t="n">
        <f aca="false">R472-P472</f>
        <v>0.476190476190476</v>
      </c>
    </row>
    <row r="473" customFormat="false" ht="14.25" hidden="false" customHeight="true" outlineLevel="0" collapsed="false">
      <c r="A473" s="6" t="n">
        <v>2024</v>
      </c>
      <c r="B473" s="6" t="s">
        <v>166</v>
      </c>
      <c r="C473" s="6" t="s">
        <v>179</v>
      </c>
      <c r="D473" s="7" t="n">
        <v>8</v>
      </c>
      <c r="E473" s="7" t="n">
        <v>25</v>
      </c>
      <c r="F473" s="7" t="n">
        <v>6</v>
      </c>
      <c r="G473" s="7" t="n">
        <v>7</v>
      </c>
      <c r="H473" s="7" t="n">
        <v>2</v>
      </c>
      <c r="I473" s="7" t="n">
        <v>0</v>
      </c>
      <c r="J473" s="7" t="n">
        <v>2</v>
      </c>
      <c r="K473" s="7" t="n">
        <v>4</v>
      </c>
      <c r="L473" s="7" t="n">
        <v>15</v>
      </c>
      <c r="M473" s="7" t="n">
        <v>5</v>
      </c>
      <c r="N473" s="7" t="n">
        <v>1</v>
      </c>
      <c r="O473" s="7" t="n">
        <v>0</v>
      </c>
      <c r="P473" s="8" t="n">
        <f aca="false">IF(E473=0,0,G473/E473)</f>
        <v>0.28</v>
      </c>
      <c r="Q473" s="8" t="n">
        <f aca="false">IF(E473+N473=0,0,(G473+N473)/(E473+N473))</f>
        <v>0.307692307692308</v>
      </c>
      <c r="R473" s="8" t="n">
        <f aca="false">IF(E473=0,0,L473/E473)</f>
        <v>0.6</v>
      </c>
      <c r="S473" s="8" t="n">
        <f aca="false">R473+Q473</f>
        <v>0.907692307692308</v>
      </c>
      <c r="T473" s="8" t="n">
        <f aca="false">R473-P473</f>
        <v>0.32</v>
      </c>
    </row>
    <row r="474" customFormat="false" ht="14.25" hidden="false" customHeight="true" outlineLevel="0" collapsed="false">
      <c r="A474" s="6" t="n">
        <v>2024</v>
      </c>
      <c r="B474" s="6" t="s">
        <v>166</v>
      </c>
      <c r="C474" s="6" t="s">
        <v>178</v>
      </c>
      <c r="D474" s="7" t="n">
        <v>8</v>
      </c>
      <c r="E474" s="7" t="n">
        <v>25</v>
      </c>
      <c r="F474" s="7" t="n">
        <v>6</v>
      </c>
      <c r="G474" s="7" t="n">
        <v>6</v>
      </c>
      <c r="H474" s="7" t="n">
        <v>1</v>
      </c>
      <c r="I474" s="7" t="n">
        <v>0</v>
      </c>
      <c r="J474" s="7" t="n">
        <v>2</v>
      </c>
      <c r="K474" s="7" t="n">
        <v>3</v>
      </c>
      <c r="L474" s="7" t="n">
        <v>13</v>
      </c>
      <c r="M474" s="7" t="n">
        <v>6</v>
      </c>
      <c r="N474" s="7" t="n">
        <v>5</v>
      </c>
      <c r="O474" s="7" t="n">
        <v>0</v>
      </c>
      <c r="P474" s="8" t="n">
        <f aca="false">IF(E474=0,0,G474/E474)</f>
        <v>0.24</v>
      </c>
      <c r="Q474" s="8" t="n">
        <f aca="false">IF(E474+N474=0,0,(G474+N474)/(E474+N474))</f>
        <v>0.366666666666667</v>
      </c>
      <c r="R474" s="8" t="n">
        <f aca="false">IF(E474=0,0,L474/E474)</f>
        <v>0.52</v>
      </c>
      <c r="S474" s="8" t="n">
        <f aca="false">R474+Q474</f>
        <v>0.886666666666667</v>
      </c>
      <c r="T474" s="8" t="n">
        <f aca="false">R474-P474</f>
        <v>0.28</v>
      </c>
    </row>
    <row r="475" customFormat="false" ht="14.25" hidden="false" customHeight="true" outlineLevel="0" collapsed="false">
      <c r="A475" s="6" t="n">
        <v>2024</v>
      </c>
      <c r="B475" s="6" t="s">
        <v>166</v>
      </c>
      <c r="C475" s="6" t="s">
        <v>187</v>
      </c>
      <c r="D475" s="7" t="n">
        <v>5</v>
      </c>
      <c r="E475" s="7" t="n">
        <v>14</v>
      </c>
      <c r="F475" s="7" t="n">
        <v>7</v>
      </c>
      <c r="G475" s="7" t="n">
        <v>6</v>
      </c>
      <c r="H475" s="7" t="n">
        <v>1</v>
      </c>
      <c r="I475" s="7" t="n">
        <v>0</v>
      </c>
      <c r="J475" s="7" t="n">
        <v>1</v>
      </c>
      <c r="K475" s="7" t="n">
        <v>2</v>
      </c>
      <c r="L475" s="7" t="n">
        <v>10</v>
      </c>
      <c r="M475" s="7" t="n">
        <v>4</v>
      </c>
      <c r="N475" s="7" t="n">
        <v>4</v>
      </c>
      <c r="O475" s="7" t="n">
        <v>1</v>
      </c>
      <c r="P475" s="8" t="n">
        <f aca="false">IF(E475=0,0,G475/E475)</f>
        <v>0.428571428571429</v>
      </c>
      <c r="Q475" s="8" t="n">
        <f aca="false">IF(E475+N475=0,0,(G475+N475)/(E475+N475))</f>
        <v>0.555555555555556</v>
      </c>
      <c r="R475" s="8" t="n">
        <f aca="false">IF(E475=0,0,L475/E475)</f>
        <v>0.714285714285714</v>
      </c>
      <c r="S475" s="8" t="n">
        <f aca="false">R475+Q475</f>
        <v>1.26984126984127</v>
      </c>
      <c r="T475" s="8" t="n">
        <f aca="false">R475-P475</f>
        <v>0.285714285714286</v>
      </c>
    </row>
    <row r="476" customFormat="false" ht="14.25" hidden="false" customHeight="true" outlineLevel="0" collapsed="false">
      <c r="A476" s="6" t="n">
        <v>2024</v>
      </c>
      <c r="B476" s="6" t="s">
        <v>166</v>
      </c>
      <c r="C476" s="6" t="s">
        <v>172</v>
      </c>
      <c r="D476" s="7" t="n">
        <v>6</v>
      </c>
      <c r="E476" s="7" t="n">
        <v>20</v>
      </c>
      <c r="F476" s="7" t="n">
        <v>6</v>
      </c>
      <c r="G476" s="7" t="n">
        <v>6</v>
      </c>
      <c r="H476" s="7" t="n">
        <v>4</v>
      </c>
      <c r="I476" s="7" t="n">
        <v>0</v>
      </c>
      <c r="J476" s="7" t="n">
        <v>0</v>
      </c>
      <c r="K476" s="7" t="n">
        <v>4</v>
      </c>
      <c r="L476" s="7" t="n">
        <v>10</v>
      </c>
      <c r="M476" s="7" t="n">
        <v>4</v>
      </c>
      <c r="N476" s="7" t="n">
        <v>3</v>
      </c>
      <c r="O476" s="7" t="n">
        <v>0</v>
      </c>
      <c r="P476" s="8" t="n">
        <f aca="false">IF(E476=0,0,G476/E476)</f>
        <v>0.3</v>
      </c>
      <c r="Q476" s="8" t="n">
        <f aca="false">IF(E476+N476=0,0,(G476+N476)/(E476+N476))</f>
        <v>0.391304347826087</v>
      </c>
      <c r="R476" s="8" t="n">
        <f aca="false">IF(E476=0,0,L476/E476)</f>
        <v>0.5</v>
      </c>
      <c r="S476" s="8" t="n">
        <f aca="false">R476+Q476</f>
        <v>0.891304347826087</v>
      </c>
      <c r="T476" s="8" t="n">
        <f aca="false">R476-P476</f>
        <v>0.2</v>
      </c>
    </row>
    <row r="477" customFormat="false" ht="14.25" hidden="false" customHeight="true" outlineLevel="0" collapsed="false">
      <c r="A477" s="6" t="n">
        <v>2024</v>
      </c>
      <c r="B477" s="6" t="s">
        <v>166</v>
      </c>
      <c r="C477" s="6" t="s">
        <v>174</v>
      </c>
      <c r="D477" s="7" t="n">
        <v>6</v>
      </c>
      <c r="E477" s="7" t="n">
        <v>13</v>
      </c>
      <c r="F477" s="7" t="n">
        <v>2</v>
      </c>
      <c r="G477" s="7" t="n">
        <v>6</v>
      </c>
      <c r="H477" s="7" t="n">
        <v>1</v>
      </c>
      <c r="I477" s="7" t="n">
        <v>0</v>
      </c>
      <c r="J477" s="7" t="n">
        <v>0</v>
      </c>
      <c r="K477" s="7" t="n">
        <v>1</v>
      </c>
      <c r="L477" s="7" t="n">
        <v>7</v>
      </c>
      <c r="M477" s="7" t="n">
        <v>2</v>
      </c>
      <c r="N477" s="7" t="n">
        <v>0</v>
      </c>
      <c r="O477" s="7" t="n">
        <v>0</v>
      </c>
      <c r="P477" s="8" t="n">
        <f aca="false">IF(E477=0,0,G477/E477)</f>
        <v>0.461538461538462</v>
      </c>
      <c r="Q477" s="8" t="n">
        <f aca="false">IF(E477+N477=0,0,(G477+N477)/(E477+N477))</f>
        <v>0.461538461538462</v>
      </c>
      <c r="R477" s="8" t="n">
        <f aca="false">IF(E477=0,0,L477/E477)</f>
        <v>0.538461538461538</v>
      </c>
      <c r="S477" s="8" t="n">
        <f aca="false">R477+Q477</f>
        <v>1</v>
      </c>
      <c r="T477" s="8" t="n">
        <f aca="false">R477-P477</f>
        <v>0.0769230769230769</v>
      </c>
    </row>
    <row r="478" customFormat="false" ht="14.25" hidden="false" customHeight="true" outlineLevel="0" collapsed="false">
      <c r="A478" s="6" t="n">
        <v>2024</v>
      </c>
      <c r="B478" s="6" t="s">
        <v>166</v>
      </c>
      <c r="C478" s="6" t="s">
        <v>177</v>
      </c>
      <c r="D478" s="7" t="n">
        <v>7</v>
      </c>
      <c r="E478" s="7" t="n">
        <v>20</v>
      </c>
      <c r="F478" s="7" t="n">
        <v>2</v>
      </c>
      <c r="G478" s="7" t="n">
        <v>6</v>
      </c>
      <c r="H478" s="7" t="n">
        <v>0</v>
      </c>
      <c r="I478" s="7" t="n">
        <v>0</v>
      </c>
      <c r="J478" s="7" t="n">
        <v>0</v>
      </c>
      <c r="K478" s="7" t="n">
        <v>0</v>
      </c>
      <c r="L478" s="7" t="n">
        <v>6</v>
      </c>
      <c r="M478" s="7" t="n">
        <v>2</v>
      </c>
      <c r="N478" s="7" t="n">
        <v>1</v>
      </c>
      <c r="O478" s="7" t="n">
        <v>0</v>
      </c>
      <c r="P478" s="8" t="n">
        <f aca="false">IF(E478=0,0,G478/E478)</f>
        <v>0.3</v>
      </c>
      <c r="Q478" s="8" t="n">
        <f aca="false">IF(E478+N478=0,0,(G478+N478)/(E478+N478))</f>
        <v>0.333333333333333</v>
      </c>
      <c r="R478" s="8" t="n">
        <f aca="false">IF(E478=0,0,L478/E478)</f>
        <v>0.3</v>
      </c>
      <c r="S478" s="8" t="n">
        <f aca="false">R478+Q478</f>
        <v>0.633333333333333</v>
      </c>
      <c r="T478" s="8" t="n">
        <f aca="false">R478-P478</f>
        <v>0</v>
      </c>
    </row>
    <row r="479" customFormat="false" ht="14.25" hidden="false" customHeight="true" outlineLevel="0" collapsed="false">
      <c r="A479" s="6" t="n">
        <v>2024</v>
      </c>
      <c r="B479" s="6" t="s">
        <v>166</v>
      </c>
      <c r="C479" s="6" t="s">
        <v>176</v>
      </c>
      <c r="D479" s="7" t="n">
        <v>8</v>
      </c>
      <c r="E479" s="7" t="n">
        <v>23</v>
      </c>
      <c r="F479" s="7" t="n">
        <v>4</v>
      </c>
      <c r="G479" s="7" t="n">
        <v>6</v>
      </c>
      <c r="H479" s="7" t="n">
        <v>0</v>
      </c>
      <c r="I479" s="7" t="n">
        <v>0</v>
      </c>
      <c r="J479" s="7" t="n">
        <v>0</v>
      </c>
      <c r="K479" s="7" t="n">
        <v>0</v>
      </c>
      <c r="L479" s="7" t="n">
        <v>6</v>
      </c>
      <c r="M479" s="7" t="n">
        <v>1</v>
      </c>
      <c r="N479" s="7" t="n">
        <v>4</v>
      </c>
      <c r="O479" s="7" t="n">
        <v>1</v>
      </c>
      <c r="P479" s="8" t="n">
        <f aca="false">IF(E479=0,0,G479/E479)</f>
        <v>0.260869565217391</v>
      </c>
      <c r="Q479" s="8" t="n">
        <f aca="false">IF(E479+N479=0,0,(G479+N479)/(E479+N479))</f>
        <v>0.37037037037037</v>
      </c>
      <c r="R479" s="8" t="n">
        <f aca="false">IF(E479=0,0,L479/E479)</f>
        <v>0.260869565217391</v>
      </c>
      <c r="S479" s="8" t="n">
        <f aca="false">R479+Q479</f>
        <v>0.631239935587762</v>
      </c>
      <c r="T479" s="8" t="n">
        <f aca="false">R479-P479</f>
        <v>0</v>
      </c>
    </row>
    <row r="480" customFormat="false" ht="14.25" hidden="false" customHeight="true" outlineLevel="0" collapsed="false">
      <c r="A480" s="6" t="n">
        <v>2024</v>
      </c>
      <c r="B480" s="6" t="s">
        <v>166</v>
      </c>
      <c r="C480" s="6" t="s">
        <v>170</v>
      </c>
      <c r="D480" s="7" t="n">
        <v>7</v>
      </c>
      <c r="E480" s="7" t="n">
        <v>20</v>
      </c>
      <c r="F480" s="7" t="n">
        <v>5</v>
      </c>
      <c r="G480" s="7" t="n">
        <v>5</v>
      </c>
      <c r="H480" s="7" t="n">
        <v>1</v>
      </c>
      <c r="I480" s="7" t="n">
        <v>0</v>
      </c>
      <c r="J480" s="7" t="n">
        <v>0</v>
      </c>
      <c r="K480" s="7" t="n">
        <v>1</v>
      </c>
      <c r="L480" s="7" t="n">
        <v>6</v>
      </c>
      <c r="M480" s="7" t="n">
        <v>1</v>
      </c>
      <c r="N480" s="7" t="n">
        <v>8</v>
      </c>
      <c r="O480" s="7" t="n">
        <v>0</v>
      </c>
      <c r="P480" s="8" t="n">
        <f aca="false">IF(E480=0,0,G480/E480)</f>
        <v>0.25</v>
      </c>
      <c r="Q480" s="8" t="n">
        <f aca="false">IF(E480+N480=0,0,(G480+N480)/(E480+N480))</f>
        <v>0.464285714285714</v>
      </c>
      <c r="R480" s="8" t="n">
        <f aca="false">IF(E480=0,0,L480/E480)</f>
        <v>0.3</v>
      </c>
      <c r="S480" s="8" t="n">
        <f aca="false">R480+Q480</f>
        <v>0.764285714285714</v>
      </c>
      <c r="T480" s="8" t="n">
        <f aca="false">R480-P480</f>
        <v>0.05</v>
      </c>
    </row>
    <row r="481" customFormat="false" ht="14.25" hidden="false" customHeight="true" outlineLevel="0" collapsed="false">
      <c r="A481" s="6" t="n">
        <v>2024</v>
      </c>
      <c r="B481" s="6" t="s">
        <v>166</v>
      </c>
      <c r="C481" s="6" t="s">
        <v>173</v>
      </c>
      <c r="D481" s="7" t="n">
        <v>3</v>
      </c>
      <c r="E481" s="7" t="n">
        <v>10</v>
      </c>
      <c r="F481" s="7" t="n">
        <v>2</v>
      </c>
      <c r="G481" s="7" t="n">
        <v>3</v>
      </c>
      <c r="H481" s="7" t="n">
        <v>0</v>
      </c>
      <c r="I481" s="7" t="n">
        <v>0</v>
      </c>
      <c r="J481" s="7" t="n">
        <v>0</v>
      </c>
      <c r="K481" s="7" t="n">
        <v>0</v>
      </c>
      <c r="L481" s="7" t="n">
        <v>3</v>
      </c>
      <c r="M481" s="7" t="n">
        <v>1</v>
      </c>
      <c r="N481" s="7" t="n">
        <v>0</v>
      </c>
      <c r="O481" s="7" t="n">
        <v>0</v>
      </c>
      <c r="P481" s="8" t="n">
        <f aca="false">IF(E481=0,0,G481/E481)</f>
        <v>0.3</v>
      </c>
      <c r="Q481" s="8" t="n">
        <f aca="false">IF(E481+N481=0,0,(G481+N481)/(E481+N481))</f>
        <v>0.3</v>
      </c>
      <c r="R481" s="8" t="n">
        <f aca="false">IF(E481=0,0,L481/E481)</f>
        <v>0.3</v>
      </c>
      <c r="S481" s="8" t="n">
        <f aca="false">R481+Q481</f>
        <v>0.6</v>
      </c>
      <c r="T481" s="8" t="n">
        <f aca="false">R481-P481</f>
        <v>0</v>
      </c>
    </row>
    <row r="482" customFormat="false" ht="14.25" hidden="false" customHeight="true" outlineLevel="0" collapsed="false">
      <c r="A482" s="6" t="n">
        <v>2024</v>
      </c>
      <c r="B482" s="6" t="s">
        <v>166</v>
      </c>
      <c r="C482" s="6" t="s">
        <v>182</v>
      </c>
      <c r="D482" s="7" t="n">
        <v>4</v>
      </c>
      <c r="E482" s="7" t="n">
        <v>11</v>
      </c>
      <c r="F482" s="7" t="n">
        <v>2</v>
      </c>
      <c r="G482" s="7" t="n">
        <v>3</v>
      </c>
      <c r="H482" s="7" t="n">
        <v>1</v>
      </c>
      <c r="I482" s="7" t="n">
        <v>0</v>
      </c>
      <c r="J482" s="7" t="n">
        <v>0</v>
      </c>
      <c r="K482" s="7" t="n">
        <v>1</v>
      </c>
      <c r="L482" s="7" t="n">
        <v>4</v>
      </c>
      <c r="M482" s="7" t="n">
        <v>0</v>
      </c>
      <c r="N482" s="7" t="n">
        <v>2</v>
      </c>
      <c r="O482" s="7" t="n">
        <v>1</v>
      </c>
      <c r="P482" s="8" t="n">
        <f aca="false">IF(E482=0,0,G482/E482)</f>
        <v>0.272727272727273</v>
      </c>
      <c r="Q482" s="8" t="n">
        <f aca="false">IF(E482+N482=0,0,(G482+N482)/(E482+N482))</f>
        <v>0.384615384615385</v>
      </c>
      <c r="R482" s="8" t="n">
        <f aca="false">IF(E482=0,0,L482/E482)</f>
        <v>0.363636363636364</v>
      </c>
      <c r="S482" s="8" t="n">
        <f aca="false">R482+Q482</f>
        <v>0.748251748251748</v>
      </c>
      <c r="T482" s="8" t="n">
        <f aca="false">R482-P482</f>
        <v>0.0909090909090909</v>
      </c>
    </row>
    <row r="483" customFormat="false" ht="14.25" hidden="false" customHeight="true" outlineLevel="0" collapsed="false">
      <c r="A483" s="6" t="n">
        <v>2024</v>
      </c>
      <c r="B483" s="6" t="s">
        <v>166</v>
      </c>
      <c r="C483" s="6" t="s">
        <v>275</v>
      </c>
      <c r="D483" s="7" t="n">
        <v>5</v>
      </c>
      <c r="E483" s="7" t="n">
        <v>9</v>
      </c>
      <c r="F483" s="7" t="n">
        <v>0</v>
      </c>
      <c r="G483" s="7" t="n">
        <v>2</v>
      </c>
      <c r="H483" s="7" t="n">
        <v>0</v>
      </c>
      <c r="I483" s="7" t="n">
        <v>0</v>
      </c>
      <c r="J483" s="7" t="n">
        <v>0</v>
      </c>
      <c r="K483" s="7" t="n">
        <v>0</v>
      </c>
      <c r="L483" s="7" t="n">
        <v>2</v>
      </c>
      <c r="M483" s="7" t="n">
        <v>1</v>
      </c>
      <c r="N483" s="7" t="n">
        <v>2</v>
      </c>
      <c r="O483" s="7" t="n">
        <v>1</v>
      </c>
      <c r="P483" s="8" t="n">
        <f aca="false">IF(E483=0,0,G483/E483)</f>
        <v>0.222222222222222</v>
      </c>
      <c r="Q483" s="8" t="n">
        <f aca="false">IF(E483+N483=0,0,(G483+N483)/(E483+N483))</f>
        <v>0.363636363636364</v>
      </c>
      <c r="R483" s="8" t="n">
        <f aca="false">IF(E483=0,0,L483/E483)</f>
        <v>0.222222222222222</v>
      </c>
      <c r="S483" s="8" t="n">
        <f aca="false">R483+Q483</f>
        <v>0.585858585858586</v>
      </c>
      <c r="T483" s="8" t="n">
        <f aca="false">R483-P483</f>
        <v>0</v>
      </c>
    </row>
    <row r="484" customFormat="false" ht="14.25" hidden="false" customHeight="true" outlineLevel="0" collapsed="false">
      <c r="A484" s="6" t="n">
        <v>2024</v>
      </c>
      <c r="B484" s="6" t="s">
        <v>166</v>
      </c>
      <c r="C484" s="6" t="s">
        <v>171</v>
      </c>
      <c r="D484" s="7" t="n">
        <v>2</v>
      </c>
      <c r="E484" s="7" t="n">
        <v>6</v>
      </c>
      <c r="F484" s="7" t="n">
        <v>0</v>
      </c>
      <c r="G484" s="7" t="n">
        <v>1</v>
      </c>
      <c r="H484" s="7" t="n">
        <v>0</v>
      </c>
      <c r="I484" s="7" t="n">
        <v>0</v>
      </c>
      <c r="J484" s="7" t="n">
        <v>0</v>
      </c>
      <c r="K484" s="7" t="n">
        <v>0</v>
      </c>
      <c r="L484" s="7" t="n">
        <v>1</v>
      </c>
      <c r="M484" s="7" t="n">
        <v>0</v>
      </c>
      <c r="N484" s="7" t="n">
        <v>0</v>
      </c>
      <c r="O484" s="7" t="n">
        <v>0</v>
      </c>
      <c r="P484" s="8" t="n">
        <f aca="false">IF(E484=0,0,G484/E484)</f>
        <v>0.166666666666667</v>
      </c>
      <c r="Q484" s="8" t="n">
        <f aca="false">IF(E484+N484=0,0,(G484+N484)/(E484+N484))</f>
        <v>0.166666666666667</v>
      </c>
      <c r="R484" s="8" t="n">
        <f aca="false">IF(E484=0,0,L484/E484)</f>
        <v>0.166666666666667</v>
      </c>
      <c r="S484" s="8" t="n">
        <f aca="false">R484+Q484</f>
        <v>0.333333333333333</v>
      </c>
      <c r="T484" s="8" t="n">
        <f aca="false">R484-P484</f>
        <v>0</v>
      </c>
    </row>
    <row r="485" customFormat="false" ht="14.25" hidden="false" customHeight="true" outlineLevel="0" collapsed="false">
      <c r="A485" s="6" t="n">
        <v>2024</v>
      </c>
      <c r="B485" s="6" t="s">
        <v>166</v>
      </c>
      <c r="C485" s="6" t="s">
        <v>188</v>
      </c>
      <c r="D485" s="7" t="n">
        <v>1</v>
      </c>
      <c r="E485" s="7" t="n">
        <v>2</v>
      </c>
      <c r="F485" s="7" t="n">
        <v>0</v>
      </c>
      <c r="G485" s="7" t="n">
        <v>0</v>
      </c>
      <c r="H485" s="7" t="n">
        <v>0</v>
      </c>
      <c r="I485" s="7" t="n">
        <v>0</v>
      </c>
      <c r="J485" s="7" t="n">
        <v>0</v>
      </c>
      <c r="K485" s="7" t="n">
        <v>0</v>
      </c>
      <c r="L485" s="7" t="n">
        <v>0</v>
      </c>
      <c r="M485" s="7" t="n">
        <v>1</v>
      </c>
      <c r="N485" s="7" t="n">
        <v>1</v>
      </c>
      <c r="O485" s="7" t="n">
        <v>0</v>
      </c>
      <c r="P485" s="8" t="n">
        <f aca="false">IF(E485=0,0,G485/E485)</f>
        <v>0</v>
      </c>
      <c r="Q485" s="8" t="n">
        <f aca="false">IF(E485+N485=0,0,(G485+N485)/(E485+N485))</f>
        <v>0.333333333333333</v>
      </c>
      <c r="R485" s="8" t="n">
        <f aca="false">IF(E485=0,0,L485/E485)</f>
        <v>0</v>
      </c>
      <c r="S485" s="8" t="n">
        <f aca="false">R485+Q485</f>
        <v>0.333333333333333</v>
      </c>
      <c r="T485" s="8" t="n">
        <f aca="false">R485-P485</f>
        <v>0</v>
      </c>
    </row>
    <row r="486" customFormat="false" ht="14.25" hidden="false" customHeight="true" outlineLevel="0" collapsed="false">
      <c r="A486" s="6" t="n">
        <v>2024</v>
      </c>
      <c r="B486" s="6" t="s">
        <v>166</v>
      </c>
      <c r="C486" s="6" t="s">
        <v>181</v>
      </c>
      <c r="D486" s="7" t="n">
        <v>1</v>
      </c>
      <c r="E486" s="7" t="n">
        <v>1</v>
      </c>
      <c r="F486" s="7" t="n">
        <v>0</v>
      </c>
      <c r="G486" s="7" t="n">
        <v>0</v>
      </c>
      <c r="H486" s="7" t="n">
        <v>0</v>
      </c>
      <c r="I486" s="7" t="n">
        <v>0</v>
      </c>
      <c r="J486" s="7" t="n">
        <v>0</v>
      </c>
      <c r="K486" s="7" t="n">
        <v>0</v>
      </c>
      <c r="L486" s="7" t="n">
        <v>0</v>
      </c>
      <c r="M486" s="7" t="n">
        <v>0</v>
      </c>
      <c r="N486" s="7" t="n">
        <v>0</v>
      </c>
      <c r="O486" s="7" t="n">
        <v>0</v>
      </c>
      <c r="P486" s="8" t="n">
        <f aca="false">IF(E486=0,0,G486/E486)</f>
        <v>0</v>
      </c>
      <c r="Q486" s="8" t="n">
        <f aca="false">IF(E486+N486=0,0,(G486+N486)/(E486+N486))</f>
        <v>0</v>
      </c>
      <c r="R486" s="8" t="n">
        <f aca="false">IF(E486=0,0,L486/E486)</f>
        <v>0</v>
      </c>
      <c r="S486" s="8" t="n">
        <f aca="false">R486+Q486</f>
        <v>0</v>
      </c>
      <c r="T486" s="8" t="n">
        <f aca="false">R486-P486</f>
        <v>0</v>
      </c>
    </row>
    <row r="487" customFormat="false" ht="14.25" hidden="false" customHeight="true" outlineLevel="0" collapsed="false">
      <c r="A487" s="6" t="n">
        <v>2024</v>
      </c>
      <c r="B487" s="6" t="s">
        <v>166</v>
      </c>
      <c r="C487" s="6" t="s">
        <v>189</v>
      </c>
      <c r="D487" s="7" t="n">
        <v>2</v>
      </c>
      <c r="E487" s="7" t="n">
        <v>4</v>
      </c>
      <c r="F487" s="7" t="n">
        <v>1</v>
      </c>
      <c r="G487" s="7" t="n">
        <v>1</v>
      </c>
      <c r="H487" s="7" t="n">
        <v>0</v>
      </c>
      <c r="I487" s="7" t="n">
        <v>0</v>
      </c>
      <c r="J487" s="7" t="n">
        <v>0</v>
      </c>
      <c r="K487" s="7" t="n">
        <v>0</v>
      </c>
      <c r="L487" s="7" t="n">
        <v>1</v>
      </c>
      <c r="M487" s="7" t="n">
        <v>0</v>
      </c>
      <c r="N487" s="7" t="n">
        <v>0</v>
      </c>
      <c r="O487" s="7" t="n">
        <v>0</v>
      </c>
      <c r="P487" s="8" t="n">
        <f aca="false">IF(E487=0,0,G487/E487)</f>
        <v>0.25</v>
      </c>
      <c r="Q487" s="8" t="n">
        <f aca="false">IF(E487+N487=0,0,(G487+N487)/(E487+N487))</f>
        <v>0.25</v>
      </c>
      <c r="R487" s="8" t="n">
        <f aca="false">IF(E487=0,0,L487/E487)</f>
        <v>0.25</v>
      </c>
      <c r="S487" s="8" t="n">
        <f aca="false">R487+Q487</f>
        <v>0.5</v>
      </c>
      <c r="T487" s="8" t="n">
        <f aca="false">R487-P487</f>
        <v>0</v>
      </c>
    </row>
    <row r="488" customFormat="false" ht="14.25" hidden="false" customHeight="true" outlineLevel="0" collapsed="false">
      <c r="A488" s="6" t="n">
        <v>2024</v>
      </c>
      <c r="B488" s="6" t="s">
        <v>192</v>
      </c>
      <c r="C488" s="6" t="s">
        <v>195</v>
      </c>
      <c r="D488" s="7" t="n">
        <v>8</v>
      </c>
      <c r="E488" s="7" t="n">
        <v>26</v>
      </c>
      <c r="F488" s="7" t="n">
        <v>5</v>
      </c>
      <c r="G488" s="7" t="n">
        <v>9</v>
      </c>
      <c r="H488" s="7" t="n">
        <v>2</v>
      </c>
      <c r="I488" s="7" t="n">
        <v>0</v>
      </c>
      <c r="J488" s="7" t="n">
        <v>1</v>
      </c>
      <c r="K488" s="7" t="n">
        <v>3</v>
      </c>
      <c r="L488" s="7" t="n">
        <v>14</v>
      </c>
      <c r="M488" s="7" t="n">
        <v>5</v>
      </c>
      <c r="N488" s="7" t="n">
        <v>4</v>
      </c>
      <c r="O488" s="7" t="n">
        <v>0</v>
      </c>
      <c r="P488" s="8" t="n">
        <f aca="false">IF(E488=0,0,G488/E488)</f>
        <v>0.346153846153846</v>
      </c>
      <c r="Q488" s="8" t="n">
        <f aca="false">IF(E488+N488=0,0,(G488+N488)/(E488+N488))</f>
        <v>0.433333333333333</v>
      </c>
      <c r="R488" s="8" t="n">
        <f aca="false">IF(E488=0,0,L488/E488)</f>
        <v>0.538461538461538</v>
      </c>
      <c r="S488" s="8" t="n">
        <f aca="false">R488+Q488</f>
        <v>0.971794871794872</v>
      </c>
      <c r="T488" s="8" t="n">
        <f aca="false">R488-P488</f>
        <v>0.192307692307692</v>
      </c>
    </row>
    <row r="489" customFormat="false" ht="14.25" hidden="false" customHeight="true" outlineLevel="0" collapsed="false">
      <c r="A489" s="6" t="n">
        <v>2024</v>
      </c>
      <c r="B489" s="6" t="s">
        <v>192</v>
      </c>
      <c r="C489" s="6" t="s">
        <v>201</v>
      </c>
      <c r="D489" s="7" t="n">
        <v>8</v>
      </c>
      <c r="E489" s="7" t="n">
        <v>22</v>
      </c>
      <c r="F489" s="7" t="n">
        <v>4</v>
      </c>
      <c r="G489" s="7" t="n">
        <v>8</v>
      </c>
      <c r="H489" s="7" t="n">
        <v>0</v>
      </c>
      <c r="I489" s="7" t="n">
        <v>0</v>
      </c>
      <c r="J489" s="7" t="n">
        <v>0</v>
      </c>
      <c r="K489" s="7" t="n">
        <v>0</v>
      </c>
      <c r="L489" s="7" t="n">
        <v>8</v>
      </c>
      <c r="M489" s="7" t="n">
        <v>2</v>
      </c>
      <c r="N489" s="7" t="n">
        <v>4</v>
      </c>
      <c r="O489" s="7" t="n">
        <v>0</v>
      </c>
      <c r="P489" s="8" t="n">
        <f aca="false">IF(E489=0,0,G489/E489)</f>
        <v>0.363636363636364</v>
      </c>
      <c r="Q489" s="8" t="n">
        <f aca="false">IF(E489+N489=0,0,(G489+N489)/(E489+N489))</f>
        <v>0.461538461538462</v>
      </c>
      <c r="R489" s="8" t="n">
        <f aca="false">IF(E489=0,0,L489/E489)</f>
        <v>0.363636363636364</v>
      </c>
      <c r="S489" s="8" t="n">
        <f aca="false">R489+Q489</f>
        <v>0.825174825174825</v>
      </c>
      <c r="T489" s="8" t="n">
        <f aca="false">R489-P489</f>
        <v>0</v>
      </c>
    </row>
    <row r="490" customFormat="false" ht="14.25" hidden="false" customHeight="true" outlineLevel="0" collapsed="false">
      <c r="A490" s="6" t="n">
        <v>2024</v>
      </c>
      <c r="B490" s="6" t="s">
        <v>192</v>
      </c>
      <c r="C490" s="6" t="s">
        <v>199</v>
      </c>
      <c r="D490" s="7" t="n">
        <v>8</v>
      </c>
      <c r="E490" s="7" t="n">
        <v>24</v>
      </c>
      <c r="F490" s="7" t="n">
        <v>3</v>
      </c>
      <c r="G490" s="7" t="n">
        <v>7</v>
      </c>
      <c r="H490" s="7" t="n">
        <v>4</v>
      </c>
      <c r="I490" s="7" t="n">
        <v>0</v>
      </c>
      <c r="J490" s="7" t="n">
        <v>0</v>
      </c>
      <c r="K490" s="7" t="n">
        <v>4</v>
      </c>
      <c r="L490" s="7" t="n">
        <v>11</v>
      </c>
      <c r="M490" s="7" t="n">
        <v>3</v>
      </c>
      <c r="N490" s="7" t="n">
        <v>1</v>
      </c>
      <c r="O490" s="7" t="n">
        <v>2</v>
      </c>
      <c r="P490" s="8" t="n">
        <f aca="false">IF(E490=0,0,G490/E490)</f>
        <v>0.291666666666667</v>
      </c>
      <c r="Q490" s="8" t="n">
        <f aca="false">IF(E490+N490=0,0,(G490+N490)/(E490+N490))</f>
        <v>0.32</v>
      </c>
      <c r="R490" s="8" t="n">
        <f aca="false">IF(E490=0,0,L490/E490)</f>
        <v>0.458333333333333</v>
      </c>
      <c r="S490" s="8" t="n">
        <f aca="false">R490+Q490</f>
        <v>0.778333333333333</v>
      </c>
      <c r="T490" s="8" t="n">
        <f aca="false">R490-P490</f>
        <v>0.166666666666667</v>
      </c>
    </row>
    <row r="491" customFormat="false" ht="14.25" hidden="false" customHeight="true" outlineLevel="0" collapsed="false">
      <c r="A491" s="6" t="n">
        <v>2024</v>
      </c>
      <c r="B491" s="6" t="s">
        <v>192</v>
      </c>
      <c r="C491" s="6" t="s">
        <v>196</v>
      </c>
      <c r="D491" s="7" t="n">
        <v>7</v>
      </c>
      <c r="E491" s="7" t="n">
        <v>20</v>
      </c>
      <c r="F491" s="7" t="n">
        <v>2</v>
      </c>
      <c r="G491" s="7" t="n">
        <v>6</v>
      </c>
      <c r="H491" s="7" t="n">
        <v>1</v>
      </c>
      <c r="I491" s="7" t="n">
        <v>0</v>
      </c>
      <c r="J491" s="7" t="n">
        <v>1</v>
      </c>
      <c r="K491" s="7" t="n">
        <v>2</v>
      </c>
      <c r="L491" s="7" t="n">
        <v>10</v>
      </c>
      <c r="M491" s="7" t="n">
        <v>3</v>
      </c>
      <c r="N491" s="7" t="n">
        <v>6</v>
      </c>
      <c r="O491" s="7" t="n">
        <v>0</v>
      </c>
      <c r="P491" s="8" t="n">
        <f aca="false">IF(E491=0,0,G491/E491)</f>
        <v>0.3</v>
      </c>
      <c r="Q491" s="8" t="n">
        <f aca="false">IF(E491+N491=0,0,(G491+N491)/(E491+N491))</f>
        <v>0.461538461538462</v>
      </c>
      <c r="R491" s="8" t="n">
        <f aca="false">IF(E491=0,0,L491/E491)</f>
        <v>0.5</v>
      </c>
      <c r="S491" s="8" t="n">
        <f aca="false">R491+Q491</f>
        <v>0.961538461538462</v>
      </c>
      <c r="T491" s="8" t="n">
        <f aca="false">R491-P491</f>
        <v>0.2</v>
      </c>
    </row>
    <row r="492" customFormat="false" ht="14.25" hidden="false" customHeight="true" outlineLevel="0" collapsed="false">
      <c r="A492" s="6" t="n">
        <v>2024</v>
      </c>
      <c r="B492" s="6" t="s">
        <v>192</v>
      </c>
      <c r="C492" s="6" t="s">
        <v>208</v>
      </c>
      <c r="D492" s="7" t="n">
        <v>6</v>
      </c>
      <c r="E492" s="7" t="n">
        <v>18</v>
      </c>
      <c r="F492" s="7" t="n">
        <v>3</v>
      </c>
      <c r="G492" s="7" t="n">
        <v>5</v>
      </c>
      <c r="H492" s="7" t="n">
        <v>1</v>
      </c>
      <c r="I492" s="7" t="n">
        <v>0</v>
      </c>
      <c r="J492" s="7" t="n">
        <v>0</v>
      </c>
      <c r="K492" s="7" t="n">
        <v>1</v>
      </c>
      <c r="L492" s="7" t="n">
        <v>6</v>
      </c>
      <c r="M492" s="7" t="n">
        <v>2</v>
      </c>
      <c r="N492" s="7" t="n">
        <v>0</v>
      </c>
      <c r="O492" s="7" t="n">
        <v>0</v>
      </c>
      <c r="P492" s="8" t="n">
        <f aca="false">IF(E492=0,0,G492/E492)</f>
        <v>0.277777777777778</v>
      </c>
      <c r="Q492" s="8" t="n">
        <f aca="false">IF(E492+N492=0,0,(G492+N492)/(E492+N492))</f>
        <v>0.277777777777778</v>
      </c>
      <c r="R492" s="8" t="n">
        <f aca="false">IF(E492=0,0,L492/E492)</f>
        <v>0.333333333333333</v>
      </c>
      <c r="S492" s="8" t="n">
        <f aca="false">R492+Q492</f>
        <v>0.611111111111111</v>
      </c>
      <c r="T492" s="8" t="n">
        <f aca="false">R492-P492</f>
        <v>0.0555555555555555</v>
      </c>
    </row>
    <row r="493" customFormat="false" ht="14.25" hidden="false" customHeight="true" outlineLevel="0" collapsed="false">
      <c r="A493" s="6" t="n">
        <v>2024</v>
      </c>
      <c r="B493" s="6" t="s">
        <v>192</v>
      </c>
      <c r="C493" s="6" t="s">
        <v>198</v>
      </c>
      <c r="D493" s="7" t="n">
        <v>7</v>
      </c>
      <c r="E493" s="7" t="n">
        <v>20</v>
      </c>
      <c r="F493" s="7" t="n">
        <v>5</v>
      </c>
      <c r="G493" s="7" t="n">
        <v>5</v>
      </c>
      <c r="H493" s="7" t="n">
        <v>1</v>
      </c>
      <c r="I493" s="7" t="n">
        <v>0</v>
      </c>
      <c r="J493" s="7" t="n">
        <v>0</v>
      </c>
      <c r="K493" s="7" t="n">
        <v>1</v>
      </c>
      <c r="L493" s="7" t="n">
        <v>6</v>
      </c>
      <c r="M493" s="7" t="n">
        <v>0</v>
      </c>
      <c r="N493" s="7" t="n">
        <v>4</v>
      </c>
      <c r="O493" s="7" t="n">
        <v>0</v>
      </c>
      <c r="P493" s="8" t="n">
        <f aca="false">IF(E493=0,0,G493/E493)</f>
        <v>0.25</v>
      </c>
      <c r="Q493" s="8" t="n">
        <f aca="false">IF(E493+N493=0,0,(G493+N493)/(E493+N493))</f>
        <v>0.375</v>
      </c>
      <c r="R493" s="8" t="n">
        <f aca="false">IF(E493=0,0,L493/E493)</f>
        <v>0.3</v>
      </c>
      <c r="S493" s="8" t="n">
        <f aca="false">R493+Q493</f>
        <v>0.675</v>
      </c>
      <c r="T493" s="8" t="n">
        <f aca="false">R493-P493</f>
        <v>0.05</v>
      </c>
    </row>
    <row r="494" customFormat="false" ht="14.25" hidden="false" customHeight="true" outlineLevel="0" collapsed="false">
      <c r="A494" s="6" t="n">
        <v>2024</v>
      </c>
      <c r="B494" s="6" t="s">
        <v>192</v>
      </c>
      <c r="C494" s="6" t="s">
        <v>205</v>
      </c>
      <c r="D494" s="7" t="n">
        <v>7</v>
      </c>
      <c r="E494" s="7" t="n">
        <v>21</v>
      </c>
      <c r="F494" s="7" t="n">
        <v>0</v>
      </c>
      <c r="G494" s="7" t="n">
        <v>5</v>
      </c>
      <c r="H494" s="7" t="n">
        <v>0</v>
      </c>
      <c r="I494" s="7" t="n">
        <v>0</v>
      </c>
      <c r="J494" s="7" t="n">
        <v>0</v>
      </c>
      <c r="K494" s="7" t="n">
        <v>0</v>
      </c>
      <c r="L494" s="7" t="n">
        <v>5</v>
      </c>
      <c r="M494" s="7" t="n">
        <v>3</v>
      </c>
      <c r="N494" s="7" t="n">
        <v>1</v>
      </c>
      <c r="O494" s="7" t="n">
        <v>2</v>
      </c>
      <c r="P494" s="8" t="n">
        <f aca="false">IF(E494=0,0,G494/E494)</f>
        <v>0.238095238095238</v>
      </c>
      <c r="Q494" s="8" t="n">
        <f aca="false">IF(E494+N494=0,0,(G494+N494)/(E494+N494))</f>
        <v>0.272727272727273</v>
      </c>
      <c r="R494" s="8" t="n">
        <f aca="false">IF(E494=0,0,L494/E494)</f>
        <v>0.238095238095238</v>
      </c>
      <c r="S494" s="8" t="n">
        <f aca="false">R494+Q494</f>
        <v>0.510822510822511</v>
      </c>
      <c r="T494" s="8" t="n">
        <f aca="false">R494-P494</f>
        <v>0</v>
      </c>
    </row>
    <row r="495" customFormat="false" ht="14.25" hidden="false" customHeight="true" outlineLevel="0" collapsed="false">
      <c r="A495" s="6" t="n">
        <v>2024</v>
      </c>
      <c r="B495" s="6" t="s">
        <v>192</v>
      </c>
      <c r="C495" s="6" t="s">
        <v>193</v>
      </c>
      <c r="D495" s="7" t="n">
        <v>4</v>
      </c>
      <c r="E495" s="7" t="n">
        <v>11</v>
      </c>
      <c r="F495" s="7" t="n">
        <v>1</v>
      </c>
      <c r="G495" s="7" t="n">
        <v>4</v>
      </c>
      <c r="H495" s="7" t="n">
        <v>2</v>
      </c>
      <c r="I495" s="7" t="n">
        <v>0</v>
      </c>
      <c r="J495" s="7" t="n">
        <v>0</v>
      </c>
      <c r="K495" s="7" t="n">
        <v>2</v>
      </c>
      <c r="L495" s="7" t="n">
        <v>6</v>
      </c>
      <c r="M495" s="7" t="n">
        <v>1</v>
      </c>
      <c r="N495" s="7" t="n">
        <v>1</v>
      </c>
      <c r="O495" s="7" t="n">
        <v>1</v>
      </c>
      <c r="P495" s="8" t="n">
        <f aca="false">IF(E495=0,0,G495/E495)</f>
        <v>0.363636363636364</v>
      </c>
      <c r="Q495" s="8" t="n">
        <f aca="false">IF(E495+N495=0,0,(G495+N495)/(E495+N495))</f>
        <v>0.416666666666667</v>
      </c>
      <c r="R495" s="8" t="n">
        <f aca="false">IF(E495=0,0,L495/E495)</f>
        <v>0.545454545454545</v>
      </c>
      <c r="S495" s="8" t="n">
        <f aca="false">R495+Q495</f>
        <v>0.962121212121212</v>
      </c>
      <c r="T495" s="8" t="n">
        <f aca="false">R495-P495</f>
        <v>0.181818181818182</v>
      </c>
    </row>
    <row r="496" customFormat="false" ht="14.25" hidden="false" customHeight="true" outlineLevel="0" collapsed="false">
      <c r="A496" s="6" t="n">
        <v>2024</v>
      </c>
      <c r="B496" s="6" t="s">
        <v>192</v>
      </c>
      <c r="C496" s="6" t="s">
        <v>197</v>
      </c>
      <c r="D496" s="7" t="n">
        <v>4</v>
      </c>
      <c r="E496" s="7" t="n">
        <v>15</v>
      </c>
      <c r="F496" s="7" t="n">
        <v>0</v>
      </c>
      <c r="G496" s="7" t="n">
        <v>4</v>
      </c>
      <c r="H496" s="7" t="n">
        <v>0</v>
      </c>
      <c r="I496" s="7" t="n">
        <v>0</v>
      </c>
      <c r="J496" s="7" t="n">
        <v>0</v>
      </c>
      <c r="K496" s="7" t="n">
        <v>0</v>
      </c>
      <c r="L496" s="7" t="n">
        <v>4</v>
      </c>
      <c r="M496" s="7" t="n">
        <v>2</v>
      </c>
      <c r="N496" s="7" t="n">
        <v>1</v>
      </c>
      <c r="O496" s="7" t="n">
        <v>0</v>
      </c>
      <c r="P496" s="8" t="n">
        <f aca="false">IF(E496=0,0,G496/E496)</f>
        <v>0.266666666666667</v>
      </c>
      <c r="Q496" s="8" t="n">
        <f aca="false">IF(E496+N496=0,0,(G496+N496)/(E496+N496))</f>
        <v>0.3125</v>
      </c>
      <c r="R496" s="8" t="n">
        <f aca="false">IF(E496=0,0,L496/E496)</f>
        <v>0.266666666666667</v>
      </c>
      <c r="S496" s="8" t="n">
        <f aca="false">R496+Q496</f>
        <v>0.579166666666667</v>
      </c>
      <c r="T496" s="8" t="n">
        <f aca="false">R496-P496</f>
        <v>0</v>
      </c>
    </row>
    <row r="497" customFormat="false" ht="14.25" hidden="false" customHeight="true" outlineLevel="0" collapsed="false">
      <c r="A497" s="6" t="n">
        <v>2024</v>
      </c>
      <c r="B497" s="6" t="s">
        <v>192</v>
      </c>
      <c r="C497" s="6" t="s">
        <v>202</v>
      </c>
      <c r="D497" s="7" t="n">
        <v>8</v>
      </c>
      <c r="E497" s="7" t="n">
        <v>22</v>
      </c>
      <c r="F497" s="7" t="n">
        <v>1</v>
      </c>
      <c r="G497" s="7" t="n">
        <v>4</v>
      </c>
      <c r="H497" s="7" t="n">
        <v>0</v>
      </c>
      <c r="I497" s="7" t="n">
        <v>0</v>
      </c>
      <c r="J497" s="7" t="n">
        <v>0</v>
      </c>
      <c r="K497" s="7" t="n">
        <v>0</v>
      </c>
      <c r="L497" s="7" t="n">
        <v>4</v>
      </c>
      <c r="M497" s="7" t="n">
        <v>2</v>
      </c>
      <c r="N497" s="7" t="n">
        <v>0</v>
      </c>
      <c r="O497" s="7" t="n">
        <v>0</v>
      </c>
      <c r="P497" s="8" t="n">
        <f aca="false">IF(E497=0,0,G497/E497)</f>
        <v>0.181818181818182</v>
      </c>
      <c r="Q497" s="8" t="n">
        <f aca="false">IF(E497+N497=0,0,(G497+N497)/(E497+N497))</f>
        <v>0.181818181818182</v>
      </c>
      <c r="R497" s="8" t="n">
        <f aca="false">IF(E497=0,0,L497/E497)</f>
        <v>0.181818181818182</v>
      </c>
      <c r="S497" s="8" t="n">
        <f aca="false">R497+Q497</f>
        <v>0.363636363636364</v>
      </c>
      <c r="T497" s="8" t="n">
        <f aca="false">R497-P497</f>
        <v>0</v>
      </c>
    </row>
    <row r="498" customFormat="false" ht="14.25" hidden="false" customHeight="true" outlineLevel="0" collapsed="false">
      <c r="A498" s="6" t="n">
        <v>2024</v>
      </c>
      <c r="B498" s="6" t="s">
        <v>192</v>
      </c>
      <c r="C498" s="6" t="s">
        <v>204</v>
      </c>
      <c r="D498" s="7" t="n">
        <v>3</v>
      </c>
      <c r="E498" s="7" t="n">
        <v>12</v>
      </c>
      <c r="F498" s="7" t="n">
        <v>1</v>
      </c>
      <c r="G498" s="7" t="n">
        <v>2</v>
      </c>
      <c r="H498" s="7" t="n">
        <v>0</v>
      </c>
      <c r="I498" s="7" t="n">
        <v>0</v>
      </c>
      <c r="J498" s="7" t="n">
        <v>0</v>
      </c>
      <c r="K498" s="7" t="n">
        <v>0</v>
      </c>
      <c r="L498" s="7" t="n">
        <v>2</v>
      </c>
      <c r="M498" s="7" t="n">
        <v>1</v>
      </c>
      <c r="N498" s="7" t="n">
        <v>1</v>
      </c>
      <c r="O498" s="7" t="n">
        <v>0</v>
      </c>
      <c r="P498" s="8" t="n">
        <f aca="false">IF(E498=0,0,G498/E498)</f>
        <v>0.166666666666667</v>
      </c>
      <c r="Q498" s="8" t="n">
        <f aca="false">IF(E498+N498=0,0,(G498+N498)/(E498+N498))</f>
        <v>0.230769230769231</v>
      </c>
      <c r="R498" s="8" t="n">
        <f aca="false">IF(E498=0,0,L498/E498)</f>
        <v>0.166666666666667</v>
      </c>
      <c r="S498" s="8" t="n">
        <f aca="false">R498+Q498</f>
        <v>0.397435897435897</v>
      </c>
      <c r="T498" s="8" t="n">
        <f aca="false">R498-P498</f>
        <v>0</v>
      </c>
    </row>
    <row r="499" customFormat="false" ht="14.25" hidden="false" customHeight="true" outlineLevel="0" collapsed="false">
      <c r="A499" s="6" t="n">
        <v>2024</v>
      </c>
      <c r="B499" s="6" t="s">
        <v>192</v>
      </c>
      <c r="C499" s="6" t="s">
        <v>307</v>
      </c>
      <c r="D499" s="7" t="n">
        <v>1</v>
      </c>
      <c r="E499" s="7" t="n">
        <v>4</v>
      </c>
      <c r="F499" s="7" t="n">
        <v>1</v>
      </c>
      <c r="G499" s="7" t="n">
        <v>2</v>
      </c>
      <c r="H499" s="7" t="n">
        <v>0</v>
      </c>
      <c r="I499" s="7" t="n">
        <v>0</v>
      </c>
      <c r="J499" s="7" t="n">
        <v>0</v>
      </c>
      <c r="K499" s="7" t="n">
        <v>0</v>
      </c>
      <c r="L499" s="7" t="n">
        <v>2</v>
      </c>
      <c r="M499" s="7" t="n">
        <v>1</v>
      </c>
      <c r="N499" s="7" t="n">
        <v>0</v>
      </c>
      <c r="O499" s="7" t="n">
        <v>0</v>
      </c>
      <c r="P499" s="8" t="n">
        <f aca="false">IF(E499=0,0,G499/E499)</f>
        <v>0.5</v>
      </c>
      <c r="Q499" s="8" t="n">
        <f aca="false">IF(E499+N499=0,0,(G499+N499)/(E499+N499))</f>
        <v>0.5</v>
      </c>
      <c r="R499" s="8" t="n">
        <f aca="false">IF(E499=0,0,L499/E499)</f>
        <v>0.5</v>
      </c>
      <c r="S499" s="8" t="n">
        <f aca="false">R499+Q499</f>
        <v>1</v>
      </c>
      <c r="T499" s="8" t="n">
        <f aca="false">R499-P499</f>
        <v>0</v>
      </c>
    </row>
    <row r="500" customFormat="false" ht="14.25" hidden="false" customHeight="true" outlineLevel="0" collapsed="false">
      <c r="A500" s="6" t="n">
        <v>2024</v>
      </c>
      <c r="B500" s="6" t="s">
        <v>192</v>
      </c>
      <c r="C500" s="6" t="s">
        <v>308</v>
      </c>
      <c r="D500" s="7" t="n">
        <v>2</v>
      </c>
      <c r="E500" s="7" t="n">
        <v>6</v>
      </c>
      <c r="F500" s="7" t="n">
        <v>2</v>
      </c>
      <c r="G500" s="7" t="n">
        <v>2</v>
      </c>
      <c r="H500" s="7" t="n">
        <v>0</v>
      </c>
      <c r="I500" s="7" t="n">
        <v>0</v>
      </c>
      <c r="J500" s="7" t="n">
        <v>0</v>
      </c>
      <c r="K500" s="7" t="n">
        <v>0</v>
      </c>
      <c r="L500" s="7" t="n">
        <v>2</v>
      </c>
      <c r="M500" s="7" t="n">
        <v>1</v>
      </c>
      <c r="N500" s="7" t="n">
        <v>0</v>
      </c>
      <c r="O500" s="7" t="n">
        <v>0</v>
      </c>
      <c r="P500" s="8" t="n">
        <f aca="false">IF(E500=0,0,G500/E500)</f>
        <v>0.333333333333333</v>
      </c>
      <c r="Q500" s="8" t="n">
        <f aca="false">IF(E500+N500=0,0,(G500+N500)/(E500+N500))</f>
        <v>0.333333333333333</v>
      </c>
      <c r="R500" s="8" t="n">
        <f aca="false">IF(E500=0,0,L500/E500)</f>
        <v>0.333333333333333</v>
      </c>
      <c r="S500" s="8" t="n">
        <f aca="false">R500+Q500</f>
        <v>0.666666666666667</v>
      </c>
      <c r="T500" s="8" t="n">
        <f aca="false">R500-P500</f>
        <v>0</v>
      </c>
    </row>
    <row r="501" customFormat="false" ht="14.25" hidden="false" customHeight="true" outlineLevel="0" collapsed="false">
      <c r="A501" s="6" t="n">
        <v>2024</v>
      </c>
      <c r="B501" s="6" t="s">
        <v>192</v>
      </c>
      <c r="C501" s="6" t="s">
        <v>207</v>
      </c>
      <c r="D501" s="7" t="n">
        <v>6</v>
      </c>
      <c r="E501" s="7" t="n">
        <v>15</v>
      </c>
      <c r="F501" s="7" t="n">
        <v>0</v>
      </c>
      <c r="G501" s="7" t="n">
        <v>1</v>
      </c>
      <c r="H501" s="7" t="n">
        <v>0</v>
      </c>
      <c r="I501" s="7" t="n">
        <v>0</v>
      </c>
      <c r="J501" s="7" t="n">
        <v>0</v>
      </c>
      <c r="K501" s="7" t="n">
        <v>0</v>
      </c>
      <c r="L501" s="7" t="n">
        <v>1</v>
      </c>
      <c r="M501" s="7" t="n">
        <v>1</v>
      </c>
      <c r="N501" s="7" t="n">
        <v>3</v>
      </c>
      <c r="O501" s="7" t="n">
        <v>1</v>
      </c>
      <c r="P501" s="8" t="n">
        <f aca="false">IF(E501=0,0,G501/E501)</f>
        <v>0.0666666666666667</v>
      </c>
      <c r="Q501" s="8" t="n">
        <f aca="false">IF(E501+N501=0,0,(G501+N501)/(E501+N501))</f>
        <v>0.222222222222222</v>
      </c>
      <c r="R501" s="8" t="n">
        <f aca="false">IF(E501=0,0,L501/E501)</f>
        <v>0.0666666666666667</v>
      </c>
      <c r="S501" s="8" t="n">
        <f aca="false">R501+Q501</f>
        <v>0.288888888888889</v>
      </c>
      <c r="T501" s="8" t="n">
        <f aca="false">R501-P501</f>
        <v>0</v>
      </c>
    </row>
    <row r="502" customFormat="false" ht="14.25" hidden="false" customHeight="true" outlineLevel="0" collapsed="false">
      <c r="A502" s="6" t="n">
        <v>2024</v>
      </c>
      <c r="B502" s="6" t="s">
        <v>192</v>
      </c>
      <c r="C502" s="6" t="s">
        <v>309</v>
      </c>
      <c r="D502" s="7" t="n">
        <v>1</v>
      </c>
      <c r="E502" s="7" t="n">
        <v>3</v>
      </c>
      <c r="F502" s="7" t="n">
        <v>1</v>
      </c>
      <c r="G502" s="7" t="n">
        <v>1</v>
      </c>
      <c r="H502" s="7" t="n">
        <v>0</v>
      </c>
      <c r="I502" s="7" t="n">
        <v>0</v>
      </c>
      <c r="J502" s="7" t="n">
        <v>0</v>
      </c>
      <c r="K502" s="7" t="n">
        <v>0</v>
      </c>
      <c r="L502" s="7" t="n">
        <v>1</v>
      </c>
      <c r="M502" s="7" t="n">
        <v>1</v>
      </c>
      <c r="N502" s="7" t="n">
        <v>0</v>
      </c>
      <c r="O502" s="7" t="n">
        <v>0</v>
      </c>
      <c r="P502" s="8" t="n">
        <f aca="false">IF(E502=0,0,G502/E502)</f>
        <v>0.333333333333333</v>
      </c>
      <c r="Q502" s="8" t="n">
        <f aca="false">IF(E502+N502=0,0,(G502+N502)/(E502+N502))</f>
        <v>0.333333333333333</v>
      </c>
      <c r="R502" s="8" t="n">
        <f aca="false">IF(E502=0,0,L502/E502)</f>
        <v>0.333333333333333</v>
      </c>
      <c r="S502" s="8" t="n">
        <f aca="false">R502+Q502</f>
        <v>0.666666666666667</v>
      </c>
      <c r="T502" s="8" t="n">
        <f aca="false">R502-P502</f>
        <v>0</v>
      </c>
    </row>
    <row r="503" customFormat="false" ht="14.25" hidden="false" customHeight="true" outlineLevel="0" collapsed="false">
      <c r="A503" s="6" t="n">
        <v>2024</v>
      </c>
      <c r="B503" s="6" t="s">
        <v>192</v>
      </c>
      <c r="C503" s="6" t="s">
        <v>310</v>
      </c>
      <c r="D503" s="7" t="n">
        <v>1</v>
      </c>
      <c r="E503" s="7" t="n">
        <v>3</v>
      </c>
      <c r="F503" s="7" t="n">
        <v>0</v>
      </c>
      <c r="G503" s="7" t="n">
        <v>0</v>
      </c>
      <c r="H503" s="7" t="n">
        <v>0</v>
      </c>
      <c r="I503" s="7" t="n">
        <v>0</v>
      </c>
      <c r="J503" s="7" t="n">
        <v>0</v>
      </c>
      <c r="K503" s="7" t="n">
        <v>0</v>
      </c>
      <c r="L503" s="7" t="n">
        <v>0</v>
      </c>
      <c r="M503" s="7" t="n">
        <v>0</v>
      </c>
      <c r="N503" s="7" t="n">
        <v>0</v>
      </c>
      <c r="O503" s="7" t="n">
        <v>0</v>
      </c>
      <c r="P503" s="8" t="n">
        <f aca="false">IF(E503=0,0,G503/E503)</f>
        <v>0</v>
      </c>
      <c r="Q503" s="8" t="n">
        <f aca="false">IF(E503+N503=0,0,(G503+N503)/(E503+N503))</f>
        <v>0</v>
      </c>
      <c r="R503" s="8" t="n">
        <f aca="false">IF(E503=0,0,L503/E503)</f>
        <v>0</v>
      </c>
      <c r="S503" s="8" t="n">
        <f aca="false">R503+Q503</f>
        <v>0</v>
      </c>
      <c r="T503" s="8" t="n">
        <f aca="false">R503-P503</f>
        <v>0</v>
      </c>
    </row>
    <row r="504" customFormat="false" ht="14.25" hidden="false" customHeight="true" outlineLevel="0" collapsed="false">
      <c r="A504" s="6" t="n">
        <v>2024</v>
      </c>
      <c r="B504" s="6" t="s">
        <v>192</v>
      </c>
      <c r="C504" s="6" t="s">
        <v>311</v>
      </c>
      <c r="D504" s="7" t="n">
        <v>1</v>
      </c>
      <c r="E504" s="7" t="n">
        <v>3</v>
      </c>
      <c r="F504" s="7" t="n">
        <v>0</v>
      </c>
      <c r="G504" s="7" t="n">
        <v>0</v>
      </c>
      <c r="H504" s="7" t="n">
        <v>0</v>
      </c>
      <c r="I504" s="7" t="n">
        <v>0</v>
      </c>
      <c r="J504" s="7" t="n">
        <v>0</v>
      </c>
      <c r="K504" s="7" t="n">
        <v>0</v>
      </c>
      <c r="L504" s="7" t="n">
        <v>0</v>
      </c>
      <c r="M504" s="7" t="n">
        <v>0</v>
      </c>
      <c r="N504" s="7" t="n">
        <v>0</v>
      </c>
      <c r="O504" s="7" t="n">
        <v>0</v>
      </c>
      <c r="P504" s="8" t="n">
        <f aca="false">IF(E504=0,0,G504/E504)</f>
        <v>0</v>
      </c>
      <c r="Q504" s="8" t="n">
        <f aca="false">IF(E504+N504=0,0,(G504+N504)/(E504+N504))</f>
        <v>0</v>
      </c>
      <c r="R504" s="8" t="n">
        <f aca="false">IF(E504=0,0,L504/E504)</f>
        <v>0</v>
      </c>
      <c r="S504" s="8" t="n">
        <f aca="false">R504+Q504</f>
        <v>0</v>
      </c>
      <c r="T504" s="8" t="n">
        <f aca="false">R504-P504</f>
        <v>0</v>
      </c>
    </row>
    <row r="505" customFormat="false" ht="14.25" hidden="false" customHeight="true" outlineLevel="0" collapsed="false">
      <c r="A505" s="6" t="n">
        <v>2024</v>
      </c>
      <c r="B505" s="6" t="s">
        <v>192</v>
      </c>
      <c r="C505" s="6" t="s">
        <v>312</v>
      </c>
      <c r="D505" s="7" t="n">
        <v>1</v>
      </c>
      <c r="E505" s="7" t="n">
        <v>2</v>
      </c>
      <c r="F505" s="7" t="n">
        <v>0</v>
      </c>
      <c r="G505" s="7" t="n">
        <v>0</v>
      </c>
      <c r="H505" s="7" t="n">
        <v>0</v>
      </c>
      <c r="I505" s="7" t="n">
        <v>0</v>
      </c>
      <c r="J505" s="7" t="n">
        <v>0</v>
      </c>
      <c r="K505" s="7" t="n">
        <v>0</v>
      </c>
      <c r="L505" s="7" t="n">
        <v>0</v>
      </c>
      <c r="M505" s="7" t="n">
        <v>0</v>
      </c>
      <c r="N505" s="7" t="n">
        <v>0</v>
      </c>
      <c r="O505" s="7" t="n">
        <v>0</v>
      </c>
      <c r="P505" s="8" t="n">
        <f aca="false">IF(E505=0,0,G505/E505)</f>
        <v>0</v>
      </c>
      <c r="Q505" s="8" t="n">
        <f aca="false">IF(E505+N505=0,0,(G505+N505)/(E505+N505))</f>
        <v>0</v>
      </c>
      <c r="R505" s="8" t="n">
        <f aca="false">IF(E505=0,0,L505/E505)</f>
        <v>0</v>
      </c>
      <c r="S505" s="8" t="n">
        <f aca="false">R505+Q505</f>
        <v>0</v>
      </c>
      <c r="T505" s="8" t="n">
        <f aca="false">R505-P505</f>
        <v>0</v>
      </c>
    </row>
    <row r="506" customFormat="false" ht="14.25" hidden="false" customHeight="true" outlineLevel="0" collapsed="false">
      <c r="A506" s="6" t="n">
        <v>2024</v>
      </c>
      <c r="B506" s="6" t="s">
        <v>192</v>
      </c>
      <c r="C506" s="6" t="s">
        <v>277</v>
      </c>
      <c r="D506" s="7" t="n">
        <v>1</v>
      </c>
      <c r="E506" s="7" t="n">
        <v>1</v>
      </c>
      <c r="F506" s="7" t="n">
        <v>0</v>
      </c>
      <c r="G506" s="7" t="n">
        <v>0</v>
      </c>
      <c r="H506" s="7" t="n">
        <v>0</v>
      </c>
      <c r="I506" s="7" t="n">
        <v>0</v>
      </c>
      <c r="J506" s="7" t="n">
        <v>0</v>
      </c>
      <c r="K506" s="7" t="n">
        <v>0</v>
      </c>
      <c r="L506" s="7" t="n">
        <v>0</v>
      </c>
      <c r="M506" s="7" t="n">
        <v>0</v>
      </c>
      <c r="N506" s="7" t="n">
        <v>0</v>
      </c>
      <c r="O506" s="7" t="n">
        <v>0</v>
      </c>
      <c r="P506" s="8" t="n">
        <f aca="false">IF(E506=0,0,G506/E506)</f>
        <v>0</v>
      </c>
      <c r="Q506" s="8" t="n">
        <f aca="false">IF(E506+N506=0,0,(G506+N506)/(E506+N506))</f>
        <v>0</v>
      </c>
      <c r="R506" s="8" t="n">
        <f aca="false">IF(E506=0,0,L506/E506)</f>
        <v>0</v>
      </c>
      <c r="S506" s="8" t="n">
        <f aca="false">R506+Q506</f>
        <v>0</v>
      </c>
      <c r="T506" s="8" t="n">
        <f aca="false">R506-P506</f>
        <v>0</v>
      </c>
    </row>
    <row r="507" customFormat="false" ht="14.25" hidden="false" customHeight="true" outlineLevel="0" collapsed="false">
      <c r="A507" s="6" t="n">
        <v>2024</v>
      </c>
      <c r="B507" s="6" t="s">
        <v>212</v>
      </c>
      <c r="C507" s="6" t="s">
        <v>232</v>
      </c>
      <c r="D507" s="7" t="n">
        <v>5</v>
      </c>
      <c r="E507" s="7" t="n">
        <v>14</v>
      </c>
      <c r="F507" s="7" t="n">
        <v>5</v>
      </c>
      <c r="G507" s="7" t="n">
        <v>8</v>
      </c>
      <c r="H507" s="7" t="n">
        <v>1</v>
      </c>
      <c r="I507" s="7" t="n">
        <v>0</v>
      </c>
      <c r="J507" s="7" t="n">
        <v>2</v>
      </c>
      <c r="K507" s="7" t="n">
        <v>3</v>
      </c>
      <c r="L507" s="7" t="n">
        <v>15</v>
      </c>
      <c r="M507" s="7" t="n">
        <v>4</v>
      </c>
      <c r="N507" s="7" t="n">
        <v>5</v>
      </c>
      <c r="O507" s="7" t="n">
        <v>0</v>
      </c>
      <c r="P507" s="8" t="n">
        <f aca="false">IF(E507=0,0,G507/E507)</f>
        <v>0.571428571428571</v>
      </c>
      <c r="Q507" s="8" t="n">
        <f aca="false">IF(E507+N507=0,0,(G507+N507)/(E507+N507))</f>
        <v>0.68421052631579</v>
      </c>
      <c r="R507" s="8" t="n">
        <f aca="false">IF(E507=0,0,L507/E507)</f>
        <v>1.07142857142857</v>
      </c>
      <c r="S507" s="8" t="n">
        <f aca="false">R507+Q507</f>
        <v>1.75563909774436</v>
      </c>
      <c r="T507" s="8" t="n">
        <f aca="false">R507-P507</f>
        <v>0.5</v>
      </c>
    </row>
    <row r="508" customFormat="false" ht="14.25" hidden="false" customHeight="true" outlineLevel="0" collapsed="false">
      <c r="A508" s="6" t="n">
        <v>2024</v>
      </c>
      <c r="B508" s="6" t="s">
        <v>212</v>
      </c>
      <c r="C508" s="6" t="s">
        <v>313</v>
      </c>
      <c r="D508" s="7" t="n">
        <v>4</v>
      </c>
      <c r="E508" s="7" t="n">
        <v>15</v>
      </c>
      <c r="F508" s="7" t="n">
        <v>5</v>
      </c>
      <c r="G508" s="7" t="n">
        <v>8</v>
      </c>
      <c r="H508" s="7" t="n">
        <v>4</v>
      </c>
      <c r="I508" s="7" t="n">
        <v>0</v>
      </c>
      <c r="J508" s="7" t="n">
        <v>0</v>
      </c>
      <c r="K508" s="7" t="n">
        <v>4</v>
      </c>
      <c r="L508" s="7" t="n">
        <v>12</v>
      </c>
      <c r="M508" s="7" t="n">
        <v>6</v>
      </c>
      <c r="N508" s="7" t="n">
        <v>0</v>
      </c>
      <c r="O508" s="7" t="n">
        <v>0</v>
      </c>
      <c r="P508" s="8" t="n">
        <f aca="false">IF(E508=0,0,G508/E508)</f>
        <v>0.533333333333333</v>
      </c>
      <c r="Q508" s="8" t="n">
        <f aca="false">IF(E508+N508=0,0,(G508+N508)/(E508+N508))</f>
        <v>0.533333333333333</v>
      </c>
      <c r="R508" s="8" t="n">
        <f aca="false">IF(E508=0,0,L508/E508)</f>
        <v>0.8</v>
      </c>
      <c r="S508" s="8" t="n">
        <f aca="false">R508+Q508</f>
        <v>1.33333333333333</v>
      </c>
      <c r="T508" s="8" t="n">
        <f aca="false">R508-P508</f>
        <v>0.266666666666667</v>
      </c>
    </row>
    <row r="509" customFormat="false" ht="14.25" hidden="false" customHeight="true" outlineLevel="0" collapsed="false">
      <c r="A509" s="6" t="n">
        <v>2024</v>
      </c>
      <c r="B509" s="6" t="s">
        <v>212</v>
      </c>
      <c r="C509" s="6" t="s">
        <v>216</v>
      </c>
      <c r="D509" s="7" t="n">
        <v>6</v>
      </c>
      <c r="E509" s="7" t="n">
        <v>20</v>
      </c>
      <c r="F509" s="7" t="n">
        <v>2</v>
      </c>
      <c r="G509" s="7" t="n">
        <v>7</v>
      </c>
      <c r="H509" s="7" t="n">
        <v>1</v>
      </c>
      <c r="I509" s="7" t="n">
        <v>0</v>
      </c>
      <c r="J509" s="7" t="n">
        <v>1</v>
      </c>
      <c r="K509" s="7" t="n">
        <v>2</v>
      </c>
      <c r="L509" s="7" t="n">
        <v>11</v>
      </c>
      <c r="M509" s="7" t="n">
        <v>3</v>
      </c>
      <c r="N509" s="7" t="n">
        <v>0</v>
      </c>
      <c r="O509" s="7" t="n">
        <v>1</v>
      </c>
      <c r="P509" s="8" t="n">
        <f aca="false">IF(E509=0,0,G509/E509)</f>
        <v>0.35</v>
      </c>
      <c r="Q509" s="8" t="n">
        <f aca="false">IF(E509+N509=0,0,(G509+N509)/(E509+N509))</f>
        <v>0.35</v>
      </c>
      <c r="R509" s="8" t="n">
        <f aca="false">IF(E509=0,0,L509/E509)</f>
        <v>0.55</v>
      </c>
      <c r="S509" s="8" t="n">
        <f aca="false">R509+Q509</f>
        <v>0.9</v>
      </c>
      <c r="T509" s="8" t="n">
        <f aca="false">R509-P509</f>
        <v>0.2</v>
      </c>
    </row>
    <row r="510" customFormat="false" ht="14.25" hidden="false" customHeight="true" outlineLevel="0" collapsed="false">
      <c r="A510" s="6" t="n">
        <v>2024</v>
      </c>
      <c r="B510" s="6" t="s">
        <v>212</v>
      </c>
      <c r="C510" s="6" t="s">
        <v>85</v>
      </c>
      <c r="D510" s="7" t="n">
        <v>6</v>
      </c>
      <c r="E510" s="7" t="n">
        <v>22</v>
      </c>
      <c r="F510" s="7" t="n">
        <v>7</v>
      </c>
      <c r="G510" s="7" t="n">
        <v>6</v>
      </c>
      <c r="H510" s="7" t="n">
        <v>1</v>
      </c>
      <c r="I510" s="7" t="n">
        <v>0</v>
      </c>
      <c r="J510" s="7" t="n">
        <v>0</v>
      </c>
      <c r="K510" s="7" t="n">
        <v>1</v>
      </c>
      <c r="L510" s="7" t="n">
        <v>7</v>
      </c>
      <c r="M510" s="7" t="n">
        <v>3</v>
      </c>
      <c r="N510" s="7" t="n">
        <v>0</v>
      </c>
      <c r="O510" s="7" t="n">
        <v>0</v>
      </c>
      <c r="P510" s="8" t="n">
        <f aca="false">IF(E510=0,0,G510/E510)</f>
        <v>0.272727272727273</v>
      </c>
      <c r="Q510" s="8" t="n">
        <f aca="false">IF(E510+N510=0,0,(G510+N510)/(E510+N510))</f>
        <v>0.272727272727273</v>
      </c>
      <c r="R510" s="8" t="n">
        <f aca="false">IF(E510=0,0,L510/E510)</f>
        <v>0.318181818181818</v>
      </c>
      <c r="S510" s="8" t="n">
        <f aca="false">R510+Q510</f>
        <v>0.590909090909091</v>
      </c>
      <c r="T510" s="8" t="n">
        <f aca="false">R510-P510</f>
        <v>0.0454545454545455</v>
      </c>
    </row>
    <row r="511" customFormat="false" ht="14.25" hidden="false" customHeight="true" outlineLevel="0" collapsed="false">
      <c r="A511" s="6" t="n">
        <v>2024</v>
      </c>
      <c r="B511" s="6" t="s">
        <v>212</v>
      </c>
      <c r="C511" s="6" t="s">
        <v>219</v>
      </c>
      <c r="D511" s="7" t="n">
        <v>6</v>
      </c>
      <c r="E511" s="7" t="n">
        <v>17</v>
      </c>
      <c r="F511" s="7" t="n">
        <v>1</v>
      </c>
      <c r="G511" s="7" t="n">
        <v>5</v>
      </c>
      <c r="H511" s="7" t="n">
        <v>1</v>
      </c>
      <c r="I511" s="7" t="n">
        <v>0</v>
      </c>
      <c r="J511" s="7" t="n">
        <v>0</v>
      </c>
      <c r="K511" s="7" t="n">
        <v>1</v>
      </c>
      <c r="L511" s="7" t="n">
        <v>6</v>
      </c>
      <c r="M511" s="7" t="n">
        <v>2</v>
      </c>
      <c r="N511" s="7" t="n">
        <v>2</v>
      </c>
      <c r="O511" s="7" t="n">
        <v>2</v>
      </c>
      <c r="P511" s="8" t="n">
        <f aca="false">IF(E511=0,0,G511/E511)</f>
        <v>0.294117647058824</v>
      </c>
      <c r="Q511" s="8" t="n">
        <f aca="false">IF(E511+N511=0,0,(G511+N511)/(E511+N511))</f>
        <v>0.368421052631579</v>
      </c>
      <c r="R511" s="8" t="n">
        <f aca="false">IF(E511=0,0,L511/E511)</f>
        <v>0.352941176470588</v>
      </c>
      <c r="S511" s="8" t="n">
        <f aca="false">R511+Q511</f>
        <v>0.721362229102167</v>
      </c>
      <c r="T511" s="8" t="n">
        <f aca="false">R511-P511</f>
        <v>0.0588235294117647</v>
      </c>
    </row>
    <row r="512" customFormat="false" ht="14.25" hidden="false" customHeight="true" outlineLevel="0" collapsed="false">
      <c r="A512" s="6" t="n">
        <v>2024</v>
      </c>
      <c r="B512" s="6" t="s">
        <v>212</v>
      </c>
      <c r="C512" s="6" t="s">
        <v>225</v>
      </c>
      <c r="D512" s="7" t="n">
        <v>6</v>
      </c>
      <c r="E512" s="7" t="n">
        <v>19</v>
      </c>
      <c r="F512" s="7" t="n">
        <v>2</v>
      </c>
      <c r="G512" s="7" t="n">
        <v>5</v>
      </c>
      <c r="H512" s="7" t="n">
        <v>0</v>
      </c>
      <c r="I512" s="7" t="n">
        <v>0</v>
      </c>
      <c r="J512" s="7" t="n">
        <v>0</v>
      </c>
      <c r="K512" s="7" t="n">
        <v>0</v>
      </c>
      <c r="L512" s="7" t="n">
        <v>5</v>
      </c>
      <c r="M512" s="7" t="n">
        <v>1</v>
      </c>
      <c r="N512" s="7" t="n">
        <v>0</v>
      </c>
      <c r="O512" s="7" t="n">
        <v>1</v>
      </c>
      <c r="P512" s="8" t="n">
        <f aca="false">IF(E512=0,0,G512/E512)</f>
        <v>0.263157894736842</v>
      </c>
      <c r="Q512" s="8" t="n">
        <f aca="false">IF(E512+N512=0,0,(G512+N512)/(E512+N512))</f>
        <v>0.263157894736842</v>
      </c>
      <c r="R512" s="8" t="n">
        <f aca="false">IF(E512=0,0,L512/E512)</f>
        <v>0.263157894736842</v>
      </c>
      <c r="S512" s="8" t="n">
        <f aca="false">R512+Q512</f>
        <v>0.526315789473684</v>
      </c>
      <c r="T512" s="8" t="n">
        <f aca="false">R512-P512</f>
        <v>0</v>
      </c>
    </row>
    <row r="513" customFormat="false" ht="14.25" hidden="false" customHeight="true" outlineLevel="0" collapsed="false">
      <c r="A513" s="6" t="n">
        <v>2024</v>
      </c>
      <c r="B513" s="6" t="s">
        <v>212</v>
      </c>
      <c r="C513" s="6" t="s">
        <v>214</v>
      </c>
      <c r="D513" s="7" t="n">
        <v>4</v>
      </c>
      <c r="E513" s="7" t="n">
        <v>12</v>
      </c>
      <c r="F513" s="7" t="n">
        <v>4</v>
      </c>
      <c r="G513" s="7" t="n">
        <v>4</v>
      </c>
      <c r="H513" s="7" t="n">
        <v>3</v>
      </c>
      <c r="I513" s="7" t="n">
        <v>0</v>
      </c>
      <c r="J513" s="7" t="n">
        <v>0</v>
      </c>
      <c r="K513" s="7" t="n">
        <v>3</v>
      </c>
      <c r="L513" s="7" t="n">
        <v>7</v>
      </c>
      <c r="M513" s="7" t="n">
        <v>2</v>
      </c>
      <c r="N513" s="7" t="n">
        <v>1</v>
      </c>
      <c r="O513" s="7" t="n">
        <v>0</v>
      </c>
      <c r="P513" s="8" t="n">
        <f aca="false">IF(E513=0,0,G513/E513)</f>
        <v>0.333333333333333</v>
      </c>
      <c r="Q513" s="8" t="n">
        <f aca="false">IF(E513+N513=0,0,(G513+N513)/(E513+N513))</f>
        <v>0.384615384615385</v>
      </c>
      <c r="R513" s="8" t="n">
        <f aca="false">IF(E513=0,0,L513/E513)</f>
        <v>0.583333333333333</v>
      </c>
      <c r="S513" s="8" t="n">
        <f aca="false">R513+Q513</f>
        <v>0.967948717948718</v>
      </c>
      <c r="T513" s="8" t="n">
        <f aca="false">R513-P513</f>
        <v>0.25</v>
      </c>
    </row>
    <row r="514" customFormat="false" ht="14.25" hidden="false" customHeight="true" outlineLevel="0" collapsed="false">
      <c r="A514" s="6" t="n">
        <v>2024</v>
      </c>
      <c r="B514" s="6" t="s">
        <v>212</v>
      </c>
      <c r="C514" s="6" t="s">
        <v>213</v>
      </c>
      <c r="D514" s="7" t="n">
        <v>6</v>
      </c>
      <c r="E514" s="7" t="n">
        <v>18</v>
      </c>
      <c r="F514" s="7" t="n">
        <v>5</v>
      </c>
      <c r="G514" s="7" t="n">
        <v>3</v>
      </c>
      <c r="H514" s="7" t="n">
        <v>1</v>
      </c>
      <c r="I514" s="7" t="n">
        <v>0</v>
      </c>
      <c r="J514" s="7" t="n">
        <v>0</v>
      </c>
      <c r="K514" s="7" t="n">
        <v>1</v>
      </c>
      <c r="L514" s="7" t="n">
        <v>4</v>
      </c>
      <c r="M514" s="7" t="n">
        <v>4</v>
      </c>
      <c r="N514" s="7" t="n">
        <v>2</v>
      </c>
      <c r="O514" s="7" t="n">
        <v>3</v>
      </c>
      <c r="P514" s="8" t="n">
        <f aca="false">IF(E514=0,0,G514/E514)</f>
        <v>0.166666666666667</v>
      </c>
      <c r="Q514" s="8" t="n">
        <f aca="false">IF(E514+N514=0,0,(G514+N514)/(E514+N514))</f>
        <v>0.25</v>
      </c>
      <c r="R514" s="8" t="n">
        <f aca="false">IF(E514=0,0,L514/E514)</f>
        <v>0.222222222222222</v>
      </c>
      <c r="S514" s="8" t="n">
        <f aca="false">R514+Q514</f>
        <v>0.472222222222222</v>
      </c>
      <c r="T514" s="8" t="n">
        <f aca="false">R514-P514</f>
        <v>0.0555555555555556</v>
      </c>
    </row>
    <row r="515" customFormat="false" ht="14.25" hidden="false" customHeight="true" outlineLevel="0" collapsed="false">
      <c r="A515" s="6" t="n">
        <v>2024</v>
      </c>
      <c r="B515" s="6" t="s">
        <v>212</v>
      </c>
      <c r="C515" s="6" t="s">
        <v>215</v>
      </c>
      <c r="D515" s="7" t="n">
        <v>4</v>
      </c>
      <c r="E515" s="7" t="n">
        <v>12</v>
      </c>
      <c r="F515" s="7" t="n">
        <v>1</v>
      </c>
      <c r="G515" s="7" t="n">
        <v>3</v>
      </c>
      <c r="H515" s="7" t="n">
        <v>0</v>
      </c>
      <c r="I515" s="7" t="n">
        <v>0</v>
      </c>
      <c r="J515" s="7" t="n">
        <v>0</v>
      </c>
      <c r="K515" s="7" t="n">
        <v>0</v>
      </c>
      <c r="L515" s="7" t="n">
        <v>3</v>
      </c>
      <c r="M515" s="7" t="n">
        <v>1</v>
      </c>
      <c r="N515" s="7" t="n">
        <v>2</v>
      </c>
      <c r="O515" s="7" t="n">
        <v>1</v>
      </c>
      <c r="P515" s="8" t="n">
        <f aca="false">IF(E515=0,0,G515/E515)</f>
        <v>0.25</v>
      </c>
      <c r="Q515" s="8" t="n">
        <f aca="false">IF(E515+N515=0,0,(G515+N515)/(E515+N515))</f>
        <v>0.357142857142857</v>
      </c>
      <c r="R515" s="8" t="n">
        <f aca="false">IF(E515=0,0,L515/E515)</f>
        <v>0.25</v>
      </c>
      <c r="S515" s="8" t="n">
        <f aca="false">R515+Q515</f>
        <v>0.607142857142857</v>
      </c>
      <c r="T515" s="8" t="n">
        <f aca="false">R515-P515</f>
        <v>0</v>
      </c>
    </row>
    <row r="516" customFormat="false" ht="14.25" hidden="false" customHeight="true" outlineLevel="0" collapsed="false">
      <c r="A516" s="6" t="n">
        <v>2024</v>
      </c>
      <c r="B516" s="6" t="s">
        <v>212</v>
      </c>
      <c r="C516" s="6" t="s">
        <v>226</v>
      </c>
      <c r="D516" s="7" t="n">
        <v>2</v>
      </c>
      <c r="E516" s="7" t="n">
        <v>8</v>
      </c>
      <c r="F516" s="7" t="n">
        <v>1</v>
      </c>
      <c r="G516" s="7" t="n">
        <v>3</v>
      </c>
      <c r="H516" s="7" t="n">
        <v>0</v>
      </c>
      <c r="I516" s="7" t="n">
        <v>0</v>
      </c>
      <c r="J516" s="7" t="n">
        <v>0</v>
      </c>
      <c r="K516" s="7" t="n">
        <v>0</v>
      </c>
      <c r="L516" s="7" t="n">
        <v>3</v>
      </c>
      <c r="M516" s="7" t="n">
        <v>1</v>
      </c>
      <c r="N516" s="7" t="n">
        <v>1</v>
      </c>
      <c r="O516" s="7" t="n">
        <v>0</v>
      </c>
      <c r="P516" s="8" t="n">
        <f aca="false">IF(E516=0,0,G516/E516)</f>
        <v>0.375</v>
      </c>
      <c r="Q516" s="8" t="n">
        <f aca="false">IF(E516+N516=0,0,(G516+N516)/(E516+N516))</f>
        <v>0.444444444444444</v>
      </c>
      <c r="R516" s="8" t="n">
        <f aca="false">IF(E516=0,0,L516/E516)</f>
        <v>0.375</v>
      </c>
      <c r="S516" s="8" t="n">
        <f aca="false">R516+Q516</f>
        <v>0.819444444444444</v>
      </c>
      <c r="T516" s="8" t="n">
        <f aca="false">R516-P516</f>
        <v>0</v>
      </c>
    </row>
    <row r="517" customFormat="false" ht="14.25" hidden="false" customHeight="true" outlineLevel="0" collapsed="false">
      <c r="A517" s="6" t="n">
        <v>2024</v>
      </c>
      <c r="B517" s="6" t="s">
        <v>212</v>
      </c>
      <c r="C517" s="6" t="s">
        <v>231</v>
      </c>
      <c r="D517" s="7" t="n">
        <v>5</v>
      </c>
      <c r="E517" s="7" t="n">
        <v>12</v>
      </c>
      <c r="F517" s="7" t="n">
        <v>4</v>
      </c>
      <c r="G517" s="7" t="n">
        <v>2</v>
      </c>
      <c r="H517" s="7" t="n">
        <v>0</v>
      </c>
      <c r="I517" s="7" t="n">
        <v>0</v>
      </c>
      <c r="J517" s="7" t="n">
        <v>1</v>
      </c>
      <c r="K517" s="7" t="n">
        <v>1</v>
      </c>
      <c r="L517" s="7" t="n">
        <v>5</v>
      </c>
      <c r="M517" s="7" t="n">
        <v>1</v>
      </c>
      <c r="N517" s="7" t="n">
        <v>1</v>
      </c>
      <c r="O517" s="7" t="n">
        <v>1</v>
      </c>
      <c r="P517" s="8" t="n">
        <f aca="false">IF(E517=0,0,G517/E517)</f>
        <v>0.166666666666667</v>
      </c>
      <c r="Q517" s="8" t="n">
        <f aca="false">IF(E517+N517=0,0,(G517+N517)/(E517+N517))</f>
        <v>0.230769230769231</v>
      </c>
      <c r="R517" s="8" t="n">
        <f aca="false">IF(E517=0,0,L517/E517)</f>
        <v>0.416666666666667</v>
      </c>
      <c r="S517" s="8" t="n">
        <f aca="false">R517+Q517</f>
        <v>0.647435897435898</v>
      </c>
      <c r="T517" s="8" t="n">
        <f aca="false">R517-P517</f>
        <v>0.25</v>
      </c>
    </row>
    <row r="518" customFormat="false" ht="14.25" hidden="false" customHeight="true" outlineLevel="0" collapsed="false">
      <c r="A518" s="6" t="n">
        <v>2024</v>
      </c>
      <c r="B518" s="6" t="s">
        <v>212</v>
      </c>
      <c r="C518" s="6" t="s">
        <v>222</v>
      </c>
      <c r="D518" s="7" t="n">
        <v>3</v>
      </c>
      <c r="E518" s="7" t="n">
        <v>11</v>
      </c>
      <c r="F518" s="7" t="n">
        <v>1</v>
      </c>
      <c r="G518" s="7" t="n">
        <v>2</v>
      </c>
      <c r="H518" s="7" t="n">
        <v>1</v>
      </c>
      <c r="I518" s="7" t="n">
        <v>0</v>
      </c>
      <c r="J518" s="7" t="n">
        <v>0</v>
      </c>
      <c r="K518" s="7" t="n">
        <v>1</v>
      </c>
      <c r="L518" s="7" t="n">
        <v>3</v>
      </c>
      <c r="M518" s="7" t="n">
        <v>2</v>
      </c>
      <c r="N518" s="7" t="n">
        <v>0</v>
      </c>
      <c r="O518" s="7" t="n">
        <v>0</v>
      </c>
      <c r="P518" s="8" t="n">
        <f aca="false">IF(E518=0,0,G518/E518)</f>
        <v>0.181818181818182</v>
      </c>
      <c r="Q518" s="8" t="n">
        <f aca="false">IF(E518+N518=0,0,(G518+N518)/(E518+N518))</f>
        <v>0.181818181818182</v>
      </c>
      <c r="R518" s="8" t="n">
        <f aca="false">IF(E518=0,0,L518/E518)</f>
        <v>0.272727272727273</v>
      </c>
      <c r="S518" s="8" t="n">
        <f aca="false">R518+Q518</f>
        <v>0.454545454545455</v>
      </c>
      <c r="T518" s="8" t="n">
        <f aca="false">R518-P518</f>
        <v>0.0909090909090909</v>
      </c>
    </row>
    <row r="519" customFormat="false" ht="14.25" hidden="false" customHeight="true" outlineLevel="0" collapsed="false">
      <c r="A519" s="6" t="n">
        <v>2024</v>
      </c>
      <c r="B519" s="6" t="s">
        <v>212</v>
      </c>
      <c r="C519" s="6" t="s">
        <v>217</v>
      </c>
      <c r="D519" s="7" t="n">
        <v>3</v>
      </c>
      <c r="E519" s="7" t="n">
        <v>8</v>
      </c>
      <c r="F519" s="7" t="n">
        <v>0</v>
      </c>
      <c r="G519" s="7" t="n">
        <v>2</v>
      </c>
      <c r="H519" s="7" t="n">
        <v>0</v>
      </c>
      <c r="I519" s="7" t="n">
        <v>0</v>
      </c>
      <c r="J519" s="7" t="n">
        <v>0</v>
      </c>
      <c r="K519" s="7" t="n">
        <v>0</v>
      </c>
      <c r="L519" s="7" t="n">
        <v>2</v>
      </c>
      <c r="M519" s="7" t="n">
        <v>0</v>
      </c>
      <c r="N519" s="7" t="n">
        <v>0</v>
      </c>
      <c r="O519" s="7" t="n">
        <v>0</v>
      </c>
      <c r="P519" s="8" t="n">
        <f aca="false">IF(E519=0,0,G519/E519)</f>
        <v>0.25</v>
      </c>
      <c r="Q519" s="8" t="n">
        <f aca="false">IF(E519+N519=0,0,(G519+N519)/(E519+N519))</f>
        <v>0.25</v>
      </c>
      <c r="R519" s="8" t="n">
        <f aca="false">IF(E519=0,0,L519/E519)</f>
        <v>0.25</v>
      </c>
      <c r="S519" s="8" t="n">
        <f aca="false">R519+Q519</f>
        <v>0.5</v>
      </c>
      <c r="T519" s="8" t="n">
        <f aca="false">R519-P519</f>
        <v>0</v>
      </c>
    </row>
    <row r="520" customFormat="false" ht="14.25" hidden="false" customHeight="true" outlineLevel="0" collapsed="false">
      <c r="A520" s="6" t="n">
        <v>2024</v>
      </c>
      <c r="B520" s="6" t="s">
        <v>212</v>
      </c>
      <c r="C520" s="6" t="s">
        <v>228</v>
      </c>
      <c r="D520" s="7" t="n">
        <v>5</v>
      </c>
      <c r="E520" s="7" t="n">
        <v>12</v>
      </c>
      <c r="F520" s="7" t="n">
        <v>1</v>
      </c>
      <c r="G520" s="7" t="n">
        <v>2</v>
      </c>
      <c r="H520" s="7" t="n">
        <v>0</v>
      </c>
      <c r="I520" s="7" t="n">
        <v>0</v>
      </c>
      <c r="J520" s="7" t="n">
        <v>0</v>
      </c>
      <c r="K520" s="7" t="n">
        <v>0</v>
      </c>
      <c r="L520" s="7" t="n">
        <v>2</v>
      </c>
      <c r="M520" s="7" t="n">
        <v>0</v>
      </c>
      <c r="N520" s="7" t="n">
        <v>0</v>
      </c>
      <c r="O520" s="7" t="n">
        <v>0</v>
      </c>
      <c r="P520" s="8" t="n">
        <f aca="false">IF(E520=0,0,G520/E520)</f>
        <v>0.166666666666667</v>
      </c>
      <c r="Q520" s="8" t="n">
        <f aca="false">IF(E520+N520=0,0,(G520+N520)/(E520+N520))</f>
        <v>0.166666666666667</v>
      </c>
      <c r="R520" s="8" t="n">
        <f aca="false">IF(E520=0,0,L520/E520)</f>
        <v>0.166666666666667</v>
      </c>
      <c r="S520" s="8" t="n">
        <f aca="false">R520+Q520</f>
        <v>0.333333333333333</v>
      </c>
      <c r="T520" s="8" t="n">
        <f aca="false">R520-P520</f>
        <v>0</v>
      </c>
    </row>
    <row r="521" customFormat="false" ht="14.25" hidden="false" customHeight="true" outlineLevel="0" collapsed="false">
      <c r="A521" s="6" t="n">
        <v>2024</v>
      </c>
      <c r="B521" s="6" t="s">
        <v>212</v>
      </c>
      <c r="C521" s="6" t="s">
        <v>218</v>
      </c>
      <c r="D521" s="7" t="n">
        <v>5</v>
      </c>
      <c r="E521" s="7" t="n">
        <v>13</v>
      </c>
      <c r="F521" s="7" t="n">
        <v>1</v>
      </c>
      <c r="G521" s="7" t="n">
        <v>1</v>
      </c>
      <c r="H521" s="7" t="n">
        <v>0</v>
      </c>
      <c r="I521" s="7" t="n">
        <v>0</v>
      </c>
      <c r="J521" s="7" t="n">
        <v>0</v>
      </c>
      <c r="K521" s="7" t="n">
        <v>0</v>
      </c>
      <c r="L521" s="7" t="n">
        <v>1</v>
      </c>
      <c r="M521" s="7" t="n">
        <v>0</v>
      </c>
      <c r="N521" s="7" t="n">
        <v>0</v>
      </c>
      <c r="O521" s="7" t="n">
        <v>1</v>
      </c>
      <c r="P521" s="8" t="n">
        <f aca="false">IF(E521=0,0,G521/E521)</f>
        <v>0.0769230769230769</v>
      </c>
      <c r="Q521" s="8" t="n">
        <f aca="false">IF(E521+N521=0,0,(G521+N521)/(E521+N521))</f>
        <v>0.0769230769230769</v>
      </c>
      <c r="R521" s="8" t="n">
        <f aca="false">IF(E521=0,0,L521/E521)</f>
        <v>0.0769230769230769</v>
      </c>
      <c r="S521" s="8" t="n">
        <f aca="false">R521+Q521</f>
        <v>0.153846153846154</v>
      </c>
      <c r="T521" s="8" t="n">
        <f aca="false">R521-P521</f>
        <v>0</v>
      </c>
    </row>
    <row r="522" customFormat="false" ht="14.25" hidden="false" customHeight="true" outlineLevel="0" collapsed="false">
      <c r="A522" s="6" t="n">
        <v>2024</v>
      </c>
      <c r="B522" s="6" t="s">
        <v>212</v>
      </c>
      <c r="C522" s="6" t="s">
        <v>286</v>
      </c>
      <c r="D522" s="7" t="n">
        <v>1</v>
      </c>
      <c r="E522" s="7" t="n">
        <v>3</v>
      </c>
      <c r="F522" s="7" t="n">
        <v>0</v>
      </c>
      <c r="G522" s="7" t="n">
        <v>1</v>
      </c>
      <c r="H522" s="7" t="n">
        <v>0</v>
      </c>
      <c r="I522" s="7" t="n">
        <v>0</v>
      </c>
      <c r="J522" s="7" t="n">
        <v>0</v>
      </c>
      <c r="K522" s="7" t="n">
        <v>0</v>
      </c>
      <c r="L522" s="7" t="n">
        <v>1</v>
      </c>
      <c r="M522" s="7" t="n">
        <v>0</v>
      </c>
      <c r="N522" s="7" t="n">
        <v>1</v>
      </c>
      <c r="O522" s="7" t="n">
        <v>0</v>
      </c>
      <c r="P522" s="8" t="n">
        <f aca="false">IF(E522=0,0,G522/E522)</f>
        <v>0.333333333333333</v>
      </c>
      <c r="Q522" s="8" t="n">
        <f aca="false">IF(E522+N522=0,0,(G522+N522)/(E522+N522))</f>
        <v>0.5</v>
      </c>
      <c r="R522" s="8" t="n">
        <f aca="false">IF(E522=0,0,L522/E522)</f>
        <v>0.333333333333333</v>
      </c>
      <c r="S522" s="8" t="n">
        <f aca="false">R522+Q522</f>
        <v>0.833333333333333</v>
      </c>
      <c r="T522" s="8" t="n">
        <f aca="false">R522-P522</f>
        <v>0</v>
      </c>
    </row>
    <row r="523" customFormat="false" ht="14.25" hidden="false" customHeight="true" outlineLevel="0" collapsed="false">
      <c r="A523" s="6" t="n">
        <v>2024</v>
      </c>
      <c r="B523" s="6" t="s">
        <v>212</v>
      </c>
      <c r="C523" s="6" t="s">
        <v>233</v>
      </c>
      <c r="D523" s="7" t="n">
        <v>1</v>
      </c>
      <c r="E523" s="7" t="n">
        <v>3</v>
      </c>
      <c r="F523" s="7" t="n">
        <v>0</v>
      </c>
      <c r="G523" s="7" t="n">
        <v>1</v>
      </c>
      <c r="H523" s="7" t="n">
        <v>0</v>
      </c>
      <c r="I523" s="7" t="n">
        <v>0</v>
      </c>
      <c r="J523" s="7" t="n">
        <v>0</v>
      </c>
      <c r="K523" s="7" t="n">
        <v>0</v>
      </c>
      <c r="L523" s="7" t="n">
        <v>1</v>
      </c>
      <c r="M523" s="7" t="n">
        <v>0</v>
      </c>
      <c r="N523" s="7" t="n">
        <v>0</v>
      </c>
      <c r="O523" s="7" t="n">
        <v>0</v>
      </c>
      <c r="P523" s="8" t="n">
        <f aca="false">IF(E523=0,0,G523/E523)</f>
        <v>0.333333333333333</v>
      </c>
      <c r="Q523" s="8" t="n">
        <f aca="false">IF(E523+N523=0,0,(G523+N523)/(E523+N523))</f>
        <v>0.333333333333333</v>
      </c>
      <c r="R523" s="8" t="n">
        <f aca="false">IF(E523=0,0,L523/E523)</f>
        <v>0.333333333333333</v>
      </c>
      <c r="S523" s="8" t="n">
        <f aca="false">R523+Q523</f>
        <v>0.666666666666667</v>
      </c>
      <c r="T523" s="8" t="n">
        <f aca="false">R523-P523</f>
        <v>0</v>
      </c>
    </row>
    <row r="524" customFormat="false" ht="14.25" hidden="false" customHeight="true" outlineLevel="0" collapsed="false">
      <c r="A524" s="6" t="n">
        <v>2024</v>
      </c>
      <c r="B524" s="6" t="s">
        <v>212</v>
      </c>
      <c r="C524" s="6" t="s">
        <v>227</v>
      </c>
      <c r="D524" s="7" t="n">
        <v>1</v>
      </c>
      <c r="E524" s="7" t="n">
        <v>3</v>
      </c>
      <c r="F524" s="7" t="n">
        <v>0</v>
      </c>
      <c r="G524" s="7" t="n">
        <v>0</v>
      </c>
      <c r="H524" s="7" t="n">
        <v>0</v>
      </c>
      <c r="I524" s="7" t="n">
        <v>0</v>
      </c>
      <c r="J524" s="7" t="n">
        <v>0</v>
      </c>
      <c r="K524" s="7" t="n">
        <v>0</v>
      </c>
      <c r="L524" s="7" t="n">
        <v>0</v>
      </c>
      <c r="M524" s="7" t="n">
        <v>1</v>
      </c>
      <c r="N524" s="7" t="n">
        <v>0</v>
      </c>
      <c r="O524" s="7" t="n">
        <v>1</v>
      </c>
      <c r="P524" s="8" t="n">
        <f aca="false">IF(E524=0,0,G524/E524)</f>
        <v>0</v>
      </c>
      <c r="Q524" s="8" t="n">
        <f aca="false">IF(E524+N524=0,0,(G524+N524)/(E524+N524))</f>
        <v>0</v>
      </c>
      <c r="R524" s="8" t="n">
        <f aca="false">IF(E524=0,0,L524/E524)</f>
        <v>0</v>
      </c>
      <c r="S524" s="8" t="n">
        <f aca="false">R524+Q524</f>
        <v>0</v>
      </c>
      <c r="T524" s="8" t="n">
        <f aca="false">R524-P524</f>
        <v>0</v>
      </c>
    </row>
    <row r="525" customFormat="false" ht="14.25" hidden="false" customHeight="true" outlineLevel="0" collapsed="false">
      <c r="A525" s="6" t="n">
        <v>2024</v>
      </c>
      <c r="B525" s="6" t="s">
        <v>212</v>
      </c>
      <c r="C525" s="6" t="s">
        <v>314</v>
      </c>
      <c r="D525" s="7" t="n">
        <v>1</v>
      </c>
      <c r="E525" s="7" t="n">
        <v>3</v>
      </c>
      <c r="F525" s="7" t="n">
        <v>0</v>
      </c>
      <c r="G525" s="7" t="n">
        <v>0</v>
      </c>
      <c r="H525" s="7" t="n">
        <v>0</v>
      </c>
      <c r="I525" s="7" t="n">
        <v>0</v>
      </c>
      <c r="J525" s="7" t="n">
        <v>0</v>
      </c>
      <c r="K525" s="7" t="n">
        <v>0</v>
      </c>
      <c r="L525" s="7" t="n">
        <v>0</v>
      </c>
      <c r="M525" s="7" t="n">
        <v>0</v>
      </c>
      <c r="N525" s="7" t="n">
        <v>0</v>
      </c>
      <c r="O525" s="7" t="n">
        <v>2</v>
      </c>
      <c r="P525" s="8" t="n">
        <f aca="false">IF(E525=0,0,G525/E525)</f>
        <v>0</v>
      </c>
      <c r="Q525" s="8" t="n">
        <f aca="false">IF(E525+N525=0,0,(G525+N525)/(E525+N525))</f>
        <v>0</v>
      </c>
      <c r="R525" s="8" t="n">
        <f aca="false">IF(E525=0,0,L525/E525)</f>
        <v>0</v>
      </c>
      <c r="S525" s="8" t="n">
        <f aca="false">R525+Q525</f>
        <v>0</v>
      </c>
      <c r="T525" s="8" t="n">
        <f aca="false">R525-P525</f>
        <v>0</v>
      </c>
    </row>
    <row r="526" customFormat="false" ht="14.25" hidden="false" customHeight="true" outlineLevel="0" collapsed="false">
      <c r="A526" s="6" t="n">
        <v>2024</v>
      </c>
      <c r="B526" s="6" t="s">
        <v>212</v>
      </c>
      <c r="C526" s="6" t="s">
        <v>224</v>
      </c>
      <c r="D526" s="7" t="n">
        <v>2</v>
      </c>
      <c r="E526" s="7" t="n">
        <v>6</v>
      </c>
      <c r="F526" s="7" t="n">
        <v>0</v>
      </c>
      <c r="G526" s="7" t="n">
        <v>0</v>
      </c>
      <c r="H526" s="7" t="n">
        <v>0</v>
      </c>
      <c r="I526" s="7" t="n">
        <v>0</v>
      </c>
      <c r="J526" s="7" t="n">
        <v>0</v>
      </c>
      <c r="K526" s="7" t="n">
        <v>0</v>
      </c>
      <c r="L526" s="7" t="n">
        <v>0</v>
      </c>
      <c r="M526" s="7" t="n">
        <v>0</v>
      </c>
      <c r="N526" s="7" t="n">
        <v>0</v>
      </c>
      <c r="O526" s="7" t="n">
        <v>0</v>
      </c>
      <c r="P526" s="8" t="n">
        <f aca="false">IF(E526=0,0,G526/E526)</f>
        <v>0</v>
      </c>
      <c r="Q526" s="8" t="n">
        <f aca="false">IF(E526+N526=0,0,(G526+N526)/(E526+N526))</f>
        <v>0</v>
      </c>
      <c r="R526" s="8" t="n">
        <f aca="false">IF(E526=0,0,L526/E526)</f>
        <v>0</v>
      </c>
      <c r="S526" s="8" t="n">
        <f aca="false">R526+Q526</f>
        <v>0</v>
      </c>
      <c r="T526" s="8" t="n">
        <f aca="false">R526-P526</f>
        <v>0</v>
      </c>
    </row>
    <row r="527" customFormat="false" ht="14.25" hidden="false" customHeight="true" outlineLevel="0" collapsed="false">
      <c r="A527" s="6" t="n">
        <v>2024</v>
      </c>
      <c r="B527" s="6" t="s">
        <v>212</v>
      </c>
      <c r="C527" s="6" t="s">
        <v>229</v>
      </c>
      <c r="D527" s="7" t="n">
        <v>1</v>
      </c>
      <c r="E527" s="7" t="n">
        <v>4</v>
      </c>
      <c r="F527" s="7" t="n">
        <v>0</v>
      </c>
      <c r="G527" s="7" t="n">
        <v>0</v>
      </c>
      <c r="H527" s="7" t="n">
        <v>0</v>
      </c>
      <c r="I527" s="7" t="n">
        <v>0</v>
      </c>
      <c r="J527" s="7" t="n">
        <v>0</v>
      </c>
      <c r="K527" s="7" t="n">
        <v>0</v>
      </c>
      <c r="L527" s="7" t="n">
        <v>0</v>
      </c>
      <c r="M527" s="7" t="n">
        <v>0</v>
      </c>
      <c r="N527" s="7" t="n">
        <v>0</v>
      </c>
      <c r="O527" s="7" t="n">
        <v>0</v>
      </c>
      <c r="P527" s="8" t="n">
        <f aca="false">IF(E527=0,0,G527/E527)</f>
        <v>0</v>
      </c>
      <c r="Q527" s="8" t="n">
        <f aca="false">IF(E527+N527=0,0,(G527+N527)/(E527+N527))</f>
        <v>0</v>
      </c>
      <c r="R527" s="8" t="n">
        <f aca="false">IF(E527=0,0,L527/E527)</f>
        <v>0</v>
      </c>
      <c r="S527" s="8" t="n">
        <f aca="false">R527+Q527</f>
        <v>0</v>
      </c>
      <c r="T527" s="8" t="n">
        <f aca="false">R527-P527</f>
        <v>0</v>
      </c>
    </row>
    <row r="528" customFormat="false" ht="14.25" hidden="false" customHeight="true" outlineLevel="0" collapsed="false">
      <c r="A528" s="6" t="n">
        <v>2024</v>
      </c>
      <c r="B528" s="6" t="s">
        <v>212</v>
      </c>
      <c r="C528" s="6" t="s">
        <v>315</v>
      </c>
      <c r="D528" s="7" t="n">
        <v>1</v>
      </c>
      <c r="E528" s="7" t="n">
        <v>3</v>
      </c>
      <c r="F528" s="7" t="n">
        <v>0</v>
      </c>
      <c r="G528" s="7" t="n">
        <v>0</v>
      </c>
      <c r="H528" s="7" t="n">
        <v>0</v>
      </c>
      <c r="I528" s="7" t="n">
        <v>0</v>
      </c>
      <c r="J528" s="7" t="n">
        <v>0</v>
      </c>
      <c r="K528" s="7" t="n">
        <v>0</v>
      </c>
      <c r="L528" s="7" t="n">
        <v>0</v>
      </c>
      <c r="M528" s="7" t="n">
        <v>0</v>
      </c>
      <c r="N528" s="7" t="n">
        <v>0</v>
      </c>
      <c r="O528" s="7" t="n">
        <v>0</v>
      </c>
      <c r="P528" s="8" t="n">
        <f aca="false">IF(E528=0,0,G528/E528)</f>
        <v>0</v>
      </c>
      <c r="Q528" s="8" t="n">
        <f aca="false">IF(E528+N528=0,0,(G528+N528)/(E528+N528))</f>
        <v>0</v>
      </c>
      <c r="R528" s="8" t="n">
        <f aca="false">IF(E528=0,0,L528/E528)</f>
        <v>0</v>
      </c>
      <c r="S528" s="8" t="n">
        <f aca="false">R528+Q528</f>
        <v>0</v>
      </c>
      <c r="T528" s="8" t="n">
        <f aca="false">R528-P528</f>
        <v>0</v>
      </c>
    </row>
    <row r="529" customFormat="false" ht="14.25" hidden="false" customHeight="true" outlineLevel="0" collapsed="false">
      <c r="A529" s="6" t="n">
        <v>2023</v>
      </c>
      <c r="B529" s="6" t="s">
        <v>50</v>
      </c>
      <c r="C529" s="6" t="s">
        <v>55</v>
      </c>
      <c r="D529" s="7" t="n">
        <v>11</v>
      </c>
      <c r="E529" s="7" t="n">
        <v>37</v>
      </c>
      <c r="F529" s="7" t="n">
        <v>9</v>
      </c>
      <c r="G529" s="7" t="n">
        <v>19</v>
      </c>
      <c r="H529" s="7" t="n">
        <v>3</v>
      </c>
      <c r="I529" s="7" t="n">
        <v>0</v>
      </c>
      <c r="J529" s="7" t="n">
        <v>1</v>
      </c>
      <c r="K529" s="7" t="n">
        <v>4</v>
      </c>
      <c r="L529" s="7" t="n">
        <v>25</v>
      </c>
      <c r="M529" s="7" t="n">
        <v>12</v>
      </c>
      <c r="N529" s="7" t="n">
        <v>2</v>
      </c>
      <c r="O529" s="7" t="n">
        <v>1</v>
      </c>
      <c r="P529" s="8" t="n">
        <f aca="false">IF(E529=0,0,G529/E529)</f>
        <v>0.513513513513514</v>
      </c>
      <c r="Q529" s="8" t="n">
        <f aca="false">IF(E529+N529=0,0,(G529+N529)/(E529+N529))</f>
        <v>0.538461538461538</v>
      </c>
      <c r="R529" s="8" t="n">
        <f aca="false">IF(E529=0,0,L529/E529)</f>
        <v>0.675675675675676</v>
      </c>
      <c r="S529" s="8" t="n">
        <f aca="false">R529+Q529</f>
        <v>1.21413721413721</v>
      </c>
      <c r="T529" s="8" t="n">
        <f aca="false">R529-P529</f>
        <v>0.162162162162162</v>
      </c>
    </row>
    <row r="530" customFormat="false" ht="14.25" hidden="false" customHeight="true" outlineLevel="0" collapsed="false">
      <c r="A530" s="6" t="n">
        <v>2023</v>
      </c>
      <c r="B530" s="6" t="s">
        <v>50</v>
      </c>
      <c r="C530" s="6" t="s">
        <v>54</v>
      </c>
      <c r="D530" s="7" t="n">
        <v>10</v>
      </c>
      <c r="E530" s="7" t="n">
        <v>33</v>
      </c>
      <c r="F530" s="7" t="n">
        <v>12</v>
      </c>
      <c r="G530" s="7" t="n">
        <v>10</v>
      </c>
      <c r="H530" s="7" t="n">
        <v>3</v>
      </c>
      <c r="I530" s="7" t="n">
        <v>0</v>
      </c>
      <c r="J530" s="7" t="n">
        <v>0</v>
      </c>
      <c r="K530" s="7" t="n">
        <v>3</v>
      </c>
      <c r="L530" s="7" t="n">
        <v>13</v>
      </c>
      <c r="M530" s="7" t="n">
        <v>3</v>
      </c>
      <c r="N530" s="7" t="n">
        <v>2</v>
      </c>
      <c r="O530" s="7" t="n">
        <v>1</v>
      </c>
      <c r="P530" s="8" t="n">
        <f aca="false">IF(E530=0,0,G530/E530)</f>
        <v>0.303030303030303</v>
      </c>
      <c r="Q530" s="8" t="n">
        <f aca="false">IF(E530+N530=0,0,(G530+N530)/(E530+N530))</f>
        <v>0.342857142857143</v>
      </c>
      <c r="R530" s="8" t="n">
        <f aca="false">IF(E530=0,0,L530/E530)</f>
        <v>0.393939393939394</v>
      </c>
      <c r="S530" s="8" t="n">
        <f aca="false">R530+Q530</f>
        <v>0.736796536796537</v>
      </c>
      <c r="T530" s="8" t="n">
        <f aca="false">R530-P530</f>
        <v>0.0909090909090909</v>
      </c>
    </row>
    <row r="531" customFormat="false" ht="14.25" hidden="false" customHeight="true" outlineLevel="0" collapsed="false">
      <c r="A531" s="6" t="n">
        <v>2023</v>
      </c>
      <c r="B531" s="6" t="s">
        <v>50</v>
      </c>
      <c r="C531" s="6" t="s">
        <v>53</v>
      </c>
      <c r="D531" s="7" t="n">
        <v>10</v>
      </c>
      <c r="E531" s="7" t="n">
        <v>29</v>
      </c>
      <c r="F531" s="7" t="n">
        <v>3</v>
      </c>
      <c r="G531" s="7" t="n">
        <v>9</v>
      </c>
      <c r="H531" s="7" t="n">
        <v>4</v>
      </c>
      <c r="I531" s="7" t="n">
        <v>0</v>
      </c>
      <c r="J531" s="7" t="n">
        <v>1</v>
      </c>
      <c r="K531" s="7" t="n">
        <v>5</v>
      </c>
      <c r="L531" s="7" t="n">
        <v>16</v>
      </c>
      <c r="M531" s="7" t="n">
        <v>5</v>
      </c>
      <c r="N531" s="7" t="n">
        <v>2</v>
      </c>
      <c r="O531" s="7" t="n">
        <v>0</v>
      </c>
      <c r="P531" s="8" t="n">
        <f aca="false">IF(E531=0,0,G531/E531)</f>
        <v>0.310344827586207</v>
      </c>
      <c r="Q531" s="8" t="n">
        <f aca="false">IF(E531+N531=0,0,(G531+N531)/(E531+N531))</f>
        <v>0.354838709677419</v>
      </c>
      <c r="R531" s="8" t="n">
        <f aca="false">IF(E531=0,0,L531/E531)</f>
        <v>0.551724137931035</v>
      </c>
      <c r="S531" s="8" t="n">
        <f aca="false">R531+Q531</f>
        <v>0.906562847608454</v>
      </c>
      <c r="T531" s="8" t="n">
        <f aca="false">R531-P531</f>
        <v>0.241379310344828</v>
      </c>
    </row>
    <row r="532" customFormat="false" ht="14.25" hidden="false" customHeight="true" outlineLevel="0" collapsed="false">
      <c r="A532" s="6" t="n">
        <v>2023</v>
      </c>
      <c r="B532" s="6" t="s">
        <v>50</v>
      </c>
      <c r="C532" s="6" t="s">
        <v>51</v>
      </c>
      <c r="D532" s="7" t="n">
        <v>8</v>
      </c>
      <c r="E532" s="7" t="n">
        <v>22</v>
      </c>
      <c r="F532" s="7" t="n">
        <v>7</v>
      </c>
      <c r="G532" s="7" t="n">
        <v>8</v>
      </c>
      <c r="H532" s="7" t="n">
        <v>2</v>
      </c>
      <c r="I532" s="7" t="n">
        <v>0</v>
      </c>
      <c r="J532" s="7" t="n">
        <v>4</v>
      </c>
      <c r="K532" s="7" t="n">
        <v>6</v>
      </c>
      <c r="L532" s="7" t="n">
        <v>22</v>
      </c>
      <c r="M532" s="7" t="n">
        <v>8</v>
      </c>
      <c r="N532" s="7" t="n">
        <v>5</v>
      </c>
      <c r="O532" s="7" t="n">
        <v>0</v>
      </c>
      <c r="P532" s="8" t="n">
        <f aca="false">IF(E532=0,0,G532/E532)</f>
        <v>0.363636363636364</v>
      </c>
      <c r="Q532" s="8" t="n">
        <f aca="false">IF(E532+N532=0,0,(G532+N532)/(E532+N532))</f>
        <v>0.481481481481481</v>
      </c>
      <c r="R532" s="8" t="n">
        <f aca="false">IF(E532=0,0,L532/E532)</f>
        <v>1</v>
      </c>
      <c r="S532" s="8" t="n">
        <f aca="false">R532+Q532</f>
        <v>1.48148148148148</v>
      </c>
      <c r="T532" s="8" t="n">
        <f aca="false">R532-P532</f>
        <v>0.636363636363636</v>
      </c>
    </row>
    <row r="533" customFormat="false" ht="14.25" hidden="false" customHeight="true" outlineLevel="0" collapsed="false">
      <c r="A533" s="6" t="n">
        <v>2023</v>
      </c>
      <c r="B533" s="6" t="s">
        <v>50</v>
      </c>
      <c r="C533" s="6" t="s">
        <v>64</v>
      </c>
      <c r="D533" s="7" t="n">
        <v>11</v>
      </c>
      <c r="E533" s="7" t="n">
        <v>26</v>
      </c>
      <c r="F533" s="7" t="n">
        <v>4</v>
      </c>
      <c r="G533" s="7" t="n">
        <v>8</v>
      </c>
      <c r="H533" s="7" t="n">
        <v>0</v>
      </c>
      <c r="I533" s="7" t="n">
        <v>0</v>
      </c>
      <c r="J533" s="7" t="n">
        <v>1</v>
      </c>
      <c r="K533" s="7" t="n">
        <v>1</v>
      </c>
      <c r="L533" s="7" t="n">
        <v>11</v>
      </c>
      <c r="M533" s="7" t="n">
        <v>10</v>
      </c>
      <c r="N533" s="7" t="n">
        <v>2</v>
      </c>
      <c r="O533" s="7" t="n">
        <v>1</v>
      </c>
      <c r="P533" s="8" t="n">
        <f aca="false">IF(E533=0,0,G533/E533)</f>
        <v>0.307692307692308</v>
      </c>
      <c r="Q533" s="8" t="n">
        <f aca="false">IF(E533+N533=0,0,(G533+N533)/(E533+N533))</f>
        <v>0.357142857142857</v>
      </c>
      <c r="R533" s="8" t="n">
        <f aca="false">IF(E533=0,0,L533/E533)</f>
        <v>0.423076923076923</v>
      </c>
      <c r="S533" s="8" t="n">
        <f aca="false">R533+Q533</f>
        <v>0.78021978021978</v>
      </c>
      <c r="T533" s="8" t="n">
        <f aca="false">R533-P533</f>
        <v>0.115384615384615</v>
      </c>
    </row>
    <row r="534" customFormat="false" ht="14.25" hidden="false" customHeight="true" outlineLevel="0" collapsed="false">
      <c r="A534" s="6" t="n">
        <v>2023</v>
      </c>
      <c r="B534" s="6" t="s">
        <v>50</v>
      </c>
      <c r="C534" s="6" t="s">
        <v>56</v>
      </c>
      <c r="D534" s="7" t="n">
        <v>14</v>
      </c>
      <c r="E534" s="7" t="n">
        <v>39</v>
      </c>
      <c r="F534" s="7" t="n">
        <v>7</v>
      </c>
      <c r="G534" s="7" t="n">
        <v>7</v>
      </c>
      <c r="H534" s="7" t="n">
        <v>0</v>
      </c>
      <c r="I534" s="7" t="n">
        <v>0</v>
      </c>
      <c r="J534" s="7" t="n">
        <v>1</v>
      </c>
      <c r="K534" s="7" t="n">
        <v>1</v>
      </c>
      <c r="L534" s="7" t="n">
        <v>10</v>
      </c>
      <c r="M534" s="7" t="n">
        <v>5</v>
      </c>
      <c r="N534" s="7" t="n">
        <v>6</v>
      </c>
      <c r="O534" s="7" t="n">
        <v>1</v>
      </c>
      <c r="P534" s="8" t="n">
        <f aca="false">IF(E534=0,0,G534/E534)</f>
        <v>0.17948717948718</v>
      </c>
      <c r="Q534" s="8" t="n">
        <f aca="false">IF(E534+N534=0,0,(G534+N534)/(E534+N534))</f>
        <v>0.288888888888889</v>
      </c>
      <c r="R534" s="8" t="n">
        <f aca="false">IF(E534=0,0,L534/E534)</f>
        <v>0.256410256410256</v>
      </c>
      <c r="S534" s="8" t="n">
        <f aca="false">R534+Q534</f>
        <v>0.545299145299145</v>
      </c>
      <c r="T534" s="8" t="n">
        <f aca="false">R534-P534</f>
        <v>0.0769230769230769</v>
      </c>
    </row>
    <row r="535" customFormat="false" ht="14.25" hidden="false" customHeight="true" outlineLevel="0" collapsed="false">
      <c r="A535" s="6" t="n">
        <v>2023</v>
      </c>
      <c r="B535" s="6" t="s">
        <v>50</v>
      </c>
      <c r="C535" s="6" t="s">
        <v>52</v>
      </c>
      <c r="D535" s="7" t="n">
        <v>10</v>
      </c>
      <c r="E535" s="7" t="n">
        <v>25</v>
      </c>
      <c r="F535" s="7" t="n">
        <v>4</v>
      </c>
      <c r="G535" s="7" t="n">
        <v>6</v>
      </c>
      <c r="H535" s="7" t="n">
        <v>1</v>
      </c>
      <c r="I535" s="7" t="n">
        <v>0</v>
      </c>
      <c r="J535" s="7" t="n">
        <v>1</v>
      </c>
      <c r="K535" s="7" t="n">
        <v>2</v>
      </c>
      <c r="L535" s="7" t="n">
        <v>10</v>
      </c>
      <c r="M535" s="7" t="n">
        <v>6</v>
      </c>
      <c r="N535" s="7" t="n">
        <v>2</v>
      </c>
      <c r="O535" s="7" t="n">
        <v>2</v>
      </c>
      <c r="P535" s="8" t="n">
        <f aca="false">IF(E535=0,0,G535/E535)</f>
        <v>0.24</v>
      </c>
      <c r="Q535" s="8" t="n">
        <f aca="false">IF(E535+N535=0,0,(G535+N535)/(E535+N535))</f>
        <v>0.296296296296296</v>
      </c>
      <c r="R535" s="8" t="n">
        <f aca="false">IF(E535=0,0,L535/E535)</f>
        <v>0.4</v>
      </c>
      <c r="S535" s="8" t="n">
        <f aca="false">R535+Q535</f>
        <v>0.696296296296296</v>
      </c>
      <c r="T535" s="8" t="n">
        <f aca="false">R535-P535</f>
        <v>0.16</v>
      </c>
    </row>
    <row r="536" customFormat="false" ht="14.25" hidden="false" customHeight="true" outlineLevel="0" collapsed="false">
      <c r="A536" s="6" t="n">
        <v>2023</v>
      </c>
      <c r="B536" s="6" t="s">
        <v>50</v>
      </c>
      <c r="C536" s="6" t="s">
        <v>60</v>
      </c>
      <c r="D536" s="7" t="n">
        <v>12</v>
      </c>
      <c r="E536" s="7" t="n">
        <v>32</v>
      </c>
      <c r="F536" s="7" t="n">
        <v>6</v>
      </c>
      <c r="G536" s="7" t="n">
        <v>6</v>
      </c>
      <c r="H536" s="7" t="n">
        <v>3</v>
      </c>
      <c r="I536" s="7" t="n">
        <v>0</v>
      </c>
      <c r="J536" s="7" t="n">
        <v>0</v>
      </c>
      <c r="K536" s="7" t="n">
        <v>3</v>
      </c>
      <c r="L536" s="7" t="n">
        <v>9</v>
      </c>
      <c r="M536" s="7" t="n">
        <v>2</v>
      </c>
      <c r="N536" s="7" t="n">
        <v>6</v>
      </c>
      <c r="O536" s="7" t="n">
        <v>5</v>
      </c>
      <c r="P536" s="8" t="n">
        <f aca="false">IF(E536=0,0,G536/E536)</f>
        <v>0.1875</v>
      </c>
      <c r="Q536" s="8" t="n">
        <f aca="false">IF(E536+N536=0,0,(G536+N536)/(E536+N536))</f>
        <v>0.315789473684211</v>
      </c>
      <c r="R536" s="8" t="n">
        <f aca="false">IF(E536=0,0,L536/E536)</f>
        <v>0.28125</v>
      </c>
      <c r="S536" s="8" t="n">
        <f aca="false">R536+Q536</f>
        <v>0.597039473684211</v>
      </c>
      <c r="T536" s="8" t="n">
        <f aca="false">R536-P536</f>
        <v>0.09375</v>
      </c>
    </row>
    <row r="537" customFormat="false" ht="14.25" hidden="false" customHeight="true" outlineLevel="0" collapsed="false">
      <c r="A537" s="6" t="n">
        <v>2023</v>
      </c>
      <c r="B537" s="6" t="s">
        <v>50</v>
      </c>
      <c r="C537" s="6" t="s">
        <v>62</v>
      </c>
      <c r="D537" s="7" t="n">
        <v>14</v>
      </c>
      <c r="E537" s="7" t="n">
        <v>31</v>
      </c>
      <c r="F537" s="7" t="n">
        <v>2</v>
      </c>
      <c r="G537" s="7" t="n">
        <v>6</v>
      </c>
      <c r="H537" s="7" t="n">
        <v>0</v>
      </c>
      <c r="I537" s="7" t="n">
        <v>0</v>
      </c>
      <c r="J537" s="7" t="n">
        <v>0</v>
      </c>
      <c r="K537" s="7" t="n">
        <v>0</v>
      </c>
      <c r="L537" s="7" t="n">
        <v>6</v>
      </c>
      <c r="M537" s="7" t="n">
        <v>5</v>
      </c>
      <c r="N537" s="7" t="n">
        <v>2</v>
      </c>
      <c r="O537" s="7" t="n">
        <v>7</v>
      </c>
      <c r="P537" s="8" t="n">
        <f aca="false">IF(E537=0,0,G537/E537)</f>
        <v>0.193548387096774</v>
      </c>
      <c r="Q537" s="8" t="n">
        <f aca="false">IF(E537+N537=0,0,(G537+N537)/(E537+N537))</f>
        <v>0.242424242424242</v>
      </c>
      <c r="R537" s="8" t="n">
        <f aca="false">IF(E537=0,0,L537/E537)</f>
        <v>0.193548387096774</v>
      </c>
      <c r="S537" s="8" t="n">
        <f aca="false">R537+Q537</f>
        <v>0.435972629521017</v>
      </c>
      <c r="T537" s="8" t="n">
        <f aca="false">R537-P537</f>
        <v>0</v>
      </c>
    </row>
    <row r="538" customFormat="false" ht="14.25" hidden="false" customHeight="true" outlineLevel="0" collapsed="false">
      <c r="A538" s="6" t="n">
        <v>2023</v>
      </c>
      <c r="B538" s="6" t="s">
        <v>50</v>
      </c>
      <c r="C538" s="6" t="s">
        <v>59</v>
      </c>
      <c r="D538" s="7" t="n">
        <v>14</v>
      </c>
      <c r="E538" s="7" t="n">
        <v>38</v>
      </c>
      <c r="F538" s="7" t="n">
        <v>5</v>
      </c>
      <c r="G538" s="7" t="n">
        <v>5</v>
      </c>
      <c r="H538" s="7" t="n">
        <v>1</v>
      </c>
      <c r="I538" s="7" t="n">
        <v>0</v>
      </c>
      <c r="J538" s="7" t="n">
        <v>0</v>
      </c>
      <c r="K538" s="7" t="n">
        <v>1</v>
      </c>
      <c r="L538" s="7" t="n">
        <v>6</v>
      </c>
      <c r="M538" s="7" t="n">
        <v>2</v>
      </c>
      <c r="N538" s="7" t="n">
        <v>2</v>
      </c>
      <c r="O538" s="7" t="n">
        <v>5</v>
      </c>
      <c r="P538" s="8" t="n">
        <f aca="false">IF(E538=0,0,G538/E538)</f>
        <v>0.131578947368421</v>
      </c>
      <c r="Q538" s="8" t="n">
        <f aca="false">IF(E538+N538=0,0,(G538+N538)/(E538+N538))</f>
        <v>0.175</v>
      </c>
      <c r="R538" s="8" t="n">
        <f aca="false">IF(E538=0,0,L538/E538)</f>
        <v>0.157894736842105</v>
      </c>
      <c r="S538" s="8" t="n">
        <f aca="false">R538+Q538</f>
        <v>0.332894736842105</v>
      </c>
      <c r="T538" s="8" t="n">
        <f aca="false">R538-P538</f>
        <v>0.0263157894736842</v>
      </c>
    </row>
    <row r="539" customFormat="false" ht="14.25" hidden="false" customHeight="true" outlineLevel="0" collapsed="false">
      <c r="A539" s="6" t="n">
        <v>2023</v>
      </c>
      <c r="B539" s="6" t="s">
        <v>50</v>
      </c>
      <c r="C539" s="6" t="s">
        <v>57</v>
      </c>
      <c r="D539" s="7" t="n">
        <v>10</v>
      </c>
      <c r="E539" s="7" t="n">
        <v>24</v>
      </c>
      <c r="F539" s="7" t="n">
        <v>3</v>
      </c>
      <c r="G539" s="7" t="n">
        <v>5</v>
      </c>
      <c r="H539" s="7" t="n">
        <v>0</v>
      </c>
      <c r="I539" s="7" t="n">
        <v>0</v>
      </c>
      <c r="J539" s="7" t="n">
        <v>0</v>
      </c>
      <c r="K539" s="7" t="n">
        <v>0</v>
      </c>
      <c r="L539" s="7" t="n">
        <v>5</v>
      </c>
      <c r="M539" s="7" t="n">
        <v>2</v>
      </c>
      <c r="N539" s="7" t="n">
        <v>2</v>
      </c>
      <c r="O539" s="7" t="n">
        <v>1</v>
      </c>
      <c r="P539" s="8" t="n">
        <f aca="false">IF(E539=0,0,G539/E539)</f>
        <v>0.208333333333333</v>
      </c>
      <c r="Q539" s="8" t="n">
        <f aca="false">IF(E539+N539=0,0,(G539+N539)/(E539+N539))</f>
        <v>0.269230769230769</v>
      </c>
      <c r="R539" s="8" t="n">
        <f aca="false">IF(E539=0,0,L539/E539)</f>
        <v>0.208333333333333</v>
      </c>
      <c r="S539" s="8" t="n">
        <f aca="false">R539+Q539</f>
        <v>0.477564102564103</v>
      </c>
      <c r="T539" s="8" t="n">
        <f aca="false">R539-P539</f>
        <v>0</v>
      </c>
    </row>
    <row r="540" customFormat="false" ht="14.25" hidden="false" customHeight="true" outlineLevel="0" collapsed="false">
      <c r="A540" s="6" t="n">
        <v>2023</v>
      </c>
      <c r="B540" s="6" t="s">
        <v>50</v>
      </c>
      <c r="C540" s="6" t="s">
        <v>237</v>
      </c>
      <c r="D540" s="7" t="n">
        <v>3</v>
      </c>
      <c r="E540" s="7" t="n">
        <v>7</v>
      </c>
      <c r="F540" s="7" t="n">
        <v>4</v>
      </c>
      <c r="G540" s="7" t="n">
        <v>4</v>
      </c>
      <c r="H540" s="7" t="n">
        <v>1</v>
      </c>
      <c r="I540" s="7" t="n">
        <v>0</v>
      </c>
      <c r="J540" s="7" t="n">
        <v>0</v>
      </c>
      <c r="K540" s="7" t="n">
        <v>1</v>
      </c>
      <c r="L540" s="7" t="n">
        <v>5</v>
      </c>
      <c r="M540" s="7" t="n">
        <v>1</v>
      </c>
      <c r="N540" s="7" t="n">
        <v>3</v>
      </c>
      <c r="O540" s="7" t="n">
        <v>1</v>
      </c>
      <c r="P540" s="8" t="n">
        <f aca="false">IF(E540=0,0,G540/E540)</f>
        <v>0.571428571428571</v>
      </c>
      <c r="Q540" s="8" t="n">
        <f aca="false">IF(E540+N540=0,0,(G540+N540)/(E540+N540))</f>
        <v>0.7</v>
      </c>
      <c r="R540" s="8" t="n">
        <f aca="false">IF(E540=0,0,L540/E540)</f>
        <v>0.714285714285714</v>
      </c>
      <c r="S540" s="8" t="n">
        <f aca="false">R540+Q540</f>
        <v>1.41428571428571</v>
      </c>
      <c r="T540" s="8" t="n">
        <f aca="false">R540-P540</f>
        <v>0.142857142857143</v>
      </c>
    </row>
    <row r="541" customFormat="false" ht="14.25" hidden="false" customHeight="true" outlineLevel="0" collapsed="false">
      <c r="A541" s="6" t="n">
        <v>2023</v>
      </c>
      <c r="B541" s="6" t="s">
        <v>50</v>
      </c>
      <c r="C541" s="6" t="s">
        <v>69</v>
      </c>
      <c r="D541" s="7" t="n">
        <v>6</v>
      </c>
      <c r="E541" s="7" t="n">
        <v>17</v>
      </c>
      <c r="F541" s="7" t="n">
        <v>2</v>
      </c>
      <c r="G541" s="7" t="n">
        <v>3</v>
      </c>
      <c r="H541" s="7" t="n">
        <v>0</v>
      </c>
      <c r="I541" s="7" t="n">
        <v>0</v>
      </c>
      <c r="J541" s="7" t="n">
        <v>1</v>
      </c>
      <c r="K541" s="7" t="n">
        <v>1</v>
      </c>
      <c r="L541" s="7" t="n">
        <v>6</v>
      </c>
      <c r="M541" s="7" t="n">
        <v>3</v>
      </c>
      <c r="N541" s="7" t="n">
        <v>3</v>
      </c>
      <c r="O541" s="7" t="n">
        <v>0</v>
      </c>
      <c r="P541" s="8" t="n">
        <f aca="false">IF(E541=0,0,G541/E541)</f>
        <v>0.176470588235294</v>
      </c>
      <c r="Q541" s="8" t="n">
        <f aca="false">IF(E541+N541=0,0,(G541+N541)/(E541+N541))</f>
        <v>0.3</v>
      </c>
      <c r="R541" s="8" t="n">
        <f aca="false">IF(E541=0,0,L541/E541)</f>
        <v>0.352941176470588</v>
      </c>
      <c r="S541" s="8" t="n">
        <f aca="false">R541+Q541</f>
        <v>0.652941176470588</v>
      </c>
      <c r="T541" s="8" t="n">
        <f aca="false">R541-P541</f>
        <v>0.176470588235294</v>
      </c>
    </row>
    <row r="542" customFormat="false" ht="14.25" hidden="false" customHeight="true" outlineLevel="0" collapsed="false">
      <c r="A542" s="6" t="n">
        <v>2023</v>
      </c>
      <c r="B542" s="6" t="s">
        <v>50</v>
      </c>
      <c r="C542" s="6" t="s">
        <v>240</v>
      </c>
      <c r="D542" s="7" t="n">
        <v>5</v>
      </c>
      <c r="E542" s="7" t="n">
        <v>9</v>
      </c>
      <c r="F542" s="7" t="n">
        <v>0</v>
      </c>
      <c r="G542" s="7" t="n">
        <v>2</v>
      </c>
      <c r="H542" s="7" t="n">
        <v>0</v>
      </c>
      <c r="I542" s="7" t="n">
        <v>0</v>
      </c>
      <c r="J542" s="7" t="n">
        <v>0</v>
      </c>
      <c r="K542" s="7" t="n">
        <v>0</v>
      </c>
      <c r="L542" s="7" t="n">
        <v>2</v>
      </c>
      <c r="M542" s="7" t="n">
        <v>1</v>
      </c>
      <c r="N542" s="7" t="n">
        <v>1</v>
      </c>
      <c r="O542" s="7" t="n">
        <v>1</v>
      </c>
      <c r="P542" s="8" t="n">
        <f aca="false">IF(E542=0,0,G542/E542)</f>
        <v>0.222222222222222</v>
      </c>
      <c r="Q542" s="8" t="n">
        <f aca="false">IF(E542+N542=0,0,(G542+N542)/(E542+N542))</f>
        <v>0.3</v>
      </c>
      <c r="R542" s="8" t="n">
        <f aca="false">IF(E542=0,0,L542/E542)</f>
        <v>0.222222222222222</v>
      </c>
      <c r="S542" s="8" t="n">
        <f aca="false">R542+Q542</f>
        <v>0.522222222222222</v>
      </c>
      <c r="T542" s="8" t="n">
        <f aca="false">R542-P542</f>
        <v>0</v>
      </c>
    </row>
    <row r="543" customFormat="false" ht="14.25" hidden="false" customHeight="true" outlineLevel="0" collapsed="false">
      <c r="A543" s="6" t="n">
        <v>2023</v>
      </c>
      <c r="B543" s="6" t="s">
        <v>50</v>
      </c>
      <c r="C543" s="6" t="s">
        <v>316</v>
      </c>
      <c r="D543" s="7" t="n">
        <v>1</v>
      </c>
      <c r="E543" s="7" t="n">
        <v>3</v>
      </c>
      <c r="F543" s="7" t="n">
        <v>0</v>
      </c>
      <c r="G543" s="7" t="n">
        <v>1</v>
      </c>
      <c r="H543" s="7" t="n">
        <v>1</v>
      </c>
      <c r="I543" s="7" t="n">
        <v>0</v>
      </c>
      <c r="J543" s="7" t="n">
        <v>0</v>
      </c>
      <c r="K543" s="7" t="n">
        <v>1</v>
      </c>
      <c r="L543" s="7" t="n">
        <v>2</v>
      </c>
      <c r="M543" s="7" t="n">
        <v>0</v>
      </c>
      <c r="N543" s="7" t="n">
        <v>0</v>
      </c>
      <c r="O543" s="7" t="n">
        <v>1</v>
      </c>
      <c r="P543" s="8" t="n">
        <f aca="false">IF(E543=0,0,G543/E543)</f>
        <v>0.333333333333333</v>
      </c>
      <c r="Q543" s="8" t="n">
        <f aca="false">IF(E543+N543=0,0,(G543+N543)/(E543+N543))</f>
        <v>0.333333333333333</v>
      </c>
      <c r="R543" s="8" t="n">
        <f aca="false">IF(E543=0,0,L543/E543)</f>
        <v>0.666666666666667</v>
      </c>
      <c r="S543" s="8" t="n">
        <f aca="false">R543+Q543</f>
        <v>1</v>
      </c>
      <c r="T543" s="8" t="n">
        <f aca="false">R543-P543</f>
        <v>0.333333333333333</v>
      </c>
    </row>
    <row r="544" customFormat="false" ht="14.25" hidden="false" customHeight="true" outlineLevel="0" collapsed="false">
      <c r="A544" s="6" t="n">
        <v>2023</v>
      </c>
      <c r="B544" s="6" t="s">
        <v>50</v>
      </c>
      <c r="C544" s="6" t="s">
        <v>66</v>
      </c>
      <c r="D544" s="7" t="n">
        <v>5</v>
      </c>
      <c r="E544" s="7" t="n">
        <v>12</v>
      </c>
      <c r="F544" s="7" t="n">
        <v>1</v>
      </c>
      <c r="G544" s="7" t="n">
        <v>1</v>
      </c>
      <c r="H544" s="7" t="n">
        <v>0</v>
      </c>
      <c r="I544" s="7" t="n">
        <v>0</v>
      </c>
      <c r="J544" s="7" t="n">
        <v>0</v>
      </c>
      <c r="K544" s="7" t="n">
        <v>0</v>
      </c>
      <c r="L544" s="7" t="n">
        <v>1</v>
      </c>
      <c r="M544" s="7" t="n">
        <v>2</v>
      </c>
      <c r="N544" s="7" t="n">
        <v>1</v>
      </c>
      <c r="O544" s="7" t="n">
        <v>0</v>
      </c>
      <c r="P544" s="8" t="n">
        <f aca="false">IF(E544=0,0,G544/E544)</f>
        <v>0.0833333333333333</v>
      </c>
      <c r="Q544" s="8" t="n">
        <f aca="false">IF(E544+N544=0,0,(G544+N544)/(E544+N544))</f>
        <v>0.153846153846154</v>
      </c>
      <c r="R544" s="8" t="n">
        <f aca="false">IF(E544=0,0,L544/E544)</f>
        <v>0.0833333333333333</v>
      </c>
      <c r="S544" s="8" t="n">
        <f aca="false">R544+Q544</f>
        <v>0.237179487179487</v>
      </c>
      <c r="T544" s="8" t="n">
        <f aca="false">R544-P544</f>
        <v>0</v>
      </c>
    </row>
    <row r="545" customFormat="false" ht="14.25" hidden="false" customHeight="true" outlineLevel="0" collapsed="false">
      <c r="A545" s="6" t="n">
        <v>2023</v>
      </c>
      <c r="B545" s="6" t="s">
        <v>50</v>
      </c>
      <c r="C545" s="6" t="s">
        <v>65</v>
      </c>
      <c r="D545" s="7" t="n">
        <v>2</v>
      </c>
      <c r="E545" s="7" t="n">
        <v>3</v>
      </c>
      <c r="F545" s="7" t="n">
        <v>0</v>
      </c>
      <c r="G545" s="7" t="n">
        <v>1</v>
      </c>
      <c r="H545" s="7" t="n">
        <v>0</v>
      </c>
      <c r="I545" s="7" t="n">
        <v>0</v>
      </c>
      <c r="J545" s="7" t="n">
        <v>0</v>
      </c>
      <c r="K545" s="7" t="n">
        <v>0</v>
      </c>
      <c r="L545" s="7" t="n">
        <v>1</v>
      </c>
      <c r="M545" s="7" t="n">
        <v>1</v>
      </c>
      <c r="N545" s="7" t="n">
        <v>1</v>
      </c>
      <c r="O545" s="7" t="n">
        <v>1</v>
      </c>
      <c r="P545" s="8" t="n">
        <f aca="false">IF(E545=0,0,G545/E545)</f>
        <v>0.333333333333333</v>
      </c>
      <c r="Q545" s="8" t="n">
        <f aca="false">IF(E545+N545=0,0,(G545+N545)/(E545+N545))</f>
        <v>0.5</v>
      </c>
      <c r="R545" s="8" t="n">
        <f aca="false">IF(E545=0,0,L545/E545)</f>
        <v>0.333333333333333</v>
      </c>
      <c r="S545" s="8" t="n">
        <f aca="false">R545+Q545</f>
        <v>0.833333333333333</v>
      </c>
      <c r="T545" s="8" t="n">
        <f aca="false">R545-P545</f>
        <v>0</v>
      </c>
    </row>
    <row r="546" customFormat="false" ht="14.25" hidden="false" customHeight="true" outlineLevel="0" collapsed="false">
      <c r="A546" s="6" t="n">
        <v>2023</v>
      </c>
      <c r="B546" s="6" t="s">
        <v>50</v>
      </c>
      <c r="C546" s="6" t="s">
        <v>63</v>
      </c>
      <c r="D546" s="7" t="n">
        <v>3</v>
      </c>
      <c r="E546" s="7" t="n">
        <v>6</v>
      </c>
      <c r="F546" s="7" t="n">
        <v>0</v>
      </c>
      <c r="G546" s="7" t="n">
        <v>0</v>
      </c>
      <c r="H546" s="7" t="n">
        <v>0</v>
      </c>
      <c r="I546" s="7" t="n">
        <v>0</v>
      </c>
      <c r="J546" s="7" t="n">
        <v>0</v>
      </c>
      <c r="K546" s="7" t="n">
        <v>0</v>
      </c>
      <c r="L546" s="7" t="n">
        <v>0</v>
      </c>
      <c r="M546" s="7" t="n">
        <v>0</v>
      </c>
      <c r="N546" s="7" t="n">
        <v>0</v>
      </c>
      <c r="O546" s="7" t="n">
        <v>2</v>
      </c>
      <c r="P546" s="8" t="n">
        <f aca="false">IF(E546=0,0,G546/E546)</f>
        <v>0</v>
      </c>
      <c r="Q546" s="8" t="n">
        <f aca="false">IF(E546+N546=0,0,(G546+N546)/(E546+N546))</f>
        <v>0</v>
      </c>
      <c r="R546" s="8" t="n">
        <f aca="false">IF(E546=0,0,L546/E546)</f>
        <v>0</v>
      </c>
      <c r="S546" s="8" t="n">
        <f aca="false">R546+Q546</f>
        <v>0</v>
      </c>
      <c r="T546" s="8" t="n">
        <f aca="false">R546-P546</f>
        <v>0</v>
      </c>
    </row>
    <row r="547" customFormat="false" ht="14.25" hidden="false" customHeight="true" outlineLevel="0" collapsed="false">
      <c r="A547" s="6" t="n">
        <v>2023</v>
      </c>
      <c r="B547" s="6" t="s">
        <v>50</v>
      </c>
      <c r="C547" s="6" t="s">
        <v>67</v>
      </c>
      <c r="D547" s="7" t="n">
        <v>5</v>
      </c>
      <c r="E547" s="7" t="n">
        <v>8</v>
      </c>
      <c r="F547" s="7" t="n">
        <v>1</v>
      </c>
      <c r="G547" s="7" t="n">
        <v>0</v>
      </c>
      <c r="H547" s="7" t="n">
        <v>0</v>
      </c>
      <c r="I547" s="7" t="n">
        <v>0</v>
      </c>
      <c r="J547" s="7" t="n">
        <v>0</v>
      </c>
      <c r="K547" s="7" t="n">
        <v>0</v>
      </c>
      <c r="L547" s="7" t="n">
        <v>0</v>
      </c>
      <c r="M547" s="7" t="n">
        <v>0</v>
      </c>
      <c r="N547" s="7" t="n">
        <v>3</v>
      </c>
      <c r="O547" s="7" t="n">
        <v>1</v>
      </c>
      <c r="P547" s="8" t="n">
        <f aca="false">IF(E547=0,0,G547/E547)</f>
        <v>0</v>
      </c>
      <c r="Q547" s="8" t="n">
        <f aca="false">IF(E547+N547=0,0,(G547+N547)/(E547+N547))</f>
        <v>0.272727272727273</v>
      </c>
      <c r="R547" s="8" t="n">
        <f aca="false">IF(E547=0,0,L547/E547)</f>
        <v>0</v>
      </c>
      <c r="S547" s="8" t="n">
        <f aca="false">R547+Q547</f>
        <v>0.272727272727273</v>
      </c>
      <c r="T547" s="8" t="n">
        <f aca="false">R547-P547</f>
        <v>0</v>
      </c>
    </row>
    <row r="548" customFormat="false" ht="14.25" hidden="false" customHeight="true" outlineLevel="0" collapsed="false">
      <c r="A548" s="6" t="n">
        <v>2023</v>
      </c>
      <c r="B548" s="6" t="s">
        <v>50</v>
      </c>
      <c r="C548" s="6" t="s">
        <v>317</v>
      </c>
      <c r="D548" s="7" t="n">
        <v>1</v>
      </c>
      <c r="E548" s="7" t="n">
        <v>2</v>
      </c>
      <c r="F548" s="7" t="n">
        <v>0</v>
      </c>
      <c r="G548" s="7" t="n">
        <v>0</v>
      </c>
      <c r="H548" s="7" t="n">
        <v>0</v>
      </c>
      <c r="I548" s="7" t="n">
        <v>0</v>
      </c>
      <c r="J548" s="7" t="n">
        <v>0</v>
      </c>
      <c r="K548" s="7" t="n">
        <v>0</v>
      </c>
      <c r="L548" s="7" t="n">
        <v>0</v>
      </c>
      <c r="M548" s="7" t="n">
        <v>0</v>
      </c>
      <c r="N548" s="7" t="n">
        <v>1</v>
      </c>
      <c r="O548" s="7" t="n">
        <v>0</v>
      </c>
      <c r="P548" s="8" t="n">
        <f aca="false">IF(E548=0,0,G548/E548)</f>
        <v>0</v>
      </c>
      <c r="Q548" s="8" t="n">
        <f aca="false">IF(E548+N548=0,0,(G548+N548)/(E548+N548))</f>
        <v>0.333333333333333</v>
      </c>
      <c r="R548" s="8" t="n">
        <f aca="false">IF(E548=0,0,L548/E548)</f>
        <v>0</v>
      </c>
      <c r="S548" s="8" t="n">
        <f aca="false">R548+Q548</f>
        <v>0.333333333333333</v>
      </c>
      <c r="T548" s="8" t="n">
        <f aca="false">R548-P548</f>
        <v>0</v>
      </c>
    </row>
    <row r="549" customFormat="false" ht="14.25" hidden="false" customHeight="true" outlineLevel="0" collapsed="false">
      <c r="A549" s="6" t="n">
        <v>2023</v>
      </c>
      <c r="B549" s="6" t="s">
        <v>71</v>
      </c>
      <c r="C549" s="6" t="s">
        <v>72</v>
      </c>
      <c r="D549" s="7" t="n">
        <v>13</v>
      </c>
      <c r="E549" s="7" t="n">
        <v>42</v>
      </c>
      <c r="F549" s="7" t="n">
        <v>16</v>
      </c>
      <c r="G549" s="7" t="n">
        <v>15</v>
      </c>
      <c r="H549" s="7" t="n">
        <v>0</v>
      </c>
      <c r="I549" s="7" t="n">
        <v>0</v>
      </c>
      <c r="J549" s="7" t="n">
        <v>7</v>
      </c>
      <c r="K549" s="7" t="n">
        <v>7</v>
      </c>
      <c r="L549" s="7" t="n">
        <v>36</v>
      </c>
      <c r="M549" s="7" t="n">
        <v>17</v>
      </c>
      <c r="N549" s="7" t="n">
        <v>5</v>
      </c>
      <c r="O549" s="7" t="n">
        <v>1</v>
      </c>
      <c r="P549" s="8" t="n">
        <f aca="false">IF(E549=0,0,G549/E549)</f>
        <v>0.357142857142857</v>
      </c>
      <c r="Q549" s="8" t="n">
        <f aca="false">IF(E549+N549=0,0,(G549+N549)/(E549+N549))</f>
        <v>0.425531914893617</v>
      </c>
      <c r="R549" s="8" t="n">
        <f aca="false">IF(E549=0,0,L549/E549)</f>
        <v>0.857142857142857</v>
      </c>
      <c r="S549" s="8" t="n">
        <f aca="false">R549+Q549</f>
        <v>1.28267477203647</v>
      </c>
      <c r="T549" s="8" t="n">
        <f aca="false">R549-P549</f>
        <v>0.5</v>
      </c>
    </row>
    <row r="550" customFormat="false" ht="14.25" hidden="false" customHeight="true" outlineLevel="0" collapsed="false">
      <c r="A550" s="6" t="n">
        <v>2023</v>
      </c>
      <c r="B550" s="6" t="s">
        <v>71</v>
      </c>
      <c r="C550" s="6" t="s">
        <v>77</v>
      </c>
      <c r="D550" s="7" t="n">
        <v>10</v>
      </c>
      <c r="E550" s="7" t="n">
        <v>32</v>
      </c>
      <c r="F550" s="7" t="n">
        <v>10</v>
      </c>
      <c r="G550" s="7" t="n">
        <v>14</v>
      </c>
      <c r="H550" s="7" t="n">
        <v>1</v>
      </c>
      <c r="I550" s="7" t="n">
        <v>0</v>
      </c>
      <c r="J550" s="7" t="n">
        <v>4</v>
      </c>
      <c r="K550" s="7" t="n">
        <v>5</v>
      </c>
      <c r="L550" s="7" t="n">
        <v>27</v>
      </c>
      <c r="M550" s="7" t="n">
        <v>9</v>
      </c>
      <c r="N550" s="7" t="n">
        <v>4</v>
      </c>
      <c r="O550" s="7" t="n">
        <v>1</v>
      </c>
      <c r="P550" s="8" t="n">
        <f aca="false">IF(E550=0,0,G550/E550)</f>
        <v>0.4375</v>
      </c>
      <c r="Q550" s="8" t="n">
        <f aca="false">IF(E550+N550=0,0,(G550+N550)/(E550+N550))</f>
        <v>0.5</v>
      </c>
      <c r="R550" s="8" t="n">
        <f aca="false">IF(E550=0,0,L550/E550)</f>
        <v>0.84375</v>
      </c>
      <c r="S550" s="8" t="n">
        <f aca="false">R550+Q550</f>
        <v>1.34375</v>
      </c>
      <c r="T550" s="8" t="n">
        <f aca="false">R550-P550</f>
        <v>0.40625</v>
      </c>
    </row>
    <row r="551" customFormat="false" ht="14.25" hidden="false" customHeight="true" outlineLevel="0" collapsed="false">
      <c r="A551" s="6" t="n">
        <v>2023</v>
      </c>
      <c r="B551" s="6" t="s">
        <v>71</v>
      </c>
      <c r="C551" s="6" t="s">
        <v>73</v>
      </c>
      <c r="D551" s="7" t="n">
        <v>11</v>
      </c>
      <c r="E551" s="7" t="n">
        <v>31</v>
      </c>
      <c r="F551" s="7" t="n">
        <v>8</v>
      </c>
      <c r="G551" s="7" t="n">
        <v>9</v>
      </c>
      <c r="H551" s="7" t="n">
        <v>1</v>
      </c>
      <c r="I551" s="7" t="n">
        <v>0</v>
      </c>
      <c r="J551" s="7" t="n">
        <v>2</v>
      </c>
      <c r="K551" s="7" t="n">
        <v>3</v>
      </c>
      <c r="L551" s="7" t="n">
        <v>16</v>
      </c>
      <c r="M551" s="7" t="n">
        <v>7</v>
      </c>
      <c r="N551" s="7" t="n">
        <v>8</v>
      </c>
      <c r="O551" s="7" t="n">
        <v>0</v>
      </c>
      <c r="P551" s="8" t="n">
        <f aca="false">IF(E551=0,0,G551/E551)</f>
        <v>0.290322580645161</v>
      </c>
      <c r="Q551" s="8" t="n">
        <f aca="false">IF(E551+N551=0,0,(G551+N551)/(E551+N551))</f>
        <v>0.435897435897436</v>
      </c>
      <c r="R551" s="8" t="n">
        <f aca="false">IF(E551=0,0,L551/E551)</f>
        <v>0.516129032258065</v>
      </c>
      <c r="S551" s="8" t="n">
        <f aca="false">R551+Q551</f>
        <v>0.9520264681555</v>
      </c>
      <c r="T551" s="8" t="n">
        <f aca="false">R551-P551</f>
        <v>0.225806451612903</v>
      </c>
    </row>
    <row r="552" customFormat="false" ht="14.25" hidden="false" customHeight="true" outlineLevel="0" collapsed="false">
      <c r="A552" s="6" t="n">
        <v>2023</v>
      </c>
      <c r="B552" s="6" t="s">
        <v>71</v>
      </c>
      <c r="C552" s="6" t="s">
        <v>281</v>
      </c>
      <c r="D552" s="7" t="n">
        <v>11</v>
      </c>
      <c r="E552" s="7" t="n">
        <v>31</v>
      </c>
      <c r="F552" s="7" t="n">
        <v>5</v>
      </c>
      <c r="G552" s="7" t="n">
        <v>9</v>
      </c>
      <c r="H552" s="7" t="n">
        <v>0</v>
      </c>
      <c r="I552" s="7" t="n">
        <v>0</v>
      </c>
      <c r="J552" s="7" t="n">
        <v>2</v>
      </c>
      <c r="K552" s="7" t="n">
        <v>2</v>
      </c>
      <c r="L552" s="7" t="n">
        <v>15</v>
      </c>
      <c r="M552" s="7" t="n">
        <v>5</v>
      </c>
      <c r="N552" s="7" t="n">
        <v>4</v>
      </c>
      <c r="O552" s="7" t="n">
        <v>0</v>
      </c>
      <c r="P552" s="8" t="n">
        <f aca="false">IF(E552=0,0,G552/E552)</f>
        <v>0.290322580645161</v>
      </c>
      <c r="Q552" s="8" t="n">
        <f aca="false">IF(E552+N552=0,0,(G552+N552)/(E552+N552))</f>
        <v>0.371428571428571</v>
      </c>
      <c r="R552" s="8" t="n">
        <f aca="false">IF(E552=0,0,L552/E552)</f>
        <v>0.483870967741936</v>
      </c>
      <c r="S552" s="8" t="n">
        <f aca="false">R552+Q552</f>
        <v>0.855299539170507</v>
      </c>
      <c r="T552" s="8" t="n">
        <f aca="false">R552-P552</f>
        <v>0.193548387096774</v>
      </c>
    </row>
    <row r="553" customFormat="false" ht="14.25" hidden="false" customHeight="true" outlineLevel="0" collapsed="false">
      <c r="A553" s="6" t="n">
        <v>2023</v>
      </c>
      <c r="B553" s="6" t="s">
        <v>71</v>
      </c>
      <c r="C553" s="6" t="s">
        <v>75</v>
      </c>
      <c r="D553" s="7" t="n">
        <v>6</v>
      </c>
      <c r="E553" s="7" t="n">
        <v>21</v>
      </c>
      <c r="F553" s="7" t="n">
        <v>8</v>
      </c>
      <c r="G553" s="7" t="n">
        <v>8</v>
      </c>
      <c r="H553" s="7" t="n">
        <v>2</v>
      </c>
      <c r="I553" s="7" t="n">
        <v>0</v>
      </c>
      <c r="J553" s="7" t="n">
        <v>4</v>
      </c>
      <c r="K553" s="7" t="n">
        <v>6</v>
      </c>
      <c r="L553" s="7" t="n">
        <v>22</v>
      </c>
      <c r="M553" s="7" t="n">
        <v>8</v>
      </c>
      <c r="N553" s="7" t="n">
        <v>1</v>
      </c>
      <c r="O553" s="7" t="n">
        <v>0</v>
      </c>
      <c r="P553" s="8" t="n">
        <f aca="false">IF(E553=0,0,G553/E553)</f>
        <v>0.380952380952381</v>
      </c>
      <c r="Q553" s="8" t="n">
        <f aca="false">IF(E553+N553=0,0,(G553+N553)/(E553+N553))</f>
        <v>0.409090909090909</v>
      </c>
      <c r="R553" s="8" t="n">
        <f aca="false">IF(E553=0,0,L553/E553)</f>
        <v>1.04761904761905</v>
      </c>
      <c r="S553" s="8" t="n">
        <f aca="false">R553+Q553</f>
        <v>1.45670995670996</v>
      </c>
      <c r="T553" s="8" t="n">
        <f aca="false">R553-P553</f>
        <v>0.666666666666667</v>
      </c>
    </row>
    <row r="554" customFormat="false" ht="14.25" hidden="false" customHeight="true" outlineLevel="0" collapsed="false">
      <c r="A554" s="6" t="n">
        <v>2023</v>
      </c>
      <c r="B554" s="6" t="s">
        <v>71</v>
      </c>
      <c r="C554" s="6" t="s">
        <v>85</v>
      </c>
      <c r="D554" s="7" t="n">
        <v>13</v>
      </c>
      <c r="E554" s="7" t="n">
        <v>35</v>
      </c>
      <c r="F554" s="7" t="n">
        <v>4</v>
      </c>
      <c r="G554" s="7" t="n">
        <v>8</v>
      </c>
      <c r="H554" s="7" t="n">
        <v>1</v>
      </c>
      <c r="I554" s="7" t="n">
        <v>0</v>
      </c>
      <c r="J554" s="7" t="n">
        <v>0</v>
      </c>
      <c r="K554" s="7" t="n">
        <v>1</v>
      </c>
      <c r="L554" s="7" t="n">
        <v>9</v>
      </c>
      <c r="M554" s="7" t="n">
        <v>4</v>
      </c>
      <c r="N554" s="7" t="n">
        <v>5</v>
      </c>
      <c r="O554" s="7" t="n">
        <v>1</v>
      </c>
      <c r="P554" s="8" t="n">
        <f aca="false">IF(E554=0,0,G554/E554)</f>
        <v>0.228571428571429</v>
      </c>
      <c r="Q554" s="8" t="n">
        <f aca="false">IF(E554+N554=0,0,(G554+N554)/(E554+N554))</f>
        <v>0.325</v>
      </c>
      <c r="R554" s="8" t="n">
        <f aca="false">IF(E554=0,0,L554/E554)</f>
        <v>0.257142857142857</v>
      </c>
      <c r="S554" s="8" t="n">
        <f aca="false">R554+Q554</f>
        <v>0.582142857142857</v>
      </c>
      <c r="T554" s="8" t="n">
        <f aca="false">R554-P554</f>
        <v>0.0285714285714286</v>
      </c>
    </row>
    <row r="555" customFormat="false" ht="14.25" hidden="false" customHeight="true" outlineLevel="0" collapsed="false">
      <c r="A555" s="6" t="n">
        <v>2023</v>
      </c>
      <c r="B555" s="6" t="s">
        <v>71</v>
      </c>
      <c r="C555" s="6" t="s">
        <v>79</v>
      </c>
      <c r="D555" s="7" t="n">
        <v>13</v>
      </c>
      <c r="E555" s="7" t="n">
        <v>37</v>
      </c>
      <c r="F555" s="7" t="n">
        <v>4</v>
      </c>
      <c r="G555" s="7" t="n">
        <v>8</v>
      </c>
      <c r="H555" s="7" t="n">
        <v>0</v>
      </c>
      <c r="I555" s="7" t="n">
        <v>0</v>
      </c>
      <c r="J555" s="7" t="n">
        <v>0</v>
      </c>
      <c r="K555" s="7" t="n">
        <v>0</v>
      </c>
      <c r="L555" s="7" t="n">
        <v>8</v>
      </c>
      <c r="M555" s="7" t="n">
        <v>8</v>
      </c>
      <c r="N555" s="7" t="n">
        <v>5</v>
      </c>
      <c r="O555" s="7" t="n">
        <v>0</v>
      </c>
      <c r="P555" s="8" t="n">
        <f aca="false">IF(E555=0,0,G555/E555)</f>
        <v>0.216216216216216</v>
      </c>
      <c r="Q555" s="8" t="n">
        <f aca="false">IF(E555+N555=0,0,(G555+N555)/(E555+N555))</f>
        <v>0.30952380952381</v>
      </c>
      <c r="R555" s="8" t="n">
        <f aca="false">IF(E555=0,0,L555/E555)</f>
        <v>0.216216216216216</v>
      </c>
      <c r="S555" s="8" t="n">
        <f aca="false">R555+Q555</f>
        <v>0.525740025740026</v>
      </c>
      <c r="T555" s="8" t="n">
        <f aca="false">R555-P555</f>
        <v>0</v>
      </c>
    </row>
    <row r="556" customFormat="false" ht="14.25" hidden="false" customHeight="true" outlineLevel="0" collapsed="false">
      <c r="A556" s="6" t="n">
        <v>2023</v>
      </c>
      <c r="B556" s="6" t="s">
        <v>71</v>
      </c>
      <c r="C556" s="6" t="s">
        <v>81</v>
      </c>
      <c r="D556" s="7" t="n">
        <v>6</v>
      </c>
      <c r="E556" s="7" t="n">
        <v>19</v>
      </c>
      <c r="F556" s="7" t="n">
        <v>7</v>
      </c>
      <c r="G556" s="7" t="n">
        <v>7</v>
      </c>
      <c r="H556" s="7" t="n">
        <v>0</v>
      </c>
      <c r="I556" s="7" t="n">
        <v>0</v>
      </c>
      <c r="J556" s="7" t="n">
        <v>2</v>
      </c>
      <c r="K556" s="7" t="n">
        <v>2</v>
      </c>
      <c r="L556" s="7" t="n">
        <v>13</v>
      </c>
      <c r="M556" s="7" t="n">
        <v>5</v>
      </c>
      <c r="N556" s="7" t="n">
        <v>3</v>
      </c>
      <c r="O556" s="7" t="n">
        <v>0</v>
      </c>
      <c r="P556" s="8" t="n">
        <f aca="false">IF(E556=0,0,G556/E556)</f>
        <v>0.368421052631579</v>
      </c>
      <c r="Q556" s="8" t="n">
        <f aca="false">IF(E556+N556=0,0,(G556+N556)/(E556+N556))</f>
        <v>0.454545454545455</v>
      </c>
      <c r="R556" s="8" t="n">
        <f aca="false">IF(E556=0,0,L556/E556)</f>
        <v>0.68421052631579</v>
      </c>
      <c r="S556" s="8" t="n">
        <f aca="false">R556+Q556</f>
        <v>1.13875598086124</v>
      </c>
      <c r="T556" s="8" t="n">
        <f aca="false">R556-P556</f>
        <v>0.315789473684211</v>
      </c>
    </row>
    <row r="557" customFormat="false" ht="14.25" hidden="false" customHeight="true" outlineLevel="0" collapsed="false">
      <c r="A557" s="6" t="n">
        <v>2023</v>
      </c>
      <c r="B557" s="6" t="s">
        <v>71</v>
      </c>
      <c r="C557" s="6" t="s">
        <v>80</v>
      </c>
      <c r="D557" s="7" t="n">
        <v>5</v>
      </c>
      <c r="E557" s="7" t="n">
        <v>18</v>
      </c>
      <c r="F557" s="7" t="n">
        <v>5</v>
      </c>
      <c r="G557" s="7" t="n">
        <v>6</v>
      </c>
      <c r="H557" s="7" t="n">
        <v>0</v>
      </c>
      <c r="I557" s="7" t="n">
        <v>0</v>
      </c>
      <c r="J557" s="7" t="n">
        <v>1</v>
      </c>
      <c r="K557" s="7" t="n">
        <v>1</v>
      </c>
      <c r="L557" s="7" t="n">
        <v>9</v>
      </c>
      <c r="M557" s="7" t="n">
        <v>2</v>
      </c>
      <c r="N557" s="7" t="n">
        <v>2</v>
      </c>
      <c r="O557" s="7" t="n">
        <v>0</v>
      </c>
      <c r="P557" s="8" t="n">
        <f aca="false">IF(E557=0,0,G557/E557)</f>
        <v>0.333333333333333</v>
      </c>
      <c r="Q557" s="8" t="n">
        <f aca="false">IF(E557+N557=0,0,(G557+N557)/(E557+N557))</f>
        <v>0.4</v>
      </c>
      <c r="R557" s="8" t="n">
        <f aca="false">IF(E557=0,0,L557/E557)</f>
        <v>0.5</v>
      </c>
      <c r="S557" s="8" t="n">
        <f aca="false">R557+Q557</f>
        <v>0.9</v>
      </c>
      <c r="T557" s="8" t="n">
        <f aca="false">R557-P557</f>
        <v>0.166666666666667</v>
      </c>
    </row>
    <row r="558" customFormat="false" ht="14.25" hidden="false" customHeight="true" outlineLevel="0" collapsed="false">
      <c r="A558" s="6" t="n">
        <v>2023</v>
      </c>
      <c r="B558" s="6" t="s">
        <v>71</v>
      </c>
      <c r="C558" s="6" t="s">
        <v>83</v>
      </c>
      <c r="D558" s="7" t="n">
        <v>8</v>
      </c>
      <c r="E558" s="7" t="n">
        <v>18</v>
      </c>
      <c r="F558" s="7" t="n">
        <v>6</v>
      </c>
      <c r="G558" s="7" t="n">
        <v>5</v>
      </c>
      <c r="H558" s="7" t="n">
        <v>0</v>
      </c>
      <c r="I558" s="7" t="n">
        <v>0</v>
      </c>
      <c r="J558" s="7" t="n">
        <v>0</v>
      </c>
      <c r="K558" s="7" t="n">
        <v>0</v>
      </c>
      <c r="L558" s="7" t="n">
        <v>5</v>
      </c>
      <c r="M558" s="7" t="n">
        <v>3</v>
      </c>
      <c r="N558" s="7" t="n">
        <v>7</v>
      </c>
      <c r="O558" s="7" t="n">
        <v>1</v>
      </c>
      <c r="P558" s="8" t="n">
        <f aca="false">IF(E558=0,0,G558/E558)</f>
        <v>0.277777777777778</v>
      </c>
      <c r="Q558" s="8" t="n">
        <f aca="false">IF(E558+N558=0,0,(G558+N558)/(E558+N558))</f>
        <v>0.48</v>
      </c>
      <c r="R558" s="8" t="n">
        <f aca="false">IF(E558=0,0,L558/E558)</f>
        <v>0.277777777777778</v>
      </c>
      <c r="S558" s="8" t="n">
        <f aca="false">R558+Q558</f>
        <v>0.757777777777778</v>
      </c>
      <c r="T558" s="8" t="n">
        <f aca="false">R558-P558</f>
        <v>0</v>
      </c>
    </row>
    <row r="559" customFormat="false" ht="14.25" hidden="false" customHeight="true" outlineLevel="0" collapsed="false">
      <c r="A559" s="6" t="n">
        <v>2023</v>
      </c>
      <c r="B559" s="6" t="s">
        <v>71</v>
      </c>
      <c r="C559" s="6" t="s">
        <v>243</v>
      </c>
      <c r="D559" s="7" t="n">
        <v>4</v>
      </c>
      <c r="E559" s="7" t="n">
        <v>13</v>
      </c>
      <c r="F559" s="7" t="n">
        <v>2</v>
      </c>
      <c r="G559" s="7" t="n">
        <v>4</v>
      </c>
      <c r="H559" s="7" t="n">
        <v>0</v>
      </c>
      <c r="I559" s="7" t="n">
        <v>0</v>
      </c>
      <c r="J559" s="7" t="n">
        <v>0</v>
      </c>
      <c r="K559" s="7" t="n">
        <v>0</v>
      </c>
      <c r="L559" s="7" t="n">
        <v>4</v>
      </c>
      <c r="M559" s="7" t="n">
        <v>1</v>
      </c>
      <c r="N559" s="7" t="n">
        <v>1</v>
      </c>
      <c r="O559" s="7" t="n">
        <v>2</v>
      </c>
      <c r="P559" s="8" t="n">
        <f aca="false">IF(E559=0,0,G559/E559)</f>
        <v>0.307692307692308</v>
      </c>
      <c r="Q559" s="8" t="n">
        <f aca="false">IF(E559+N559=0,0,(G559+N559)/(E559+N559))</f>
        <v>0.357142857142857</v>
      </c>
      <c r="R559" s="8" t="n">
        <f aca="false">IF(E559=0,0,L559/E559)</f>
        <v>0.307692307692308</v>
      </c>
      <c r="S559" s="8" t="n">
        <f aca="false">R559+Q559</f>
        <v>0.664835164835165</v>
      </c>
      <c r="T559" s="8" t="n">
        <f aca="false">R559-P559</f>
        <v>0</v>
      </c>
    </row>
    <row r="560" customFormat="false" ht="14.25" hidden="false" customHeight="true" outlineLevel="0" collapsed="false">
      <c r="A560" s="6" t="n">
        <v>2023</v>
      </c>
      <c r="B560" s="6" t="s">
        <v>71</v>
      </c>
      <c r="C560" s="6" t="s">
        <v>318</v>
      </c>
      <c r="D560" s="7" t="n">
        <v>4</v>
      </c>
      <c r="E560" s="7" t="n">
        <v>9</v>
      </c>
      <c r="F560" s="7" t="n">
        <v>2</v>
      </c>
      <c r="G560" s="7" t="n">
        <v>2</v>
      </c>
      <c r="H560" s="7" t="n">
        <v>0</v>
      </c>
      <c r="I560" s="7" t="n">
        <v>0</v>
      </c>
      <c r="J560" s="7" t="n">
        <v>0</v>
      </c>
      <c r="K560" s="7" t="n">
        <v>0</v>
      </c>
      <c r="L560" s="7" t="n">
        <v>2</v>
      </c>
      <c r="M560" s="7" t="n">
        <v>1</v>
      </c>
      <c r="N560" s="7" t="n">
        <v>1</v>
      </c>
      <c r="O560" s="7" t="n">
        <v>1</v>
      </c>
      <c r="P560" s="8" t="n">
        <f aca="false">IF(E560=0,0,G560/E560)</f>
        <v>0.222222222222222</v>
      </c>
      <c r="Q560" s="8" t="n">
        <f aca="false">IF(E560+N560=0,0,(G560+N560)/(E560+N560))</f>
        <v>0.3</v>
      </c>
      <c r="R560" s="8" t="n">
        <f aca="false">IF(E560=0,0,L560/E560)</f>
        <v>0.222222222222222</v>
      </c>
      <c r="S560" s="8" t="n">
        <f aca="false">R560+Q560</f>
        <v>0.522222222222222</v>
      </c>
      <c r="T560" s="8" t="n">
        <f aca="false">R560-P560</f>
        <v>0</v>
      </c>
    </row>
    <row r="561" customFormat="false" ht="14.25" hidden="false" customHeight="true" outlineLevel="0" collapsed="false">
      <c r="A561" s="6" t="n">
        <v>2023</v>
      </c>
      <c r="B561" s="6" t="s">
        <v>71</v>
      </c>
      <c r="C561" s="6" t="s">
        <v>88</v>
      </c>
      <c r="D561" s="7" t="n">
        <v>4</v>
      </c>
      <c r="E561" s="7" t="n">
        <v>10</v>
      </c>
      <c r="F561" s="7" t="n">
        <v>1</v>
      </c>
      <c r="G561" s="7" t="n">
        <v>2</v>
      </c>
      <c r="H561" s="7" t="n">
        <v>0</v>
      </c>
      <c r="I561" s="7" t="n">
        <v>0</v>
      </c>
      <c r="J561" s="7" t="n">
        <v>0</v>
      </c>
      <c r="K561" s="7" t="n">
        <v>0</v>
      </c>
      <c r="L561" s="7" t="n">
        <v>2</v>
      </c>
      <c r="M561" s="7" t="n">
        <v>1</v>
      </c>
      <c r="N561" s="7" t="n">
        <v>1</v>
      </c>
      <c r="O561" s="7" t="n">
        <v>0</v>
      </c>
      <c r="P561" s="8" t="n">
        <f aca="false">IF(E561=0,0,G561/E561)</f>
        <v>0.2</v>
      </c>
      <c r="Q561" s="8" t="n">
        <f aca="false">IF(E561+N561=0,0,(G561+N561)/(E561+N561))</f>
        <v>0.272727272727273</v>
      </c>
      <c r="R561" s="8" t="n">
        <f aca="false">IF(E561=0,0,L561/E561)</f>
        <v>0.2</v>
      </c>
      <c r="S561" s="8" t="n">
        <f aca="false">R561+Q561</f>
        <v>0.472727272727273</v>
      </c>
      <c r="T561" s="8" t="n">
        <f aca="false">R561-P561</f>
        <v>0</v>
      </c>
    </row>
    <row r="562" customFormat="false" ht="14.25" hidden="false" customHeight="true" outlineLevel="0" collapsed="false">
      <c r="A562" s="6" t="n">
        <v>2023</v>
      </c>
      <c r="B562" s="6" t="s">
        <v>71</v>
      </c>
      <c r="C562" s="6" t="s">
        <v>246</v>
      </c>
      <c r="D562" s="7" t="n">
        <v>3</v>
      </c>
      <c r="E562" s="7" t="n">
        <v>8</v>
      </c>
      <c r="F562" s="7" t="n">
        <v>0</v>
      </c>
      <c r="G562" s="7" t="n">
        <v>1</v>
      </c>
      <c r="H562" s="7" t="n">
        <v>0</v>
      </c>
      <c r="I562" s="7" t="n">
        <v>0</v>
      </c>
      <c r="J562" s="7" t="n">
        <v>0</v>
      </c>
      <c r="K562" s="7" t="n">
        <v>0</v>
      </c>
      <c r="L562" s="7" t="n">
        <v>1</v>
      </c>
      <c r="M562" s="7" t="n">
        <v>1</v>
      </c>
      <c r="N562" s="7" t="n">
        <v>0</v>
      </c>
      <c r="O562" s="7" t="n">
        <v>1</v>
      </c>
      <c r="P562" s="8" t="n">
        <f aca="false">IF(E562=0,0,G562/E562)</f>
        <v>0.125</v>
      </c>
      <c r="Q562" s="8" t="n">
        <f aca="false">IF(E562+N562=0,0,(G562+N562)/(E562+N562))</f>
        <v>0.125</v>
      </c>
      <c r="R562" s="8" t="n">
        <f aca="false">IF(E562=0,0,L562/E562)</f>
        <v>0.125</v>
      </c>
      <c r="S562" s="8" t="n">
        <f aca="false">R562+Q562</f>
        <v>0.25</v>
      </c>
      <c r="T562" s="8" t="n">
        <f aca="false">R562-P562</f>
        <v>0</v>
      </c>
    </row>
    <row r="563" customFormat="false" ht="14.25" hidden="false" customHeight="true" outlineLevel="0" collapsed="false">
      <c r="A563" s="6" t="n">
        <v>2023</v>
      </c>
      <c r="B563" s="6" t="s">
        <v>71</v>
      </c>
      <c r="C563" s="6" t="s">
        <v>319</v>
      </c>
      <c r="D563" s="7" t="n">
        <v>7</v>
      </c>
      <c r="E563" s="7" t="n">
        <v>12</v>
      </c>
      <c r="F563" s="7" t="n">
        <v>0</v>
      </c>
      <c r="G563" s="7" t="n">
        <v>1</v>
      </c>
      <c r="H563" s="7" t="n">
        <v>0</v>
      </c>
      <c r="I563" s="7" t="n">
        <v>0</v>
      </c>
      <c r="J563" s="7" t="n">
        <v>0</v>
      </c>
      <c r="K563" s="7" t="n">
        <v>0</v>
      </c>
      <c r="L563" s="7" t="n">
        <v>1</v>
      </c>
      <c r="M563" s="7" t="n">
        <v>1</v>
      </c>
      <c r="N563" s="7" t="n">
        <v>0</v>
      </c>
      <c r="O563" s="7" t="n">
        <v>0</v>
      </c>
      <c r="P563" s="8" t="n">
        <f aca="false">IF(E563=0,0,G563/E563)</f>
        <v>0.0833333333333333</v>
      </c>
      <c r="Q563" s="8" t="n">
        <f aca="false">IF(E563+N563=0,0,(G563+N563)/(E563+N563))</f>
        <v>0.0833333333333333</v>
      </c>
      <c r="R563" s="8" t="n">
        <f aca="false">IF(E563=0,0,L563/E563)</f>
        <v>0.0833333333333333</v>
      </c>
      <c r="S563" s="8" t="n">
        <f aca="false">R563+Q563</f>
        <v>0.166666666666667</v>
      </c>
      <c r="T563" s="8" t="n">
        <f aca="false">R563-P563</f>
        <v>0</v>
      </c>
    </row>
    <row r="564" customFormat="false" ht="14.25" hidden="false" customHeight="true" outlineLevel="0" collapsed="false">
      <c r="A564" s="6" t="n">
        <v>2023</v>
      </c>
      <c r="B564" s="6" t="s">
        <v>71</v>
      </c>
      <c r="C564" s="6" t="s">
        <v>320</v>
      </c>
      <c r="D564" s="7" t="n">
        <v>1</v>
      </c>
      <c r="E564" s="7" t="n">
        <v>3</v>
      </c>
      <c r="F564" s="7" t="n">
        <v>0</v>
      </c>
      <c r="G564" s="7" t="n">
        <v>1</v>
      </c>
      <c r="H564" s="7" t="n">
        <v>0</v>
      </c>
      <c r="I564" s="7" t="n">
        <v>0</v>
      </c>
      <c r="J564" s="7" t="n">
        <v>0</v>
      </c>
      <c r="K564" s="7" t="n">
        <v>0</v>
      </c>
      <c r="L564" s="7" t="n">
        <v>1</v>
      </c>
      <c r="M564" s="7" t="n">
        <v>0</v>
      </c>
      <c r="N564" s="7" t="n">
        <v>0</v>
      </c>
      <c r="O564" s="7" t="n">
        <v>0</v>
      </c>
      <c r="P564" s="8" t="n">
        <f aca="false">IF(E564=0,0,G564/E564)</f>
        <v>0.333333333333333</v>
      </c>
      <c r="Q564" s="8" t="n">
        <f aca="false">IF(E564+N564=0,0,(G564+N564)/(E564+N564))</f>
        <v>0.333333333333333</v>
      </c>
      <c r="R564" s="8" t="n">
        <f aca="false">IF(E564=0,0,L564/E564)</f>
        <v>0.333333333333333</v>
      </c>
      <c r="S564" s="8" t="n">
        <f aca="false">R564+Q564</f>
        <v>0.666666666666667</v>
      </c>
      <c r="T564" s="8" t="n">
        <f aca="false">R564-P564</f>
        <v>0</v>
      </c>
    </row>
    <row r="565" customFormat="false" ht="14.25" hidden="false" customHeight="true" outlineLevel="0" collapsed="false">
      <c r="A565" s="6" t="n">
        <v>2023</v>
      </c>
      <c r="B565" s="6" t="s">
        <v>71</v>
      </c>
      <c r="C565" s="6" t="s">
        <v>120</v>
      </c>
      <c r="D565" s="7" t="n">
        <v>1</v>
      </c>
      <c r="E565" s="7" t="n">
        <v>3</v>
      </c>
      <c r="F565" s="7" t="n">
        <v>0</v>
      </c>
      <c r="G565" s="7" t="n">
        <v>0</v>
      </c>
      <c r="H565" s="7" t="n">
        <v>0</v>
      </c>
      <c r="I565" s="7" t="n">
        <v>0</v>
      </c>
      <c r="J565" s="7" t="n">
        <v>0</v>
      </c>
      <c r="K565" s="7" t="n">
        <v>0</v>
      </c>
      <c r="L565" s="7" t="n">
        <v>0</v>
      </c>
      <c r="M565" s="7" t="n">
        <v>0</v>
      </c>
      <c r="N565" s="7" t="n">
        <v>0</v>
      </c>
      <c r="O565" s="7" t="n">
        <v>3</v>
      </c>
      <c r="P565" s="8" t="n">
        <f aca="false">IF(E565=0,0,G565/E565)</f>
        <v>0</v>
      </c>
      <c r="Q565" s="8" t="n">
        <f aca="false">IF(E565+N565=0,0,(G565+N565)/(E565+N565))</f>
        <v>0</v>
      </c>
      <c r="R565" s="8" t="n">
        <f aca="false">IF(E565=0,0,L565/E565)</f>
        <v>0</v>
      </c>
      <c r="S565" s="8" t="n">
        <f aca="false">R565+Q565</f>
        <v>0</v>
      </c>
      <c r="T565" s="8" t="n">
        <f aca="false">R565-P565</f>
        <v>0</v>
      </c>
    </row>
    <row r="566" customFormat="false" ht="14.25" hidden="false" customHeight="true" outlineLevel="0" collapsed="false">
      <c r="A566" s="6" t="n">
        <v>2023</v>
      </c>
      <c r="B566" s="6" t="s">
        <v>71</v>
      </c>
      <c r="C566" s="6" t="s">
        <v>240</v>
      </c>
      <c r="D566" s="7" t="n">
        <v>1</v>
      </c>
      <c r="E566" s="7" t="n">
        <v>3</v>
      </c>
      <c r="F566" s="7" t="n">
        <v>0</v>
      </c>
      <c r="G566" s="7" t="n">
        <v>0</v>
      </c>
      <c r="H566" s="7" t="n">
        <v>0</v>
      </c>
      <c r="I566" s="7" t="n">
        <v>0</v>
      </c>
      <c r="J566" s="7" t="n">
        <v>0</v>
      </c>
      <c r="K566" s="7" t="n">
        <v>0</v>
      </c>
      <c r="L566" s="7" t="n">
        <v>0</v>
      </c>
      <c r="M566" s="7" t="n">
        <v>0</v>
      </c>
      <c r="N566" s="7" t="n">
        <v>0</v>
      </c>
      <c r="O566" s="7" t="n">
        <v>2</v>
      </c>
      <c r="P566" s="8" t="n">
        <f aca="false">IF(E566=0,0,G566/E566)</f>
        <v>0</v>
      </c>
      <c r="Q566" s="8" t="n">
        <f aca="false">IF(E566+N566=0,0,(G566+N566)/(E566+N566))</f>
        <v>0</v>
      </c>
      <c r="R566" s="8" t="n">
        <f aca="false">IF(E566=0,0,L566/E566)</f>
        <v>0</v>
      </c>
      <c r="S566" s="8" t="n">
        <f aca="false">R566+Q566</f>
        <v>0</v>
      </c>
      <c r="T566" s="8" t="n">
        <f aca="false">R566-P566</f>
        <v>0</v>
      </c>
    </row>
    <row r="567" customFormat="false" ht="14.25" hidden="false" customHeight="true" outlineLevel="0" collapsed="false">
      <c r="A567" s="6" t="n">
        <v>2023</v>
      </c>
      <c r="B567" s="6" t="s">
        <v>71</v>
      </c>
      <c r="C567" s="6" t="s">
        <v>321</v>
      </c>
      <c r="D567" s="7" t="n">
        <v>1</v>
      </c>
      <c r="E567" s="7" t="n">
        <v>1</v>
      </c>
      <c r="F567" s="7" t="n">
        <v>0</v>
      </c>
      <c r="G567" s="7" t="n">
        <v>0</v>
      </c>
      <c r="H567" s="7" t="n">
        <v>0</v>
      </c>
      <c r="I567" s="7" t="n">
        <v>0</v>
      </c>
      <c r="J567" s="7" t="n">
        <v>0</v>
      </c>
      <c r="K567" s="7" t="n">
        <v>0</v>
      </c>
      <c r="L567" s="7" t="n">
        <v>0</v>
      </c>
      <c r="M567" s="7" t="n">
        <v>0</v>
      </c>
      <c r="N567" s="7" t="n">
        <v>1</v>
      </c>
      <c r="O567" s="7" t="n">
        <v>1</v>
      </c>
      <c r="P567" s="8" t="n">
        <f aca="false">IF(E567=0,0,G567/E567)</f>
        <v>0</v>
      </c>
      <c r="Q567" s="8" t="n">
        <f aca="false">IF(E567+N567=0,0,(G567+N567)/(E567+N567))</f>
        <v>0.5</v>
      </c>
      <c r="R567" s="8" t="n">
        <f aca="false">IF(E567=0,0,L567/E567)</f>
        <v>0</v>
      </c>
      <c r="S567" s="8" t="n">
        <f aca="false">R567+Q567</f>
        <v>0.5</v>
      </c>
      <c r="T567" s="8" t="n">
        <f aca="false">R567-P567</f>
        <v>0</v>
      </c>
    </row>
    <row r="568" customFormat="false" ht="14.25" hidden="false" customHeight="true" outlineLevel="0" collapsed="false">
      <c r="A568" s="6" t="n">
        <v>2023</v>
      </c>
      <c r="B568" s="6" t="s">
        <v>71</v>
      </c>
      <c r="C568" s="6" t="s">
        <v>87</v>
      </c>
      <c r="D568" s="7" t="n">
        <v>2</v>
      </c>
      <c r="E568" s="7" t="n">
        <v>4</v>
      </c>
      <c r="F568" s="7" t="n">
        <v>0</v>
      </c>
      <c r="G568" s="7" t="n">
        <v>0</v>
      </c>
      <c r="H568" s="7" t="n">
        <v>0</v>
      </c>
      <c r="I568" s="7" t="n">
        <v>0</v>
      </c>
      <c r="J568" s="7" t="n">
        <v>0</v>
      </c>
      <c r="K568" s="7" t="n">
        <v>0</v>
      </c>
      <c r="L568" s="7" t="n">
        <v>0</v>
      </c>
      <c r="M568" s="7" t="n">
        <v>0</v>
      </c>
      <c r="N568" s="7" t="n">
        <v>0</v>
      </c>
      <c r="O568" s="7" t="n">
        <v>1</v>
      </c>
      <c r="P568" s="8" t="n">
        <f aca="false">IF(E568=0,0,G568/E568)</f>
        <v>0</v>
      </c>
      <c r="Q568" s="8" t="n">
        <f aca="false">IF(E568+N568=0,0,(G568+N568)/(E568+N568))</f>
        <v>0</v>
      </c>
      <c r="R568" s="8" t="n">
        <f aca="false">IF(E568=0,0,L568/E568)</f>
        <v>0</v>
      </c>
      <c r="S568" s="8" t="n">
        <f aca="false">R568+Q568</f>
        <v>0</v>
      </c>
      <c r="T568" s="8" t="n">
        <f aca="false">R568-P568</f>
        <v>0</v>
      </c>
    </row>
    <row r="569" customFormat="false" ht="14.25" hidden="false" customHeight="true" outlineLevel="0" collapsed="false">
      <c r="A569" s="6" t="n">
        <v>2023</v>
      </c>
      <c r="B569" s="6" t="s">
        <v>71</v>
      </c>
      <c r="C569" s="6" t="s">
        <v>322</v>
      </c>
      <c r="D569" s="7" t="n">
        <v>1</v>
      </c>
      <c r="E569" s="7" t="n">
        <v>3</v>
      </c>
      <c r="F569" s="7" t="n">
        <v>0</v>
      </c>
      <c r="G569" s="7" t="n">
        <v>0</v>
      </c>
      <c r="H569" s="7" t="n">
        <v>0</v>
      </c>
      <c r="I569" s="7" t="n">
        <v>0</v>
      </c>
      <c r="J569" s="7" t="n">
        <v>0</v>
      </c>
      <c r="K569" s="7" t="n">
        <v>0</v>
      </c>
      <c r="L569" s="7" t="n">
        <v>0</v>
      </c>
      <c r="M569" s="7" t="n">
        <v>0</v>
      </c>
      <c r="N569" s="7" t="n">
        <v>0</v>
      </c>
      <c r="O569" s="7" t="n">
        <v>1</v>
      </c>
      <c r="P569" s="8" t="n">
        <f aca="false">IF(E569=0,0,G569/E569)</f>
        <v>0</v>
      </c>
      <c r="Q569" s="8" t="n">
        <f aca="false">IF(E569+N569=0,0,(G569+N569)/(E569+N569))</f>
        <v>0</v>
      </c>
      <c r="R569" s="8" t="n">
        <f aca="false">IF(E569=0,0,L569/E569)</f>
        <v>0</v>
      </c>
      <c r="S569" s="8" t="n">
        <f aca="false">R569+Q569</f>
        <v>0</v>
      </c>
      <c r="T569" s="8" t="n">
        <f aca="false">R569-P569</f>
        <v>0</v>
      </c>
    </row>
    <row r="570" customFormat="false" ht="14.25" hidden="false" customHeight="true" outlineLevel="0" collapsed="false">
      <c r="A570" s="6" t="n">
        <v>2023</v>
      </c>
      <c r="B570" s="6" t="s">
        <v>71</v>
      </c>
      <c r="C570" s="6" t="s">
        <v>242</v>
      </c>
      <c r="D570" s="7" t="n">
        <v>1</v>
      </c>
      <c r="E570" s="7" t="n">
        <v>3</v>
      </c>
      <c r="F570" s="7" t="n">
        <v>0</v>
      </c>
      <c r="G570" s="7" t="n">
        <v>0</v>
      </c>
      <c r="H570" s="7" t="n">
        <v>0</v>
      </c>
      <c r="I570" s="7" t="n">
        <v>0</v>
      </c>
      <c r="J570" s="7" t="n">
        <v>0</v>
      </c>
      <c r="K570" s="7" t="n">
        <v>0</v>
      </c>
      <c r="L570" s="7" t="n">
        <v>0</v>
      </c>
      <c r="M570" s="7" t="n">
        <v>0</v>
      </c>
      <c r="N570" s="7" t="n">
        <v>0</v>
      </c>
      <c r="O570" s="7" t="n">
        <v>1</v>
      </c>
      <c r="P570" s="8" t="n">
        <f aca="false">IF(E570=0,0,G570/E570)</f>
        <v>0</v>
      </c>
      <c r="Q570" s="8" t="n">
        <f aca="false">IF(E570+N570=0,0,(G570+N570)/(E570+N570))</f>
        <v>0</v>
      </c>
      <c r="R570" s="8" t="n">
        <f aca="false">IF(E570=0,0,L570/E570)</f>
        <v>0</v>
      </c>
      <c r="S570" s="8" t="n">
        <f aca="false">R570+Q570</f>
        <v>0</v>
      </c>
      <c r="T570" s="8" t="n">
        <f aca="false">R570-P570</f>
        <v>0</v>
      </c>
    </row>
    <row r="571" customFormat="false" ht="14.25" hidden="false" customHeight="true" outlineLevel="0" collapsed="false">
      <c r="A571" s="6" t="n">
        <v>2023</v>
      </c>
      <c r="B571" s="6" t="s">
        <v>71</v>
      </c>
      <c r="C571" s="6" t="s">
        <v>245</v>
      </c>
      <c r="D571" s="7" t="n">
        <v>1</v>
      </c>
      <c r="E571" s="7" t="n">
        <v>2</v>
      </c>
      <c r="F571" s="7" t="n">
        <v>0</v>
      </c>
      <c r="G571" s="7" t="n">
        <v>0</v>
      </c>
      <c r="H571" s="7" t="n">
        <v>0</v>
      </c>
      <c r="I571" s="7" t="n">
        <v>0</v>
      </c>
      <c r="J571" s="7" t="n">
        <v>0</v>
      </c>
      <c r="K571" s="7" t="n">
        <v>0</v>
      </c>
      <c r="L571" s="7" t="n">
        <v>0</v>
      </c>
      <c r="M571" s="7" t="n">
        <v>0</v>
      </c>
      <c r="N571" s="7" t="n">
        <v>0</v>
      </c>
      <c r="O571" s="7" t="n">
        <v>1</v>
      </c>
      <c r="P571" s="8" t="n">
        <f aca="false">IF(E571=0,0,G571/E571)</f>
        <v>0</v>
      </c>
      <c r="Q571" s="8" t="n">
        <f aca="false">IF(E571+N571=0,0,(G571+N571)/(E571+N571))</f>
        <v>0</v>
      </c>
      <c r="R571" s="8" t="n">
        <f aca="false">IF(E571=0,0,L571/E571)</f>
        <v>0</v>
      </c>
      <c r="S571" s="8" t="n">
        <f aca="false">R571+Q571</f>
        <v>0</v>
      </c>
      <c r="T571" s="8" t="n">
        <f aca="false">R571-P571</f>
        <v>0</v>
      </c>
    </row>
    <row r="572" customFormat="false" ht="14.25" hidden="false" customHeight="true" outlineLevel="0" collapsed="false">
      <c r="A572" s="6" t="n">
        <v>2023</v>
      </c>
      <c r="B572" s="6" t="s">
        <v>71</v>
      </c>
      <c r="C572" s="6" t="s">
        <v>92</v>
      </c>
      <c r="D572" s="7" t="n">
        <v>4</v>
      </c>
      <c r="E572" s="7" t="n">
        <v>11</v>
      </c>
      <c r="F572" s="7" t="n">
        <v>2</v>
      </c>
      <c r="G572" s="7" t="n">
        <v>0</v>
      </c>
      <c r="H572" s="7" t="n">
        <v>0</v>
      </c>
      <c r="I572" s="7" t="n">
        <v>0</v>
      </c>
      <c r="J572" s="7" t="n">
        <v>0</v>
      </c>
      <c r="K572" s="7" t="n">
        <v>0</v>
      </c>
      <c r="L572" s="7" t="n">
        <v>0</v>
      </c>
      <c r="M572" s="7" t="n">
        <v>0</v>
      </c>
      <c r="N572" s="7" t="n">
        <v>1</v>
      </c>
      <c r="O572" s="7" t="n">
        <v>0</v>
      </c>
      <c r="P572" s="8" t="n">
        <f aca="false">IF(E572=0,0,G572/E572)</f>
        <v>0</v>
      </c>
      <c r="Q572" s="8" t="n">
        <f aca="false">IF(E572+N572=0,0,(G572+N572)/(E572+N572))</f>
        <v>0.0833333333333333</v>
      </c>
      <c r="R572" s="8" t="n">
        <f aca="false">IF(E572=0,0,L572/E572)</f>
        <v>0</v>
      </c>
      <c r="S572" s="8" t="n">
        <f aca="false">R572+Q572</f>
        <v>0.0833333333333333</v>
      </c>
      <c r="T572" s="8" t="n">
        <f aca="false">R572-P572</f>
        <v>0</v>
      </c>
    </row>
    <row r="573" customFormat="false" ht="14.25" hidden="false" customHeight="true" outlineLevel="0" collapsed="false">
      <c r="A573" s="6" t="n">
        <v>2023</v>
      </c>
      <c r="B573" s="6" t="s">
        <v>71</v>
      </c>
      <c r="C573" s="6" t="s">
        <v>323</v>
      </c>
      <c r="D573" s="7" t="n">
        <v>3</v>
      </c>
      <c r="E573" s="7" t="n">
        <v>7</v>
      </c>
      <c r="F573" s="7" t="n">
        <v>0</v>
      </c>
      <c r="G573" s="7" t="n">
        <v>0</v>
      </c>
      <c r="H573" s="7" t="n">
        <v>0</v>
      </c>
      <c r="I573" s="7" t="n">
        <v>0</v>
      </c>
      <c r="J573" s="7" t="n">
        <v>0</v>
      </c>
      <c r="K573" s="7" t="n">
        <v>0</v>
      </c>
      <c r="L573" s="7" t="n">
        <v>0</v>
      </c>
      <c r="M573" s="7" t="n">
        <v>0</v>
      </c>
      <c r="N573" s="7" t="n">
        <v>0</v>
      </c>
      <c r="O573" s="7" t="n">
        <v>0</v>
      </c>
      <c r="P573" s="8" t="n">
        <f aca="false">IF(E573=0,0,G573/E573)</f>
        <v>0</v>
      </c>
      <c r="Q573" s="8" t="n">
        <f aca="false">IF(E573+N573=0,0,(G573+N573)/(E573+N573))</f>
        <v>0</v>
      </c>
      <c r="R573" s="8" t="n">
        <f aca="false">IF(E573=0,0,L573/E573)</f>
        <v>0</v>
      </c>
      <c r="S573" s="8" t="n">
        <f aca="false">R573+Q573</f>
        <v>0</v>
      </c>
      <c r="T573" s="8" t="n">
        <f aca="false">R573-P573</f>
        <v>0</v>
      </c>
    </row>
    <row r="574" customFormat="false" ht="14.25" hidden="false" customHeight="true" outlineLevel="0" collapsed="false">
      <c r="A574" s="6" t="n">
        <v>2023</v>
      </c>
      <c r="B574" s="6" t="s">
        <v>71</v>
      </c>
      <c r="C574" s="6" t="s">
        <v>324</v>
      </c>
      <c r="D574" s="7" t="n">
        <v>1</v>
      </c>
      <c r="E574" s="7" t="n">
        <v>4</v>
      </c>
      <c r="F574" s="7" t="n">
        <v>0</v>
      </c>
      <c r="G574" s="7" t="n">
        <v>0</v>
      </c>
      <c r="H574" s="7" t="n">
        <v>0</v>
      </c>
      <c r="I574" s="7" t="n">
        <v>0</v>
      </c>
      <c r="J574" s="7" t="n">
        <v>0</v>
      </c>
      <c r="K574" s="7" t="n">
        <v>0</v>
      </c>
      <c r="L574" s="7" t="n">
        <v>0</v>
      </c>
      <c r="M574" s="7" t="n">
        <v>0</v>
      </c>
      <c r="N574" s="7" t="n">
        <v>0</v>
      </c>
      <c r="O574" s="7" t="n">
        <v>0</v>
      </c>
      <c r="P574" s="8" t="n">
        <f aca="false">IF(E574=0,0,G574/E574)</f>
        <v>0</v>
      </c>
      <c r="Q574" s="8" t="n">
        <f aca="false">IF(E574+N574=0,0,(G574+N574)/(E574+N574))</f>
        <v>0</v>
      </c>
      <c r="R574" s="8" t="n">
        <f aca="false">IF(E574=0,0,L574/E574)</f>
        <v>0</v>
      </c>
      <c r="S574" s="8" t="n">
        <f aca="false">R574+Q574</f>
        <v>0</v>
      </c>
      <c r="T574" s="8" t="n">
        <f aca="false">R574-P574</f>
        <v>0</v>
      </c>
    </row>
    <row r="575" customFormat="false" ht="14.25" hidden="false" customHeight="true" outlineLevel="0" collapsed="false">
      <c r="A575" s="6" t="n">
        <v>2023</v>
      </c>
      <c r="B575" s="6" t="s">
        <v>71</v>
      </c>
      <c r="C575" s="6" t="s">
        <v>90</v>
      </c>
      <c r="D575" s="7" t="n">
        <v>2</v>
      </c>
      <c r="E575" s="7" t="n">
        <v>4</v>
      </c>
      <c r="F575" s="7" t="n">
        <v>0</v>
      </c>
      <c r="G575" s="7" t="n">
        <v>0</v>
      </c>
      <c r="H575" s="7" t="n">
        <v>0</v>
      </c>
      <c r="I575" s="7" t="n">
        <v>0</v>
      </c>
      <c r="J575" s="7" t="n">
        <v>0</v>
      </c>
      <c r="K575" s="7" t="n">
        <v>0</v>
      </c>
      <c r="L575" s="7" t="n">
        <v>0</v>
      </c>
      <c r="M575" s="7" t="n">
        <v>0</v>
      </c>
      <c r="N575" s="7" t="n">
        <v>0</v>
      </c>
      <c r="O575" s="7" t="n">
        <v>0</v>
      </c>
      <c r="P575" s="8" t="n">
        <f aca="false">IF(E575=0,0,G575/E575)</f>
        <v>0</v>
      </c>
      <c r="Q575" s="8" t="n">
        <f aca="false">IF(E575+N575=0,0,(G575+N575)/(E575+N575))</f>
        <v>0</v>
      </c>
      <c r="R575" s="8" t="n">
        <f aca="false">IF(E575=0,0,L575/E575)</f>
        <v>0</v>
      </c>
      <c r="S575" s="8" t="n">
        <f aca="false">R575+Q575</f>
        <v>0</v>
      </c>
      <c r="T575" s="8" t="n">
        <f aca="false">R575-P575</f>
        <v>0</v>
      </c>
    </row>
    <row r="576" customFormat="false" ht="14.25" hidden="false" customHeight="true" outlineLevel="0" collapsed="false">
      <c r="A576" s="6" t="n">
        <v>2023</v>
      </c>
      <c r="B576" s="6" t="s">
        <v>71</v>
      </c>
      <c r="C576" s="6" t="s">
        <v>135</v>
      </c>
      <c r="D576" s="7" t="n">
        <v>1</v>
      </c>
      <c r="E576" s="7" t="n">
        <v>1</v>
      </c>
      <c r="F576" s="7" t="n">
        <v>0</v>
      </c>
      <c r="G576" s="7" t="n">
        <v>0</v>
      </c>
      <c r="H576" s="7" t="n">
        <v>0</v>
      </c>
      <c r="I576" s="7" t="n">
        <v>0</v>
      </c>
      <c r="J576" s="7" t="n">
        <v>0</v>
      </c>
      <c r="K576" s="7" t="n">
        <v>0</v>
      </c>
      <c r="L576" s="7" t="n">
        <v>0</v>
      </c>
      <c r="M576" s="7" t="n">
        <v>0</v>
      </c>
      <c r="N576" s="7" t="n">
        <v>0</v>
      </c>
      <c r="O576" s="7" t="n">
        <v>0</v>
      </c>
      <c r="P576" s="8" t="n">
        <f aca="false">IF(E576=0,0,G576/E576)</f>
        <v>0</v>
      </c>
      <c r="Q576" s="8" t="n">
        <f aca="false">IF(E576+N576=0,0,(G576+N576)/(E576+N576))</f>
        <v>0</v>
      </c>
      <c r="R576" s="8" t="n">
        <f aca="false">IF(E576=0,0,L576/E576)</f>
        <v>0</v>
      </c>
      <c r="S576" s="8" t="n">
        <f aca="false">R576+Q576</f>
        <v>0</v>
      </c>
      <c r="T576" s="8" t="n">
        <f aca="false">R576-P576</f>
        <v>0</v>
      </c>
    </row>
    <row r="577" customFormat="false" ht="14.25" hidden="false" customHeight="true" outlineLevel="0" collapsed="false">
      <c r="A577" s="6" t="n">
        <v>2023</v>
      </c>
      <c r="B577" s="6" t="s">
        <v>97</v>
      </c>
      <c r="C577" s="6" t="s">
        <v>254</v>
      </c>
      <c r="D577" s="7" t="n">
        <v>12</v>
      </c>
      <c r="E577" s="7" t="n">
        <v>38</v>
      </c>
      <c r="F577" s="7" t="n">
        <v>7</v>
      </c>
      <c r="G577" s="7" t="n">
        <v>16</v>
      </c>
      <c r="H577" s="7" t="n">
        <v>3</v>
      </c>
      <c r="I577" s="7" t="n">
        <v>1</v>
      </c>
      <c r="J577" s="7" t="n">
        <v>3</v>
      </c>
      <c r="K577" s="7" t="n">
        <v>7</v>
      </c>
      <c r="L577" s="7" t="n">
        <v>30</v>
      </c>
      <c r="M577" s="7" t="n">
        <v>14</v>
      </c>
      <c r="N577" s="7" t="n">
        <v>2</v>
      </c>
      <c r="O577" s="7" t="n">
        <v>1</v>
      </c>
      <c r="P577" s="8" t="n">
        <f aca="false">IF(E577=0,0,G577/E577)</f>
        <v>0.421052631578947</v>
      </c>
      <c r="Q577" s="8" t="n">
        <f aca="false">IF(E577+N577=0,0,(G577+N577)/(E577+N577))</f>
        <v>0.45</v>
      </c>
      <c r="R577" s="8" t="n">
        <f aca="false">IF(E577=0,0,L577/E577)</f>
        <v>0.789473684210526</v>
      </c>
      <c r="S577" s="8" t="n">
        <f aca="false">R577+Q577</f>
        <v>1.23947368421053</v>
      </c>
      <c r="T577" s="8" t="n">
        <f aca="false">R577-P577</f>
        <v>0.368421052631579</v>
      </c>
    </row>
    <row r="578" customFormat="false" ht="14.25" hidden="false" customHeight="true" outlineLevel="0" collapsed="false">
      <c r="A578" s="6" t="n">
        <v>2023</v>
      </c>
      <c r="B578" s="6" t="s">
        <v>97</v>
      </c>
      <c r="C578" s="6" t="s">
        <v>325</v>
      </c>
      <c r="D578" s="7" t="n">
        <v>12</v>
      </c>
      <c r="E578" s="7" t="n">
        <v>40</v>
      </c>
      <c r="F578" s="7" t="n">
        <v>13</v>
      </c>
      <c r="G578" s="7" t="n">
        <v>15</v>
      </c>
      <c r="H578" s="7" t="n">
        <v>2</v>
      </c>
      <c r="I578" s="7" t="n">
        <v>0</v>
      </c>
      <c r="J578" s="7" t="n">
        <v>2</v>
      </c>
      <c r="K578" s="7" t="n">
        <v>4</v>
      </c>
      <c r="L578" s="7" t="n">
        <v>23</v>
      </c>
      <c r="M578" s="7" t="n">
        <v>10</v>
      </c>
      <c r="N578" s="7" t="n">
        <v>5</v>
      </c>
      <c r="O578" s="7" t="n">
        <v>1</v>
      </c>
      <c r="P578" s="8" t="n">
        <f aca="false">IF(E578=0,0,G578/E578)</f>
        <v>0.375</v>
      </c>
      <c r="Q578" s="8" t="n">
        <f aca="false">IF(E578+N578=0,0,(G578+N578)/(E578+N578))</f>
        <v>0.444444444444444</v>
      </c>
      <c r="R578" s="8" t="n">
        <f aca="false">IF(E578=0,0,L578/E578)</f>
        <v>0.575</v>
      </c>
      <c r="S578" s="8" t="n">
        <f aca="false">R578+Q578</f>
        <v>1.01944444444444</v>
      </c>
      <c r="T578" s="8" t="n">
        <f aca="false">R578-P578</f>
        <v>0.2</v>
      </c>
    </row>
    <row r="579" customFormat="false" ht="14.25" hidden="false" customHeight="true" outlineLevel="0" collapsed="false">
      <c r="A579" s="6" t="n">
        <v>2023</v>
      </c>
      <c r="B579" s="6" t="s">
        <v>97</v>
      </c>
      <c r="C579" s="6" t="s">
        <v>102</v>
      </c>
      <c r="D579" s="7" t="n">
        <v>12</v>
      </c>
      <c r="E579" s="7" t="n">
        <v>38</v>
      </c>
      <c r="F579" s="7" t="n">
        <v>8</v>
      </c>
      <c r="G579" s="7" t="n">
        <v>13</v>
      </c>
      <c r="H579" s="7" t="n">
        <v>0</v>
      </c>
      <c r="I579" s="7" t="n">
        <v>0</v>
      </c>
      <c r="J579" s="7" t="n">
        <v>1</v>
      </c>
      <c r="K579" s="7" t="n">
        <v>1</v>
      </c>
      <c r="L579" s="7" t="n">
        <v>16</v>
      </c>
      <c r="M579" s="7" t="n">
        <v>2</v>
      </c>
      <c r="N579" s="7" t="n">
        <v>4</v>
      </c>
      <c r="O579" s="7" t="n">
        <v>2</v>
      </c>
      <c r="P579" s="8" t="n">
        <f aca="false">IF(E579=0,0,G579/E579)</f>
        <v>0.342105263157895</v>
      </c>
      <c r="Q579" s="8" t="n">
        <f aca="false">IF(E579+N579=0,0,(G579+N579)/(E579+N579))</f>
        <v>0.404761904761905</v>
      </c>
      <c r="R579" s="8" t="n">
        <f aca="false">IF(E579=0,0,L579/E579)</f>
        <v>0.421052631578947</v>
      </c>
      <c r="S579" s="8" t="n">
        <f aca="false">R579+Q579</f>
        <v>0.825814536340852</v>
      </c>
      <c r="T579" s="8" t="n">
        <f aca="false">R579-P579</f>
        <v>0.0789473684210526</v>
      </c>
    </row>
    <row r="580" customFormat="false" ht="14.25" hidden="false" customHeight="true" outlineLevel="0" collapsed="false">
      <c r="A580" s="6" t="n">
        <v>2023</v>
      </c>
      <c r="B580" s="6" t="s">
        <v>97</v>
      </c>
      <c r="C580" s="6" t="s">
        <v>253</v>
      </c>
      <c r="D580" s="7" t="n">
        <v>9</v>
      </c>
      <c r="E580" s="7" t="n">
        <v>28</v>
      </c>
      <c r="F580" s="7" t="n">
        <v>7</v>
      </c>
      <c r="G580" s="7" t="n">
        <v>11</v>
      </c>
      <c r="H580" s="7" t="n">
        <v>1</v>
      </c>
      <c r="I580" s="7" t="n">
        <v>0</v>
      </c>
      <c r="J580" s="7" t="n">
        <v>6</v>
      </c>
      <c r="K580" s="7" t="n">
        <v>7</v>
      </c>
      <c r="L580" s="7" t="n">
        <v>30</v>
      </c>
      <c r="M580" s="7" t="n">
        <v>13</v>
      </c>
      <c r="N580" s="7" t="n">
        <v>5</v>
      </c>
      <c r="O580" s="7" t="n">
        <v>1</v>
      </c>
      <c r="P580" s="8" t="n">
        <f aca="false">IF(E580=0,0,G580/E580)</f>
        <v>0.392857142857143</v>
      </c>
      <c r="Q580" s="8" t="n">
        <f aca="false">IF(E580+N580=0,0,(G580+N580)/(E580+N580))</f>
        <v>0.484848484848485</v>
      </c>
      <c r="R580" s="8" t="n">
        <f aca="false">IF(E580=0,0,L580/E580)</f>
        <v>1.07142857142857</v>
      </c>
      <c r="S580" s="8" t="n">
        <f aca="false">R580+Q580</f>
        <v>1.55627705627706</v>
      </c>
      <c r="T580" s="8" t="n">
        <f aca="false">R580-P580</f>
        <v>0.678571428571429</v>
      </c>
    </row>
    <row r="581" customFormat="false" ht="14.25" hidden="false" customHeight="true" outlineLevel="0" collapsed="false">
      <c r="A581" s="6" t="n">
        <v>2023</v>
      </c>
      <c r="B581" s="6" t="s">
        <v>97</v>
      </c>
      <c r="C581" s="6" t="s">
        <v>285</v>
      </c>
      <c r="D581" s="7" t="n">
        <v>8</v>
      </c>
      <c r="E581" s="7" t="n">
        <v>21</v>
      </c>
      <c r="F581" s="7" t="n">
        <v>7</v>
      </c>
      <c r="G581" s="7" t="n">
        <v>11</v>
      </c>
      <c r="H581" s="7" t="n">
        <v>4</v>
      </c>
      <c r="I581" s="7" t="n">
        <v>0</v>
      </c>
      <c r="J581" s="7" t="n">
        <v>0</v>
      </c>
      <c r="K581" s="7" t="n">
        <v>4</v>
      </c>
      <c r="L581" s="7" t="n">
        <v>15</v>
      </c>
      <c r="M581" s="7" t="n">
        <v>5</v>
      </c>
      <c r="N581" s="7" t="n">
        <v>6</v>
      </c>
      <c r="O581" s="7" t="n">
        <v>0</v>
      </c>
      <c r="P581" s="8" t="n">
        <f aca="false">IF(E581=0,0,G581/E581)</f>
        <v>0.523809523809524</v>
      </c>
      <c r="Q581" s="8" t="n">
        <f aca="false">IF(E581+N581=0,0,(G581+N581)/(E581+N581))</f>
        <v>0.62962962962963</v>
      </c>
      <c r="R581" s="8" t="n">
        <f aca="false">IF(E581=0,0,L581/E581)</f>
        <v>0.714285714285714</v>
      </c>
      <c r="S581" s="8" t="n">
        <f aca="false">R581+Q581</f>
        <v>1.34391534391534</v>
      </c>
      <c r="T581" s="8" t="n">
        <f aca="false">R581-P581</f>
        <v>0.19047619047619</v>
      </c>
    </row>
    <row r="582" customFormat="false" ht="14.25" hidden="false" customHeight="true" outlineLevel="0" collapsed="false">
      <c r="A582" s="6" t="n">
        <v>2023</v>
      </c>
      <c r="B582" s="6" t="s">
        <v>97</v>
      </c>
      <c r="C582" s="6" t="s">
        <v>99</v>
      </c>
      <c r="D582" s="7" t="n">
        <v>11</v>
      </c>
      <c r="E582" s="7" t="n">
        <v>36</v>
      </c>
      <c r="F582" s="7" t="n">
        <v>10</v>
      </c>
      <c r="G582" s="7" t="n">
        <v>9</v>
      </c>
      <c r="H582" s="7" t="n">
        <v>1</v>
      </c>
      <c r="I582" s="7" t="n">
        <v>0</v>
      </c>
      <c r="J582" s="7" t="n">
        <v>0</v>
      </c>
      <c r="K582" s="7" t="n">
        <v>1</v>
      </c>
      <c r="L582" s="7" t="n">
        <v>10</v>
      </c>
      <c r="M582" s="7" t="n">
        <v>3</v>
      </c>
      <c r="N582" s="7" t="n">
        <v>5</v>
      </c>
      <c r="O582" s="7" t="n">
        <v>0</v>
      </c>
      <c r="P582" s="8" t="n">
        <f aca="false">IF(E582=0,0,G582/E582)</f>
        <v>0.25</v>
      </c>
      <c r="Q582" s="8" t="n">
        <f aca="false">IF(E582+N582=0,0,(G582+N582)/(E582+N582))</f>
        <v>0.341463414634146</v>
      </c>
      <c r="R582" s="8" t="n">
        <f aca="false">IF(E582=0,0,L582/E582)</f>
        <v>0.277777777777778</v>
      </c>
      <c r="S582" s="8" t="n">
        <f aca="false">R582+Q582</f>
        <v>0.619241192411924</v>
      </c>
      <c r="T582" s="8" t="n">
        <f aca="false">R582-P582</f>
        <v>0.0277777777777778</v>
      </c>
    </row>
    <row r="583" customFormat="false" ht="14.25" hidden="false" customHeight="true" outlineLevel="0" collapsed="false">
      <c r="A583" s="6" t="n">
        <v>2023</v>
      </c>
      <c r="B583" s="6" t="s">
        <v>97</v>
      </c>
      <c r="C583" s="6" t="s">
        <v>326</v>
      </c>
      <c r="D583" s="7" t="n">
        <v>8</v>
      </c>
      <c r="E583" s="7" t="n">
        <v>22</v>
      </c>
      <c r="F583" s="7" t="n">
        <v>4</v>
      </c>
      <c r="G583" s="7" t="n">
        <v>6</v>
      </c>
      <c r="H583" s="7" t="n">
        <v>2</v>
      </c>
      <c r="I583" s="7" t="n">
        <v>0</v>
      </c>
      <c r="J583" s="7" t="n">
        <v>0</v>
      </c>
      <c r="K583" s="7" t="n">
        <v>2</v>
      </c>
      <c r="L583" s="7" t="n">
        <v>8</v>
      </c>
      <c r="M583" s="7" t="n">
        <v>6</v>
      </c>
      <c r="N583" s="7" t="n">
        <v>2</v>
      </c>
      <c r="O583" s="7" t="n">
        <v>2</v>
      </c>
      <c r="P583" s="8" t="n">
        <f aca="false">IF(E583=0,0,G583/E583)</f>
        <v>0.272727272727273</v>
      </c>
      <c r="Q583" s="8" t="n">
        <f aca="false">IF(E583+N583=0,0,(G583+N583)/(E583+N583))</f>
        <v>0.333333333333333</v>
      </c>
      <c r="R583" s="8" t="n">
        <f aca="false">IF(E583=0,0,L583/E583)</f>
        <v>0.363636363636364</v>
      </c>
      <c r="S583" s="8" t="n">
        <f aca="false">R583+Q583</f>
        <v>0.696969696969697</v>
      </c>
      <c r="T583" s="8" t="n">
        <f aca="false">R583-P583</f>
        <v>0.0909090909090909</v>
      </c>
    </row>
    <row r="584" customFormat="false" ht="14.25" hidden="false" customHeight="true" outlineLevel="0" collapsed="false">
      <c r="A584" s="6" t="n">
        <v>2023</v>
      </c>
      <c r="B584" s="6" t="s">
        <v>97</v>
      </c>
      <c r="C584" s="6" t="s">
        <v>261</v>
      </c>
      <c r="D584" s="7" t="n">
        <v>6</v>
      </c>
      <c r="E584" s="7" t="n">
        <v>20</v>
      </c>
      <c r="F584" s="7" t="n">
        <v>4</v>
      </c>
      <c r="G584" s="7" t="n">
        <v>6</v>
      </c>
      <c r="H584" s="7" t="n">
        <v>0</v>
      </c>
      <c r="I584" s="7" t="n">
        <v>0</v>
      </c>
      <c r="J584" s="7" t="n">
        <v>0</v>
      </c>
      <c r="K584" s="7" t="n">
        <v>0</v>
      </c>
      <c r="L584" s="7" t="n">
        <v>6</v>
      </c>
      <c r="M584" s="7" t="n">
        <v>3</v>
      </c>
      <c r="N584" s="7" t="n">
        <v>0</v>
      </c>
      <c r="O584" s="7" t="n">
        <v>1</v>
      </c>
      <c r="P584" s="8" t="n">
        <f aca="false">IF(E584=0,0,G584/E584)</f>
        <v>0.3</v>
      </c>
      <c r="Q584" s="8" t="n">
        <f aca="false">IF(E584+N584=0,0,(G584+N584)/(E584+N584))</f>
        <v>0.3</v>
      </c>
      <c r="R584" s="8" t="n">
        <f aca="false">IF(E584=0,0,L584/E584)</f>
        <v>0.3</v>
      </c>
      <c r="S584" s="8" t="n">
        <f aca="false">R584+Q584</f>
        <v>0.6</v>
      </c>
      <c r="T584" s="8" t="n">
        <f aca="false">R584-P584</f>
        <v>0</v>
      </c>
    </row>
    <row r="585" customFormat="false" ht="14.25" hidden="false" customHeight="true" outlineLevel="0" collapsed="false">
      <c r="A585" s="6" t="n">
        <v>2023</v>
      </c>
      <c r="B585" s="6" t="s">
        <v>97</v>
      </c>
      <c r="C585" s="6" t="s">
        <v>257</v>
      </c>
      <c r="D585" s="7" t="n">
        <v>6</v>
      </c>
      <c r="E585" s="7" t="n">
        <v>11</v>
      </c>
      <c r="F585" s="7" t="n">
        <v>2</v>
      </c>
      <c r="G585" s="7" t="n">
        <v>4</v>
      </c>
      <c r="H585" s="7" t="n">
        <v>2</v>
      </c>
      <c r="I585" s="7" t="n">
        <v>0</v>
      </c>
      <c r="J585" s="7" t="n">
        <v>0</v>
      </c>
      <c r="K585" s="7" t="n">
        <v>2</v>
      </c>
      <c r="L585" s="7" t="n">
        <v>6</v>
      </c>
      <c r="M585" s="7" t="n">
        <v>1</v>
      </c>
      <c r="N585" s="7" t="n">
        <v>1</v>
      </c>
      <c r="O585" s="7" t="n">
        <v>1</v>
      </c>
      <c r="P585" s="8" t="n">
        <f aca="false">IF(E585=0,0,G585/E585)</f>
        <v>0.363636363636364</v>
      </c>
      <c r="Q585" s="8" t="n">
        <f aca="false">IF(E585+N585=0,0,(G585+N585)/(E585+N585))</f>
        <v>0.416666666666667</v>
      </c>
      <c r="R585" s="8" t="n">
        <f aca="false">IF(E585=0,0,L585/E585)</f>
        <v>0.545454545454545</v>
      </c>
      <c r="S585" s="8" t="n">
        <f aca="false">R585+Q585</f>
        <v>0.962121212121212</v>
      </c>
      <c r="T585" s="8" t="n">
        <f aca="false">R585-P585</f>
        <v>0.181818181818182</v>
      </c>
    </row>
    <row r="586" customFormat="false" ht="14.25" hidden="false" customHeight="true" outlineLevel="0" collapsed="false">
      <c r="A586" s="6" t="n">
        <v>2023</v>
      </c>
      <c r="B586" s="6" t="s">
        <v>97</v>
      </c>
      <c r="C586" s="6" t="s">
        <v>286</v>
      </c>
      <c r="D586" s="7" t="n">
        <v>8</v>
      </c>
      <c r="E586" s="7" t="n">
        <v>20</v>
      </c>
      <c r="F586" s="7" t="n">
        <v>3</v>
      </c>
      <c r="G586" s="7" t="n">
        <v>4</v>
      </c>
      <c r="H586" s="7" t="n">
        <v>1</v>
      </c>
      <c r="I586" s="7" t="n">
        <v>0</v>
      </c>
      <c r="J586" s="7" t="n">
        <v>0</v>
      </c>
      <c r="K586" s="7" t="n">
        <v>1</v>
      </c>
      <c r="L586" s="7" t="n">
        <v>5</v>
      </c>
      <c r="M586" s="7" t="n">
        <v>0</v>
      </c>
      <c r="N586" s="7" t="n">
        <v>1</v>
      </c>
      <c r="O586" s="7" t="n">
        <v>0</v>
      </c>
      <c r="P586" s="8" t="n">
        <f aca="false">IF(E586=0,0,G586/E586)</f>
        <v>0.2</v>
      </c>
      <c r="Q586" s="8" t="n">
        <f aca="false">IF(E586+N586=0,0,(G586+N586)/(E586+N586))</f>
        <v>0.238095238095238</v>
      </c>
      <c r="R586" s="8" t="n">
        <f aca="false">IF(E586=0,0,L586/E586)</f>
        <v>0.25</v>
      </c>
      <c r="S586" s="8" t="n">
        <f aca="false">R586+Q586</f>
        <v>0.488095238095238</v>
      </c>
      <c r="T586" s="8" t="n">
        <f aca="false">R586-P586</f>
        <v>0.05</v>
      </c>
    </row>
    <row r="587" customFormat="false" ht="14.25" hidden="false" customHeight="true" outlineLevel="0" collapsed="false">
      <c r="A587" s="6" t="n">
        <v>2023</v>
      </c>
      <c r="B587" s="6" t="s">
        <v>97</v>
      </c>
      <c r="C587" s="6" t="s">
        <v>108</v>
      </c>
      <c r="D587" s="7" t="n">
        <v>8</v>
      </c>
      <c r="E587" s="7" t="n">
        <v>17</v>
      </c>
      <c r="F587" s="7" t="n">
        <v>2</v>
      </c>
      <c r="G587" s="7" t="n">
        <v>4</v>
      </c>
      <c r="H587" s="7" t="n">
        <v>0</v>
      </c>
      <c r="I587" s="7" t="n">
        <v>0</v>
      </c>
      <c r="J587" s="7" t="n">
        <v>0</v>
      </c>
      <c r="K587" s="7" t="n">
        <v>0</v>
      </c>
      <c r="L587" s="7" t="n">
        <v>4</v>
      </c>
      <c r="M587" s="7" t="n">
        <v>3</v>
      </c>
      <c r="N587" s="7" t="n">
        <v>1</v>
      </c>
      <c r="O587" s="7" t="n">
        <v>1</v>
      </c>
      <c r="P587" s="8" t="n">
        <f aca="false">IF(E587=0,0,G587/E587)</f>
        <v>0.235294117647059</v>
      </c>
      <c r="Q587" s="8" t="n">
        <f aca="false">IF(E587+N587=0,0,(G587+N587)/(E587+N587))</f>
        <v>0.277777777777778</v>
      </c>
      <c r="R587" s="8" t="n">
        <f aca="false">IF(E587=0,0,L587/E587)</f>
        <v>0.235294117647059</v>
      </c>
      <c r="S587" s="8" t="n">
        <f aca="false">R587+Q587</f>
        <v>0.513071895424837</v>
      </c>
      <c r="T587" s="8" t="n">
        <f aca="false">R587-P587</f>
        <v>0</v>
      </c>
    </row>
    <row r="588" customFormat="false" ht="14.25" hidden="false" customHeight="true" outlineLevel="0" collapsed="false">
      <c r="A588" s="6" t="n">
        <v>2023</v>
      </c>
      <c r="B588" s="6" t="s">
        <v>97</v>
      </c>
      <c r="C588" s="6" t="s">
        <v>327</v>
      </c>
      <c r="D588" s="7" t="n">
        <v>3</v>
      </c>
      <c r="E588" s="7" t="n">
        <v>9</v>
      </c>
      <c r="F588" s="7" t="n">
        <v>0</v>
      </c>
      <c r="G588" s="7" t="n">
        <v>3</v>
      </c>
      <c r="H588" s="7" t="n">
        <v>2</v>
      </c>
      <c r="I588" s="7" t="n">
        <v>0</v>
      </c>
      <c r="J588" s="7" t="n">
        <v>0</v>
      </c>
      <c r="K588" s="7" t="n">
        <v>2</v>
      </c>
      <c r="L588" s="7" t="n">
        <v>5</v>
      </c>
      <c r="M588" s="7" t="n">
        <v>2</v>
      </c>
      <c r="N588" s="7" t="n">
        <v>1</v>
      </c>
      <c r="O588" s="7" t="n">
        <v>0</v>
      </c>
      <c r="P588" s="8" t="n">
        <f aca="false">IF(E588=0,0,G588/E588)</f>
        <v>0.333333333333333</v>
      </c>
      <c r="Q588" s="8" t="n">
        <f aca="false">IF(E588+N588=0,0,(G588+N588)/(E588+N588))</f>
        <v>0.4</v>
      </c>
      <c r="R588" s="8" t="n">
        <f aca="false">IF(E588=0,0,L588/E588)</f>
        <v>0.555555555555556</v>
      </c>
      <c r="S588" s="8" t="n">
        <f aca="false">R588+Q588</f>
        <v>0.955555555555556</v>
      </c>
      <c r="T588" s="8" t="n">
        <f aca="false">R588-P588</f>
        <v>0.222222222222222</v>
      </c>
    </row>
    <row r="589" customFormat="false" ht="14.25" hidden="false" customHeight="true" outlineLevel="0" collapsed="false">
      <c r="A589" s="6" t="n">
        <v>2023</v>
      </c>
      <c r="B589" s="6" t="s">
        <v>97</v>
      </c>
      <c r="C589" s="6" t="s">
        <v>288</v>
      </c>
      <c r="D589" s="7" t="n">
        <v>5</v>
      </c>
      <c r="E589" s="7" t="n">
        <v>15</v>
      </c>
      <c r="F589" s="7" t="n">
        <v>0</v>
      </c>
      <c r="G589" s="7" t="n">
        <v>3</v>
      </c>
      <c r="H589" s="7" t="n">
        <v>2</v>
      </c>
      <c r="I589" s="7" t="n">
        <v>0</v>
      </c>
      <c r="J589" s="7" t="n">
        <v>0</v>
      </c>
      <c r="K589" s="7" t="n">
        <v>2</v>
      </c>
      <c r="L589" s="7" t="n">
        <v>5</v>
      </c>
      <c r="M589" s="7" t="n">
        <v>0</v>
      </c>
      <c r="N589" s="7" t="n">
        <v>1</v>
      </c>
      <c r="O589" s="7" t="n">
        <v>3</v>
      </c>
      <c r="P589" s="8" t="n">
        <f aca="false">IF(E589=0,0,G589/E589)</f>
        <v>0.2</v>
      </c>
      <c r="Q589" s="8" t="n">
        <f aca="false">IF(E589+N589=0,0,(G589+N589)/(E589+N589))</f>
        <v>0.25</v>
      </c>
      <c r="R589" s="8" t="n">
        <f aca="false">IF(E589=0,0,L589/E589)</f>
        <v>0.333333333333333</v>
      </c>
      <c r="S589" s="8" t="n">
        <f aca="false">R589+Q589</f>
        <v>0.583333333333333</v>
      </c>
      <c r="T589" s="8" t="n">
        <f aca="false">R589-P589</f>
        <v>0.133333333333333</v>
      </c>
    </row>
    <row r="590" customFormat="false" ht="14.25" hidden="false" customHeight="true" outlineLevel="0" collapsed="false">
      <c r="A590" s="6" t="n">
        <v>2023</v>
      </c>
      <c r="B590" s="6" t="s">
        <v>97</v>
      </c>
      <c r="C590" s="6" t="s">
        <v>328</v>
      </c>
      <c r="D590" s="7" t="n">
        <v>5</v>
      </c>
      <c r="E590" s="7" t="n">
        <v>7</v>
      </c>
      <c r="F590" s="7" t="n">
        <v>0</v>
      </c>
      <c r="G590" s="7" t="n">
        <v>3</v>
      </c>
      <c r="H590" s="7" t="n">
        <v>0</v>
      </c>
      <c r="I590" s="7" t="n">
        <v>0</v>
      </c>
      <c r="J590" s="7" t="n">
        <v>0</v>
      </c>
      <c r="K590" s="7" t="n">
        <v>0</v>
      </c>
      <c r="L590" s="7" t="n">
        <v>3</v>
      </c>
      <c r="M590" s="7" t="n">
        <v>0</v>
      </c>
      <c r="N590" s="7" t="n">
        <v>0</v>
      </c>
      <c r="O590" s="7" t="n">
        <v>0</v>
      </c>
      <c r="P590" s="8" t="n">
        <f aca="false">IF(E590=0,0,G590/E590)</f>
        <v>0.428571428571429</v>
      </c>
      <c r="Q590" s="8" t="n">
        <f aca="false">IF(E590+N590=0,0,(G590+N590)/(E590+N590))</f>
        <v>0.428571428571429</v>
      </c>
      <c r="R590" s="8" t="n">
        <f aca="false">IF(E590=0,0,L590/E590)</f>
        <v>0.428571428571429</v>
      </c>
      <c r="S590" s="8" t="n">
        <f aca="false">R590+Q590</f>
        <v>0.857142857142857</v>
      </c>
      <c r="T590" s="8" t="n">
        <f aca="false">R590-P590</f>
        <v>0</v>
      </c>
    </row>
    <row r="591" customFormat="false" ht="14.25" hidden="false" customHeight="true" outlineLevel="0" collapsed="false">
      <c r="A591" s="6" t="n">
        <v>2023</v>
      </c>
      <c r="B591" s="6" t="s">
        <v>97</v>
      </c>
      <c r="C591" s="6" t="s">
        <v>329</v>
      </c>
      <c r="D591" s="7" t="n">
        <v>1</v>
      </c>
      <c r="E591" s="7" t="n">
        <v>4</v>
      </c>
      <c r="F591" s="7" t="n">
        <v>0</v>
      </c>
      <c r="G591" s="7" t="n">
        <v>2</v>
      </c>
      <c r="H591" s="7" t="n">
        <v>2</v>
      </c>
      <c r="I591" s="7" t="n">
        <v>0</v>
      </c>
      <c r="J591" s="7" t="n">
        <v>0</v>
      </c>
      <c r="K591" s="7" t="n">
        <v>2</v>
      </c>
      <c r="L591" s="7" t="n">
        <v>4</v>
      </c>
      <c r="M591" s="7" t="n">
        <v>2</v>
      </c>
      <c r="N591" s="7" t="n">
        <v>0</v>
      </c>
      <c r="O591" s="7" t="n">
        <v>0</v>
      </c>
      <c r="P591" s="8" t="n">
        <f aca="false">IF(E591=0,0,G591/E591)</f>
        <v>0.5</v>
      </c>
      <c r="Q591" s="8" t="n">
        <f aca="false">IF(E591+N591=0,0,(G591+N591)/(E591+N591))</f>
        <v>0.5</v>
      </c>
      <c r="R591" s="8" t="n">
        <f aca="false">IF(E591=0,0,L591/E591)</f>
        <v>1</v>
      </c>
      <c r="S591" s="8" t="n">
        <f aca="false">R591+Q591</f>
        <v>1.5</v>
      </c>
      <c r="T591" s="8" t="n">
        <f aca="false">R591-P591</f>
        <v>0.5</v>
      </c>
    </row>
    <row r="592" customFormat="false" ht="14.25" hidden="false" customHeight="true" outlineLevel="0" collapsed="false">
      <c r="A592" s="6" t="n">
        <v>2023</v>
      </c>
      <c r="B592" s="6" t="s">
        <v>97</v>
      </c>
      <c r="C592" s="6" t="s">
        <v>293</v>
      </c>
      <c r="D592" s="7" t="n">
        <v>4</v>
      </c>
      <c r="E592" s="7" t="n">
        <v>9</v>
      </c>
      <c r="F592" s="7" t="n">
        <v>1</v>
      </c>
      <c r="G592" s="7" t="n">
        <v>2</v>
      </c>
      <c r="H592" s="7" t="n">
        <v>0</v>
      </c>
      <c r="I592" s="7" t="n">
        <v>0</v>
      </c>
      <c r="J592" s="7" t="n">
        <v>0</v>
      </c>
      <c r="K592" s="7" t="n">
        <v>0</v>
      </c>
      <c r="L592" s="7" t="n">
        <v>2</v>
      </c>
      <c r="M592" s="7" t="n">
        <v>2</v>
      </c>
      <c r="N592" s="7" t="n">
        <v>2</v>
      </c>
      <c r="O592" s="7" t="n">
        <v>2</v>
      </c>
      <c r="P592" s="8" t="n">
        <f aca="false">IF(E592=0,0,G592/E592)</f>
        <v>0.222222222222222</v>
      </c>
      <c r="Q592" s="8" t="n">
        <f aca="false">IF(E592+N592=0,0,(G592+N592)/(E592+N592))</f>
        <v>0.363636363636364</v>
      </c>
      <c r="R592" s="8" t="n">
        <f aca="false">IF(E592=0,0,L592/E592)</f>
        <v>0.222222222222222</v>
      </c>
      <c r="S592" s="8" t="n">
        <f aca="false">R592+Q592</f>
        <v>0.585858585858586</v>
      </c>
      <c r="T592" s="8" t="n">
        <f aca="false">R592-P592</f>
        <v>0</v>
      </c>
    </row>
    <row r="593" customFormat="false" ht="14.25" hidden="false" customHeight="true" outlineLevel="0" collapsed="false">
      <c r="A593" s="6" t="n">
        <v>2023</v>
      </c>
      <c r="B593" s="6" t="s">
        <v>97</v>
      </c>
      <c r="C593" s="6" t="s">
        <v>255</v>
      </c>
      <c r="D593" s="7" t="n">
        <v>1</v>
      </c>
      <c r="E593" s="7" t="n">
        <v>3</v>
      </c>
      <c r="F593" s="7" t="n">
        <v>1</v>
      </c>
      <c r="G593" s="7" t="n">
        <v>2</v>
      </c>
      <c r="H593" s="7" t="n">
        <v>0</v>
      </c>
      <c r="I593" s="7" t="n">
        <v>0</v>
      </c>
      <c r="J593" s="7" t="n">
        <v>0</v>
      </c>
      <c r="K593" s="7" t="n">
        <v>0</v>
      </c>
      <c r="L593" s="7" t="n">
        <v>2</v>
      </c>
      <c r="M593" s="7" t="n">
        <v>0</v>
      </c>
      <c r="N593" s="7" t="n">
        <v>1</v>
      </c>
      <c r="O593" s="7" t="n">
        <v>0</v>
      </c>
      <c r="P593" s="8" t="n">
        <f aca="false">IF(E593=0,0,G593/E593)</f>
        <v>0.666666666666667</v>
      </c>
      <c r="Q593" s="8" t="n">
        <f aca="false">IF(E593+N593=0,0,(G593+N593)/(E593+N593))</f>
        <v>0.75</v>
      </c>
      <c r="R593" s="8" t="n">
        <f aca="false">IF(E593=0,0,L593/E593)</f>
        <v>0.666666666666667</v>
      </c>
      <c r="S593" s="8" t="n">
        <f aca="false">R593+Q593</f>
        <v>1.41666666666667</v>
      </c>
      <c r="T593" s="8" t="n">
        <f aca="false">R593-P593</f>
        <v>0</v>
      </c>
    </row>
    <row r="594" customFormat="false" ht="14.25" hidden="false" customHeight="true" outlineLevel="0" collapsed="false">
      <c r="A594" s="6" t="n">
        <v>2023</v>
      </c>
      <c r="B594" s="6" t="s">
        <v>97</v>
      </c>
      <c r="C594" s="6" t="s">
        <v>330</v>
      </c>
      <c r="D594" s="7" t="n">
        <v>1</v>
      </c>
      <c r="E594" s="7" t="n">
        <v>2</v>
      </c>
      <c r="F594" s="7" t="n">
        <v>1</v>
      </c>
      <c r="G594" s="7" t="n">
        <v>1</v>
      </c>
      <c r="H594" s="7" t="n">
        <v>1</v>
      </c>
      <c r="I594" s="7" t="n">
        <v>0</v>
      </c>
      <c r="J594" s="7" t="n">
        <v>0</v>
      </c>
      <c r="K594" s="7" t="n">
        <v>1</v>
      </c>
      <c r="L594" s="7" t="n">
        <v>2</v>
      </c>
      <c r="M594" s="7" t="n">
        <v>0</v>
      </c>
      <c r="N594" s="7" t="n">
        <v>1</v>
      </c>
      <c r="O594" s="7" t="n">
        <v>0</v>
      </c>
      <c r="P594" s="8" t="n">
        <f aca="false">IF(E594=0,0,G594/E594)</f>
        <v>0.5</v>
      </c>
      <c r="Q594" s="8" t="n">
        <f aca="false">IF(E594+N594=0,0,(G594+N594)/(E594+N594))</f>
        <v>0.666666666666667</v>
      </c>
      <c r="R594" s="8" t="n">
        <f aca="false">IF(E594=0,0,L594/E594)</f>
        <v>1</v>
      </c>
      <c r="S594" s="8" t="n">
        <f aca="false">R594+Q594</f>
        <v>1.66666666666667</v>
      </c>
      <c r="T594" s="8" t="n">
        <f aca="false">R594-P594</f>
        <v>0.5</v>
      </c>
    </row>
    <row r="595" customFormat="false" ht="14.25" hidden="false" customHeight="true" outlineLevel="0" collapsed="false">
      <c r="A595" s="6" t="n">
        <v>2023</v>
      </c>
      <c r="B595" s="6" t="s">
        <v>97</v>
      </c>
      <c r="C595" s="6" t="s">
        <v>109</v>
      </c>
      <c r="D595" s="7" t="n">
        <v>7</v>
      </c>
      <c r="E595" s="7" t="n">
        <v>21</v>
      </c>
      <c r="F595" s="7" t="n">
        <v>0</v>
      </c>
      <c r="G595" s="7" t="n">
        <v>1</v>
      </c>
      <c r="H595" s="7" t="n">
        <v>0</v>
      </c>
      <c r="I595" s="7" t="n">
        <v>0</v>
      </c>
      <c r="J595" s="7" t="n">
        <v>0</v>
      </c>
      <c r="K595" s="7" t="n">
        <v>0</v>
      </c>
      <c r="L595" s="7" t="n">
        <v>1</v>
      </c>
      <c r="M595" s="7" t="n">
        <v>1</v>
      </c>
      <c r="N595" s="7" t="n">
        <v>0</v>
      </c>
      <c r="O595" s="7" t="n">
        <v>4</v>
      </c>
      <c r="P595" s="8" t="n">
        <f aca="false">IF(E595=0,0,G595/E595)</f>
        <v>0.0476190476190476</v>
      </c>
      <c r="Q595" s="8" t="n">
        <f aca="false">IF(E595+N595=0,0,(G595+N595)/(E595+N595))</f>
        <v>0.0476190476190476</v>
      </c>
      <c r="R595" s="8" t="n">
        <f aca="false">IF(E595=0,0,L595/E595)</f>
        <v>0.0476190476190476</v>
      </c>
      <c r="S595" s="8" t="n">
        <f aca="false">R595+Q595</f>
        <v>0.0952380952380952</v>
      </c>
      <c r="T595" s="8" t="n">
        <f aca="false">R595-P595</f>
        <v>0</v>
      </c>
    </row>
    <row r="596" customFormat="false" ht="14.25" hidden="false" customHeight="true" outlineLevel="0" collapsed="false">
      <c r="A596" s="6" t="n">
        <v>2023</v>
      </c>
      <c r="B596" s="6" t="s">
        <v>97</v>
      </c>
      <c r="C596" s="6" t="s">
        <v>277</v>
      </c>
      <c r="D596" s="7" t="n">
        <v>4</v>
      </c>
      <c r="E596" s="7" t="n">
        <v>6</v>
      </c>
      <c r="F596" s="7" t="n">
        <v>0</v>
      </c>
      <c r="G596" s="7" t="n">
        <v>1</v>
      </c>
      <c r="H596" s="7" t="n">
        <v>0</v>
      </c>
      <c r="I596" s="7" t="n">
        <v>0</v>
      </c>
      <c r="J596" s="7" t="n">
        <v>0</v>
      </c>
      <c r="K596" s="7" t="n">
        <v>0</v>
      </c>
      <c r="L596" s="7" t="n">
        <v>1</v>
      </c>
      <c r="M596" s="7" t="n">
        <v>0</v>
      </c>
      <c r="N596" s="7" t="n">
        <v>0</v>
      </c>
      <c r="O596" s="7" t="n">
        <v>0</v>
      </c>
      <c r="P596" s="8" t="n">
        <f aca="false">IF(E596=0,0,G596/E596)</f>
        <v>0.166666666666667</v>
      </c>
      <c r="Q596" s="8" t="n">
        <f aca="false">IF(E596+N596=0,0,(G596+N596)/(E596+N596))</f>
        <v>0.166666666666667</v>
      </c>
      <c r="R596" s="8" t="n">
        <f aca="false">IF(E596=0,0,L596/E596)</f>
        <v>0.166666666666667</v>
      </c>
      <c r="S596" s="8" t="n">
        <f aca="false">R596+Q596</f>
        <v>0.333333333333333</v>
      </c>
      <c r="T596" s="8" t="n">
        <f aca="false">R596-P596</f>
        <v>0</v>
      </c>
    </row>
    <row r="597" customFormat="false" ht="14.25" hidden="false" customHeight="true" outlineLevel="0" collapsed="false">
      <c r="A597" s="6" t="n">
        <v>2023</v>
      </c>
      <c r="B597" s="6" t="s">
        <v>97</v>
      </c>
      <c r="C597" s="6" t="s">
        <v>331</v>
      </c>
      <c r="D597" s="7" t="n">
        <v>1</v>
      </c>
      <c r="E597" s="7" t="n">
        <v>3</v>
      </c>
      <c r="F597" s="7" t="n">
        <v>0</v>
      </c>
      <c r="G597" s="7" t="n">
        <v>0</v>
      </c>
      <c r="H597" s="7" t="n">
        <v>0</v>
      </c>
      <c r="I597" s="7" t="n">
        <v>0</v>
      </c>
      <c r="J597" s="7" t="n">
        <v>0</v>
      </c>
      <c r="K597" s="7" t="n">
        <v>0</v>
      </c>
      <c r="L597" s="7" t="n">
        <v>0</v>
      </c>
      <c r="M597" s="7" t="n">
        <v>0</v>
      </c>
      <c r="N597" s="7" t="n">
        <v>0</v>
      </c>
      <c r="O597" s="7" t="n">
        <v>0</v>
      </c>
      <c r="P597" s="8" t="n">
        <f aca="false">IF(E597=0,0,G597/E597)</f>
        <v>0</v>
      </c>
      <c r="Q597" s="8" t="n">
        <f aca="false">IF(E597+N597=0,0,(G597+N597)/(E597+N597))</f>
        <v>0</v>
      </c>
      <c r="R597" s="8" t="n">
        <f aca="false">IF(E597=0,0,L597/E597)</f>
        <v>0</v>
      </c>
      <c r="S597" s="8" t="n">
        <f aca="false">R597+Q597</f>
        <v>0</v>
      </c>
      <c r="T597" s="8" t="n">
        <f aca="false">R597-P597</f>
        <v>0</v>
      </c>
    </row>
    <row r="598" customFormat="false" ht="14.25" hidden="false" customHeight="true" outlineLevel="0" collapsed="false">
      <c r="A598" s="6" t="n">
        <v>2023</v>
      </c>
      <c r="B598" s="6" t="s">
        <v>97</v>
      </c>
      <c r="C598" s="6" t="s">
        <v>289</v>
      </c>
      <c r="D598" s="7" t="n">
        <v>1</v>
      </c>
      <c r="E598" s="7" t="n">
        <v>2</v>
      </c>
      <c r="F598" s="7" t="n">
        <v>0</v>
      </c>
      <c r="G598" s="7" t="n">
        <v>0</v>
      </c>
      <c r="H598" s="7" t="n">
        <v>0</v>
      </c>
      <c r="I598" s="7" t="n">
        <v>0</v>
      </c>
      <c r="J598" s="7" t="n">
        <v>0</v>
      </c>
      <c r="K598" s="7" t="n">
        <v>0</v>
      </c>
      <c r="L598" s="7" t="n">
        <v>0</v>
      </c>
      <c r="M598" s="7" t="n">
        <v>0</v>
      </c>
      <c r="N598" s="7" t="n">
        <v>0</v>
      </c>
      <c r="O598" s="7" t="n">
        <v>0</v>
      </c>
      <c r="P598" s="8" t="n">
        <f aca="false">IF(E598=0,0,G598/E598)</f>
        <v>0</v>
      </c>
      <c r="Q598" s="8" t="n">
        <f aca="false">IF(E598+N598=0,0,(G598+N598)/(E598+N598))</f>
        <v>0</v>
      </c>
      <c r="R598" s="8" t="n">
        <f aca="false">IF(E598=0,0,L598/E598)</f>
        <v>0</v>
      </c>
      <c r="S598" s="8" t="n">
        <f aca="false">R598+Q598</f>
        <v>0</v>
      </c>
      <c r="T598" s="8" t="n">
        <f aca="false">R598-P598</f>
        <v>0</v>
      </c>
    </row>
    <row r="599" customFormat="false" ht="14.25" hidden="false" customHeight="true" outlineLevel="0" collapsed="false">
      <c r="A599" s="6" t="n">
        <v>2023</v>
      </c>
      <c r="B599" s="6" t="s">
        <v>97</v>
      </c>
      <c r="C599" s="6" t="s">
        <v>332</v>
      </c>
      <c r="D599" s="7" t="n">
        <v>1</v>
      </c>
      <c r="E599" s="7" t="n">
        <v>2</v>
      </c>
      <c r="F599" s="7" t="n">
        <v>0</v>
      </c>
      <c r="G599" s="7" t="n">
        <v>0</v>
      </c>
      <c r="H599" s="7" t="n">
        <v>0</v>
      </c>
      <c r="I599" s="7" t="n">
        <v>0</v>
      </c>
      <c r="J599" s="7" t="n">
        <v>0</v>
      </c>
      <c r="K599" s="7" t="n">
        <v>0</v>
      </c>
      <c r="L599" s="7" t="n">
        <v>0</v>
      </c>
      <c r="M599" s="7" t="n">
        <v>0</v>
      </c>
      <c r="N599" s="7" t="n">
        <v>0</v>
      </c>
      <c r="O599" s="7" t="n">
        <v>0</v>
      </c>
      <c r="P599" s="8" t="n">
        <f aca="false">IF(E599=0,0,G599/E599)</f>
        <v>0</v>
      </c>
      <c r="Q599" s="8" t="n">
        <f aca="false">IF(E599+N599=0,0,(G599+N599)/(E599+N599))</f>
        <v>0</v>
      </c>
      <c r="R599" s="8" t="n">
        <f aca="false">IF(E599=0,0,L599/E599)</f>
        <v>0</v>
      </c>
      <c r="S599" s="8" t="n">
        <f aca="false">R599+Q599</f>
        <v>0</v>
      </c>
      <c r="T599" s="8" t="n">
        <f aca="false">R599-P599</f>
        <v>0</v>
      </c>
    </row>
    <row r="600" customFormat="false" ht="14.25" hidden="false" customHeight="true" outlineLevel="0" collapsed="false">
      <c r="A600" s="6" t="n">
        <v>2023</v>
      </c>
      <c r="B600" s="6" t="s">
        <v>121</v>
      </c>
      <c r="C600" s="6" t="s">
        <v>122</v>
      </c>
      <c r="D600" s="7" t="n">
        <v>9</v>
      </c>
      <c r="E600" s="7" t="n">
        <v>28</v>
      </c>
      <c r="F600" s="7" t="n">
        <v>8</v>
      </c>
      <c r="G600" s="7" t="n">
        <v>12</v>
      </c>
      <c r="H600" s="7" t="n">
        <v>4</v>
      </c>
      <c r="I600" s="7" t="n">
        <v>0</v>
      </c>
      <c r="J600" s="7" t="n">
        <v>0</v>
      </c>
      <c r="K600" s="7" t="n">
        <v>4</v>
      </c>
      <c r="L600" s="7" t="n">
        <v>16</v>
      </c>
      <c r="M600" s="7" t="n">
        <v>5</v>
      </c>
      <c r="N600" s="7" t="n">
        <v>4</v>
      </c>
      <c r="O600" s="7" t="n">
        <v>0</v>
      </c>
      <c r="P600" s="8" t="n">
        <f aca="false">IF(E600=0,0,G600/E600)</f>
        <v>0.428571428571429</v>
      </c>
      <c r="Q600" s="8" t="n">
        <f aca="false">IF(E600+N600=0,0,(G600+N600)/(E600+N600))</f>
        <v>0.5</v>
      </c>
      <c r="R600" s="8" t="n">
        <f aca="false">IF(E600=0,0,L600/E600)</f>
        <v>0.571428571428571</v>
      </c>
      <c r="S600" s="8" t="n">
        <f aca="false">R600+Q600</f>
        <v>1.07142857142857</v>
      </c>
      <c r="T600" s="8" t="n">
        <f aca="false">R600-P600</f>
        <v>0.142857142857143</v>
      </c>
    </row>
    <row r="601" customFormat="false" ht="14.25" hidden="false" customHeight="true" outlineLevel="0" collapsed="false">
      <c r="A601" s="6" t="n">
        <v>2023</v>
      </c>
      <c r="B601" s="6" t="s">
        <v>121</v>
      </c>
      <c r="C601" s="6" t="s">
        <v>130</v>
      </c>
      <c r="D601" s="7" t="n">
        <v>12</v>
      </c>
      <c r="E601" s="7" t="n">
        <v>33</v>
      </c>
      <c r="F601" s="7" t="n">
        <v>7</v>
      </c>
      <c r="G601" s="7" t="n">
        <v>11</v>
      </c>
      <c r="H601" s="7" t="n">
        <v>1</v>
      </c>
      <c r="I601" s="7" t="n">
        <v>0</v>
      </c>
      <c r="J601" s="7" t="n">
        <v>0</v>
      </c>
      <c r="K601" s="7" t="n">
        <v>1</v>
      </c>
      <c r="L601" s="7" t="n">
        <v>12</v>
      </c>
      <c r="M601" s="7" t="n">
        <v>5</v>
      </c>
      <c r="N601" s="7" t="n">
        <v>4</v>
      </c>
      <c r="O601" s="7" t="n">
        <v>0</v>
      </c>
      <c r="P601" s="8" t="n">
        <f aca="false">IF(E601=0,0,G601/E601)</f>
        <v>0.333333333333333</v>
      </c>
      <c r="Q601" s="8" t="n">
        <f aca="false">IF(E601+N601=0,0,(G601+N601)/(E601+N601))</f>
        <v>0.405405405405405</v>
      </c>
      <c r="R601" s="8" t="n">
        <f aca="false">IF(E601=0,0,L601/E601)</f>
        <v>0.363636363636364</v>
      </c>
      <c r="S601" s="8" t="n">
        <f aca="false">R601+Q601</f>
        <v>0.769041769041769</v>
      </c>
      <c r="T601" s="8" t="n">
        <f aca="false">R601-P601</f>
        <v>0.0303030303030303</v>
      </c>
    </row>
    <row r="602" customFormat="false" ht="14.25" hidden="false" customHeight="true" outlineLevel="0" collapsed="false">
      <c r="A602" s="6" t="n">
        <v>2023</v>
      </c>
      <c r="B602" s="6" t="s">
        <v>121</v>
      </c>
      <c r="C602" s="6" t="s">
        <v>144</v>
      </c>
      <c r="D602" s="7" t="n">
        <v>12</v>
      </c>
      <c r="E602" s="7" t="n">
        <v>32</v>
      </c>
      <c r="F602" s="7" t="n">
        <v>1</v>
      </c>
      <c r="G602" s="7" t="n">
        <v>10</v>
      </c>
      <c r="H602" s="7" t="n">
        <v>0</v>
      </c>
      <c r="I602" s="7" t="n">
        <v>0</v>
      </c>
      <c r="J602" s="7" t="n">
        <v>0</v>
      </c>
      <c r="K602" s="7" t="n">
        <v>0</v>
      </c>
      <c r="L602" s="7" t="n">
        <v>10</v>
      </c>
      <c r="M602" s="7" t="n">
        <v>1</v>
      </c>
      <c r="N602" s="7" t="n">
        <v>5</v>
      </c>
      <c r="O602" s="7" t="n">
        <v>2</v>
      </c>
      <c r="P602" s="8" t="n">
        <f aca="false">IF(E602=0,0,G602/E602)</f>
        <v>0.3125</v>
      </c>
      <c r="Q602" s="8" t="n">
        <f aca="false">IF(E602+N602=0,0,(G602+N602)/(E602+N602))</f>
        <v>0.405405405405405</v>
      </c>
      <c r="R602" s="8" t="n">
        <f aca="false">IF(E602=0,0,L602/E602)</f>
        <v>0.3125</v>
      </c>
      <c r="S602" s="8" t="n">
        <f aca="false">R602+Q602</f>
        <v>0.717905405405406</v>
      </c>
      <c r="T602" s="8" t="n">
        <f aca="false">R602-P602</f>
        <v>0</v>
      </c>
    </row>
    <row r="603" customFormat="false" ht="14.25" hidden="false" customHeight="true" outlineLevel="0" collapsed="false">
      <c r="A603" s="6" t="n">
        <v>2023</v>
      </c>
      <c r="B603" s="6" t="s">
        <v>121</v>
      </c>
      <c r="C603" s="6" t="s">
        <v>126</v>
      </c>
      <c r="D603" s="7" t="n">
        <v>4</v>
      </c>
      <c r="E603" s="7" t="n">
        <v>12</v>
      </c>
      <c r="F603" s="7" t="n">
        <v>5</v>
      </c>
      <c r="G603" s="7" t="n">
        <v>9</v>
      </c>
      <c r="H603" s="7" t="n">
        <v>2</v>
      </c>
      <c r="I603" s="7" t="n">
        <v>0</v>
      </c>
      <c r="J603" s="7" t="n">
        <v>3</v>
      </c>
      <c r="K603" s="7" t="n">
        <v>5</v>
      </c>
      <c r="L603" s="7" t="n">
        <v>20</v>
      </c>
      <c r="M603" s="7" t="n">
        <v>10</v>
      </c>
      <c r="N603" s="7" t="n">
        <v>0</v>
      </c>
      <c r="O603" s="7" t="n">
        <v>0</v>
      </c>
      <c r="P603" s="8" t="n">
        <f aca="false">IF(E603=0,0,G603/E603)</f>
        <v>0.75</v>
      </c>
      <c r="Q603" s="8" t="n">
        <f aca="false">IF(E603+N603=0,0,(G603+N603)/(E603+N603))</f>
        <v>0.75</v>
      </c>
      <c r="R603" s="8" t="n">
        <f aca="false">IF(E603=0,0,L603/E603)</f>
        <v>1.66666666666667</v>
      </c>
      <c r="S603" s="8" t="n">
        <f aca="false">R603+Q603</f>
        <v>2.41666666666667</v>
      </c>
      <c r="T603" s="8" t="n">
        <f aca="false">R603-P603</f>
        <v>0.916666666666667</v>
      </c>
    </row>
    <row r="604" customFormat="false" ht="14.25" hidden="false" customHeight="true" outlineLevel="0" collapsed="false">
      <c r="A604" s="6" t="n">
        <v>2023</v>
      </c>
      <c r="B604" s="6" t="s">
        <v>121</v>
      </c>
      <c r="C604" s="6" t="s">
        <v>131</v>
      </c>
      <c r="D604" s="7" t="n">
        <v>5</v>
      </c>
      <c r="E604" s="7" t="n">
        <v>16</v>
      </c>
      <c r="F604" s="7" t="n">
        <v>5</v>
      </c>
      <c r="G604" s="7" t="n">
        <v>9</v>
      </c>
      <c r="H604" s="7" t="n">
        <v>0</v>
      </c>
      <c r="I604" s="7" t="n">
        <v>0</v>
      </c>
      <c r="J604" s="7" t="n">
        <v>1</v>
      </c>
      <c r="K604" s="7" t="n">
        <v>1</v>
      </c>
      <c r="L604" s="7" t="n">
        <v>12</v>
      </c>
      <c r="M604" s="7" t="n">
        <v>4</v>
      </c>
      <c r="N604" s="7" t="n">
        <v>4</v>
      </c>
      <c r="O604" s="7" t="n">
        <v>0</v>
      </c>
      <c r="P604" s="8" t="n">
        <f aca="false">IF(E604=0,0,G604/E604)</f>
        <v>0.5625</v>
      </c>
      <c r="Q604" s="8" t="n">
        <f aca="false">IF(E604+N604=0,0,(G604+N604)/(E604+N604))</f>
        <v>0.65</v>
      </c>
      <c r="R604" s="8" t="n">
        <f aca="false">IF(E604=0,0,L604/E604)</f>
        <v>0.75</v>
      </c>
      <c r="S604" s="8" t="n">
        <f aca="false">R604+Q604</f>
        <v>1.4</v>
      </c>
      <c r="T604" s="8" t="n">
        <f aca="false">R604-P604</f>
        <v>0.1875</v>
      </c>
    </row>
    <row r="605" customFormat="false" ht="14.25" hidden="false" customHeight="true" outlineLevel="0" collapsed="false">
      <c r="A605" s="6" t="n">
        <v>2023</v>
      </c>
      <c r="B605" s="6" t="s">
        <v>121</v>
      </c>
      <c r="C605" s="6" t="s">
        <v>123</v>
      </c>
      <c r="D605" s="7" t="n">
        <v>8</v>
      </c>
      <c r="E605" s="7" t="n">
        <v>26</v>
      </c>
      <c r="F605" s="7" t="n">
        <v>3</v>
      </c>
      <c r="G605" s="7" t="n">
        <v>7</v>
      </c>
      <c r="H605" s="7" t="n">
        <v>2</v>
      </c>
      <c r="I605" s="7" t="n">
        <v>0</v>
      </c>
      <c r="J605" s="7" t="n">
        <v>1</v>
      </c>
      <c r="K605" s="7" t="n">
        <v>3</v>
      </c>
      <c r="L605" s="7" t="n">
        <v>12</v>
      </c>
      <c r="M605" s="7" t="n">
        <v>3</v>
      </c>
      <c r="N605" s="7" t="n">
        <v>3</v>
      </c>
      <c r="O605" s="7" t="n">
        <v>0</v>
      </c>
      <c r="P605" s="8" t="n">
        <f aca="false">IF(E605=0,0,G605/E605)</f>
        <v>0.269230769230769</v>
      </c>
      <c r="Q605" s="8" t="n">
        <f aca="false">IF(E605+N605=0,0,(G605+N605)/(E605+N605))</f>
        <v>0.344827586206897</v>
      </c>
      <c r="R605" s="8" t="n">
        <f aca="false">IF(E605=0,0,L605/E605)</f>
        <v>0.461538461538462</v>
      </c>
      <c r="S605" s="8" t="n">
        <f aca="false">R605+Q605</f>
        <v>0.806366047745358</v>
      </c>
      <c r="T605" s="8" t="n">
        <f aca="false">R605-P605</f>
        <v>0.192307692307692</v>
      </c>
    </row>
    <row r="606" customFormat="false" ht="14.25" hidden="false" customHeight="true" outlineLevel="0" collapsed="false">
      <c r="A606" s="6" t="n">
        <v>2023</v>
      </c>
      <c r="B606" s="6" t="s">
        <v>121</v>
      </c>
      <c r="C606" s="6" t="s">
        <v>138</v>
      </c>
      <c r="D606" s="7" t="n">
        <v>12</v>
      </c>
      <c r="E606" s="7" t="n">
        <v>30</v>
      </c>
      <c r="F606" s="7" t="n">
        <v>5</v>
      </c>
      <c r="G606" s="7" t="n">
        <v>7</v>
      </c>
      <c r="H606" s="7" t="n">
        <v>3</v>
      </c>
      <c r="I606" s="7" t="n">
        <v>0</v>
      </c>
      <c r="J606" s="7" t="n">
        <v>0</v>
      </c>
      <c r="K606" s="7" t="n">
        <v>3</v>
      </c>
      <c r="L606" s="7" t="n">
        <v>10</v>
      </c>
      <c r="M606" s="7" t="n">
        <v>6</v>
      </c>
      <c r="N606" s="7" t="n">
        <v>6</v>
      </c>
      <c r="O606" s="7" t="n">
        <v>4</v>
      </c>
      <c r="P606" s="8" t="n">
        <f aca="false">IF(E606=0,0,G606/E606)</f>
        <v>0.233333333333333</v>
      </c>
      <c r="Q606" s="8" t="n">
        <f aca="false">IF(E606+N606=0,0,(G606+N606)/(E606+N606))</f>
        <v>0.361111111111111</v>
      </c>
      <c r="R606" s="8" t="n">
        <f aca="false">IF(E606=0,0,L606/E606)</f>
        <v>0.333333333333333</v>
      </c>
      <c r="S606" s="8" t="n">
        <f aca="false">R606+Q606</f>
        <v>0.694444444444444</v>
      </c>
      <c r="T606" s="8" t="n">
        <f aca="false">R606-P606</f>
        <v>0.1</v>
      </c>
    </row>
    <row r="607" customFormat="false" ht="14.25" hidden="false" customHeight="true" outlineLevel="0" collapsed="false">
      <c r="A607" s="6" t="n">
        <v>2023</v>
      </c>
      <c r="B607" s="6" t="s">
        <v>121</v>
      </c>
      <c r="C607" s="6" t="s">
        <v>128</v>
      </c>
      <c r="D607" s="7" t="n">
        <v>5</v>
      </c>
      <c r="E607" s="7" t="n">
        <v>15</v>
      </c>
      <c r="F607" s="7" t="n">
        <v>5</v>
      </c>
      <c r="G607" s="7" t="n">
        <v>6</v>
      </c>
      <c r="H607" s="7" t="n">
        <v>0</v>
      </c>
      <c r="I607" s="7" t="n">
        <v>0</v>
      </c>
      <c r="J607" s="7" t="n">
        <v>1</v>
      </c>
      <c r="K607" s="7" t="n">
        <v>1</v>
      </c>
      <c r="L607" s="7" t="n">
        <v>9</v>
      </c>
      <c r="M607" s="7" t="n">
        <v>2</v>
      </c>
      <c r="N607" s="7" t="n">
        <v>1</v>
      </c>
      <c r="O607" s="7" t="n">
        <v>1</v>
      </c>
      <c r="P607" s="8" t="n">
        <f aca="false">IF(E607=0,0,G607/E607)</f>
        <v>0.4</v>
      </c>
      <c r="Q607" s="8" t="n">
        <f aca="false">IF(E607+N607=0,0,(G607+N607)/(E607+N607))</f>
        <v>0.4375</v>
      </c>
      <c r="R607" s="8" t="n">
        <f aca="false">IF(E607=0,0,L607/E607)</f>
        <v>0.6</v>
      </c>
      <c r="S607" s="8" t="n">
        <f aca="false">R607+Q607</f>
        <v>1.0375</v>
      </c>
      <c r="T607" s="8" t="n">
        <f aca="false">R607-P607</f>
        <v>0.2</v>
      </c>
    </row>
    <row r="608" customFormat="false" ht="14.25" hidden="false" customHeight="true" outlineLevel="0" collapsed="false">
      <c r="A608" s="6" t="n">
        <v>2023</v>
      </c>
      <c r="B608" s="6" t="s">
        <v>121</v>
      </c>
      <c r="C608" s="6" t="s">
        <v>125</v>
      </c>
      <c r="D608" s="7" t="n">
        <v>10</v>
      </c>
      <c r="E608" s="7" t="n">
        <v>27</v>
      </c>
      <c r="F608" s="7" t="n">
        <v>3</v>
      </c>
      <c r="G608" s="7" t="n">
        <v>6</v>
      </c>
      <c r="H608" s="7" t="n">
        <v>2</v>
      </c>
      <c r="I608" s="7" t="n">
        <v>0</v>
      </c>
      <c r="J608" s="7" t="n">
        <v>0</v>
      </c>
      <c r="K608" s="7" t="n">
        <v>2</v>
      </c>
      <c r="L608" s="7" t="n">
        <v>8</v>
      </c>
      <c r="M608" s="7" t="n">
        <v>6</v>
      </c>
      <c r="N608" s="7" t="n">
        <v>4</v>
      </c>
      <c r="O608" s="7" t="n">
        <v>2</v>
      </c>
      <c r="P608" s="8" t="n">
        <f aca="false">IF(E608=0,0,G608/E608)</f>
        <v>0.222222222222222</v>
      </c>
      <c r="Q608" s="8" t="n">
        <f aca="false">IF(E608+N608=0,0,(G608+N608)/(E608+N608))</f>
        <v>0.32258064516129</v>
      </c>
      <c r="R608" s="8" t="n">
        <f aca="false">IF(E608=0,0,L608/E608)</f>
        <v>0.296296296296296</v>
      </c>
      <c r="S608" s="8" t="n">
        <f aca="false">R608+Q608</f>
        <v>0.618876941457587</v>
      </c>
      <c r="T608" s="8" t="n">
        <f aca="false">R608-P608</f>
        <v>0.0740740740740741</v>
      </c>
    </row>
    <row r="609" customFormat="false" ht="14.25" hidden="false" customHeight="true" outlineLevel="0" collapsed="false">
      <c r="A609" s="6" t="n">
        <v>2023</v>
      </c>
      <c r="B609" s="6" t="s">
        <v>121</v>
      </c>
      <c r="C609" s="6" t="s">
        <v>137</v>
      </c>
      <c r="D609" s="7" t="n">
        <v>5</v>
      </c>
      <c r="E609" s="7" t="n">
        <v>15</v>
      </c>
      <c r="F609" s="7" t="n">
        <v>5</v>
      </c>
      <c r="G609" s="7" t="n">
        <v>5</v>
      </c>
      <c r="H609" s="7" t="n">
        <v>0</v>
      </c>
      <c r="I609" s="7" t="n">
        <v>0</v>
      </c>
      <c r="J609" s="7" t="n">
        <v>2</v>
      </c>
      <c r="K609" s="7" t="n">
        <v>2</v>
      </c>
      <c r="L609" s="7" t="n">
        <v>11</v>
      </c>
      <c r="M609" s="7" t="n">
        <v>3</v>
      </c>
      <c r="N609" s="7" t="n">
        <v>1</v>
      </c>
      <c r="O609" s="7" t="n">
        <v>0</v>
      </c>
      <c r="P609" s="8" t="n">
        <f aca="false">IF(E609=0,0,G609/E609)</f>
        <v>0.333333333333333</v>
      </c>
      <c r="Q609" s="8" t="n">
        <f aca="false">IF(E609+N609=0,0,(G609+N609)/(E609+N609))</f>
        <v>0.375</v>
      </c>
      <c r="R609" s="8" t="n">
        <f aca="false">IF(E609=0,0,L609/E609)</f>
        <v>0.733333333333333</v>
      </c>
      <c r="S609" s="8" t="n">
        <f aca="false">R609+Q609</f>
        <v>1.10833333333333</v>
      </c>
      <c r="T609" s="8" t="n">
        <f aca="false">R609-P609</f>
        <v>0.4</v>
      </c>
    </row>
    <row r="610" customFormat="false" ht="14.25" hidden="false" customHeight="true" outlineLevel="0" collapsed="false">
      <c r="A610" s="6" t="n">
        <v>2023</v>
      </c>
      <c r="B610" s="6" t="s">
        <v>121</v>
      </c>
      <c r="C610" s="6" t="s">
        <v>133</v>
      </c>
      <c r="D610" s="7" t="n">
        <v>8</v>
      </c>
      <c r="E610" s="7" t="n">
        <v>16</v>
      </c>
      <c r="F610" s="7" t="n">
        <v>3</v>
      </c>
      <c r="G610" s="7" t="n">
        <v>5</v>
      </c>
      <c r="H610" s="7" t="n">
        <v>0</v>
      </c>
      <c r="I610" s="7" t="n">
        <v>0</v>
      </c>
      <c r="J610" s="7" t="n">
        <v>0</v>
      </c>
      <c r="K610" s="7" t="n">
        <v>0</v>
      </c>
      <c r="L610" s="7" t="n">
        <v>5</v>
      </c>
      <c r="M610" s="7" t="n">
        <v>3</v>
      </c>
      <c r="N610" s="7" t="n">
        <v>3</v>
      </c>
      <c r="O610" s="7" t="n">
        <v>0</v>
      </c>
      <c r="P610" s="8" t="n">
        <f aca="false">IF(E610=0,0,G610/E610)</f>
        <v>0.3125</v>
      </c>
      <c r="Q610" s="8" t="n">
        <f aca="false">IF(E610+N610=0,0,(G610+N610)/(E610+N610))</f>
        <v>0.421052631578947</v>
      </c>
      <c r="R610" s="8" t="n">
        <f aca="false">IF(E610=0,0,L610/E610)</f>
        <v>0.3125</v>
      </c>
      <c r="S610" s="8" t="n">
        <f aca="false">R610+Q610</f>
        <v>0.733552631578947</v>
      </c>
      <c r="T610" s="8" t="n">
        <f aca="false">R610-P610</f>
        <v>0</v>
      </c>
    </row>
    <row r="611" customFormat="false" ht="14.25" hidden="false" customHeight="true" outlineLevel="0" collapsed="false">
      <c r="A611" s="6" t="n">
        <v>2023</v>
      </c>
      <c r="B611" s="6" t="s">
        <v>121</v>
      </c>
      <c r="C611" s="6" t="s">
        <v>333</v>
      </c>
      <c r="D611" s="7" t="n">
        <v>2</v>
      </c>
      <c r="E611" s="7" t="n">
        <v>7</v>
      </c>
      <c r="F611" s="7" t="n">
        <v>3</v>
      </c>
      <c r="G611" s="7" t="n">
        <v>4</v>
      </c>
      <c r="H611" s="7" t="n">
        <v>2</v>
      </c>
      <c r="I611" s="7" t="n">
        <v>0</v>
      </c>
      <c r="J611" s="7" t="n">
        <v>1</v>
      </c>
      <c r="K611" s="7" t="n">
        <v>3</v>
      </c>
      <c r="L611" s="7" t="n">
        <v>9</v>
      </c>
      <c r="M611" s="7" t="n">
        <v>1</v>
      </c>
      <c r="N611" s="7" t="n">
        <v>0</v>
      </c>
      <c r="O611" s="7" t="n">
        <v>0</v>
      </c>
      <c r="P611" s="8" t="n">
        <f aca="false">IF(E611=0,0,G611/E611)</f>
        <v>0.571428571428571</v>
      </c>
      <c r="Q611" s="8" t="n">
        <f aca="false">IF(E611+N611=0,0,(G611+N611)/(E611+N611))</f>
        <v>0.571428571428571</v>
      </c>
      <c r="R611" s="8" t="n">
        <f aca="false">IF(E611=0,0,L611/E611)</f>
        <v>1.28571428571429</v>
      </c>
      <c r="S611" s="8" t="n">
        <f aca="false">R611+Q611</f>
        <v>1.85714285714286</v>
      </c>
      <c r="T611" s="8" t="n">
        <f aca="false">R611-P611</f>
        <v>0.714285714285714</v>
      </c>
    </row>
    <row r="612" customFormat="false" ht="14.25" hidden="false" customHeight="true" outlineLevel="0" collapsed="false">
      <c r="A612" s="6" t="n">
        <v>2023</v>
      </c>
      <c r="B612" s="6" t="s">
        <v>121</v>
      </c>
      <c r="C612" s="6" t="s">
        <v>129</v>
      </c>
      <c r="D612" s="7" t="n">
        <v>8</v>
      </c>
      <c r="E612" s="7" t="n">
        <v>19</v>
      </c>
      <c r="F612" s="7" t="n">
        <v>0</v>
      </c>
      <c r="G612" s="7" t="n">
        <v>4</v>
      </c>
      <c r="H612" s="7" t="n">
        <v>0</v>
      </c>
      <c r="I612" s="7" t="n">
        <v>0</v>
      </c>
      <c r="J612" s="7" t="n">
        <v>0</v>
      </c>
      <c r="K612" s="7" t="n">
        <v>0</v>
      </c>
      <c r="L612" s="7" t="n">
        <v>4</v>
      </c>
      <c r="M612" s="7" t="n">
        <v>2</v>
      </c>
      <c r="N612" s="7" t="n">
        <v>1</v>
      </c>
      <c r="O612" s="7" t="n">
        <v>1</v>
      </c>
      <c r="P612" s="8" t="n">
        <f aca="false">IF(E612=0,0,G612/E612)</f>
        <v>0.210526315789474</v>
      </c>
      <c r="Q612" s="8" t="n">
        <f aca="false">IF(E612+N612=0,0,(G612+N612)/(E612+N612))</f>
        <v>0.25</v>
      </c>
      <c r="R612" s="8" t="n">
        <f aca="false">IF(E612=0,0,L612/E612)</f>
        <v>0.210526315789474</v>
      </c>
      <c r="S612" s="8" t="n">
        <f aca="false">R612+Q612</f>
        <v>0.460526315789474</v>
      </c>
      <c r="T612" s="8" t="n">
        <f aca="false">R612-P612</f>
        <v>0</v>
      </c>
    </row>
    <row r="613" customFormat="false" ht="14.25" hidden="false" customHeight="true" outlineLevel="0" collapsed="false">
      <c r="A613" s="6" t="n">
        <v>2023</v>
      </c>
      <c r="B613" s="6" t="s">
        <v>121</v>
      </c>
      <c r="C613" s="6" t="s">
        <v>145</v>
      </c>
      <c r="D613" s="7" t="n">
        <v>8</v>
      </c>
      <c r="E613" s="7" t="n">
        <v>16</v>
      </c>
      <c r="F613" s="7" t="n">
        <v>1</v>
      </c>
      <c r="G613" s="7" t="n">
        <v>3</v>
      </c>
      <c r="H613" s="7" t="n">
        <v>0</v>
      </c>
      <c r="I613" s="7" t="n">
        <v>0</v>
      </c>
      <c r="J613" s="7" t="n">
        <v>0</v>
      </c>
      <c r="K613" s="7" t="n">
        <v>0</v>
      </c>
      <c r="L613" s="7" t="n">
        <v>3</v>
      </c>
      <c r="M613" s="7" t="n">
        <v>4</v>
      </c>
      <c r="N613" s="7" t="n">
        <v>3</v>
      </c>
      <c r="O613" s="7" t="n">
        <v>0</v>
      </c>
      <c r="P613" s="8" t="n">
        <f aca="false">IF(E613=0,0,G613/E613)</f>
        <v>0.1875</v>
      </c>
      <c r="Q613" s="8" t="n">
        <f aca="false">IF(E613+N613=0,0,(G613+N613)/(E613+N613))</f>
        <v>0.315789473684211</v>
      </c>
      <c r="R613" s="8" t="n">
        <f aca="false">IF(E613=0,0,L613/E613)</f>
        <v>0.1875</v>
      </c>
      <c r="S613" s="8" t="n">
        <f aca="false">R613+Q613</f>
        <v>0.503289473684211</v>
      </c>
      <c r="T613" s="8" t="n">
        <f aca="false">R613-P613</f>
        <v>0</v>
      </c>
    </row>
    <row r="614" customFormat="false" ht="14.25" hidden="false" customHeight="true" outlineLevel="0" collapsed="false">
      <c r="A614" s="6" t="n">
        <v>2023</v>
      </c>
      <c r="B614" s="6" t="s">
        <v>121</v>
      </c>
      <c r="C614" s="6" t="s">
        <v>334</v>
      </c>
      <c r="D614" s="7" t="n">
        <v>2</v>
      </c>
      <c r="E614" s="7" t="n">
        <v>3</v>
      </c>
      <c r="F614" s="7" t="n">
        <v>3</v>
      </c>
      <c r="G614" s="7" t="n">
        <v>2</v>
      </c>
      <c r="H614" s="7" t="n">
        <v>2</v>
      </c>
      <c r="I614" s="7" t="n">
        <v>0</v>
      </c>
      <c r="J614" s="7" t="n">
        <v>0</v>
      </c>
      <c r="K614" s="7" t="n">
        <v>2</v>
      </c>
      <c r="L614" s="7" t="n">
        <v>4</v>
      </c>
      <c r="M614" s="7" t="n">
        <v>2</v>
      </c>
      <c r="N614" s="7" t="n">
        <v>1</v>
      </c>
      <c r="O614" s="7" t="n">
        <v>0</v>
      </c>
      <c r="P614" s="8" t="n">
        <f aca="false">IF(E614=0,0,G614/E614)</f>
        <v>0.666666666666667</v>
      </c>
      <c r="Q614" s="8" t="n">
        <f aca="false">IF(E614+N614=0,0,(G614+N614)/(E614+N614))</f>
        <v>0.75</v>
      </c>
      <c r="R614" s="8" t="n">
        <f aca="false">IF(E614=0,0,L614/E614)</f>
        <v>1.33333333333333</v>
      </c>
      <c r="S614" s="8" t="n">
        <f aca="false">R614+Q614</f>
        <v>2.08333333333333</v>
      </c>
      <c r="T614" s="8" t="n">
        <f aca="false">R614-P614</f>
        <v>0.666666666666667</v>
      </c>
    </row>
    <row r="615" customFormat="false" ht="14.25" hidden="false" customHeight="true" outlineLevel="0" collapsed="false">
      <c r="A615" s="6" t="n">
        <v>2023</v>
      </c>
      <c r="B615" s="6" t="s">
        <v>121</v>
      </c>
      <c r="C615" s="6" t="s">
        <v>335</v>
      </c>
      <c r="D615" s="7" t="n">
        <v>2</v>
      </c>
      <c r="E615" s="7" t="n">
        <v>5</v>
      </c>
      <c r="F615" s="7" t="n">
        <v>1</v>
      </c>
      <c r="G615" s="7" t="n">
        <v>2</v>
      </c>
      <c r="H615" s="7" t="n">
        <v>1</v>
      </c>
      <c r="I615" s="7" t="n">
        <v>0</v>
      </c>
      <c r="J615" s="7" t="n">
        <v>0</v>
      </c>
      <c r="K615" s="7" t="n">
        <v>1</v>
      </c>
      <c r="L615" s="7" t="n">
        <v>3</v>
      </c>
      <c r="M615" s="7" t="n">
        <v>0</v>
      </c>
      <c r="N615" s="7" t="n">
        <v>0</v>
      </c>
      <c r="O615" s="7" t="n">
        <v>0</v>
      </c>
      <c r="P615" s="8" t="n">
        <f aca="false">IF(E615=0,0,G615/E615)</f>
        <v>0.4</v>
      </c>
      <c r="Q615" s="8" t="n">
        <f aca="false">IF(E615+N615=0,0,(G615+N615)/(E615+N615))</f>
        <v>0.4</v>
      </c>
      <c r="R615" s="8" t="n">
        <f aca="false">IF(E615=0,0,L615/E615)</f>
        <v>0.6</v>
      </c>
      <c r="S615" s="8" t="n">
        <f aca="false">R615+Q615</f>
        <v>1</v>
      </c>
      <c r="T615" s="8" t="n">
        <f aca="false">R615-P615</f>
        <v>0.2</v>
      </c>
    </row>
    <row r="616" customFormat="false" ht="14.25" hidden="false" customHeight="true" outlineLevel="0" collapsed="false">
      <c r="A616" s="6" t="n">
        <v>2023</v>
      </c>
      <c r="B616" s="6" t="s">
        <v>121</v>
      </c>
      <c r="C616" s="6" t="s">
        <v>132</v>
      </c>
      <c r="D616" s="7" t="n">
        <v>4</v>
      </c>
      <c r="E616" s="7" t="n">
        <v>7</v>
      </c>
      <c r="F616" s="7" t="n">
        <v>1</v>
      </c>
      <c r="G616" s="7" t="n">
        <v>2</v>
      </c>
      <c r="H616" s="7" t="n">
        <v>0</v>
      </c>
      <c r="I616" s="7" t="n">
        <v>0</v>
      </c>
      <c r="J616" s="7" t="n">
        <v>0</v>
      </c>
      <c r="K616" s="7" t="n">
        <v>0</v>
      </c>
      <c r="L616" s="7" t="n">
        <v>2</v>
      </c>
      <c r="M616" s="7" t="n">
        <v>0</v>
      </c>
      <c r="N616" s="7" t="n">
        <v>2</v>
      </c>
      <c r="O616" s="7" t="n">
        <v>0</v>
      </c>
      <c r="P616" s="8" t="n">
        <f aca="false">IF(E616=0,0,G616/E616)</f>
        <v>0.285714285714286</v>
      </c>
      <c r="Q616" s="8" t="n">
        <f aca="false">IF(E616+N616=0,0,(G616+N616)/(E616+N616))</f>
        <v>0.444444444444444</v>
      </c>
      <c r="R616" s="8" t="n">
        <f aca="false">IF(E616=0,0,L616/E616)</f>
        <v>0.285714285714286</v>
      </c>
      <c r="S616" s="8" t="n">
        <f aca="false">R616+Q616</f>
        <v>0.73015873015873</v>
      </c>
      <c r="T616" s="8" t="n">
        <f aca="false">R616-P616</f>
        <v>0</v>
      </c>
    </row>
    <row r="617" customFormat="false" ht="14.25" hidden="false" customHeight="true" outlineLevel="0" collapsed="false">
      <c r="A617" s="6" t="n">
        <v>2023</v>
      </c>
      <c r="B617" s="6" t="s">
        <v>121</v>
      </c>
      <c r="C617" s="6" t="s">
        <v>140</v>
      </c>
      <c r="D617" s="7" t="n">
        <v>4</v>
      </c>
      <c r="E617" s="7" t="n">
        <v>8</v>
      </c>
      <c r="F617" s="7" t="n">
        <v>0</v>
      </c>
      <c r="G617" s="7" t="n">
        <v>2</v>
      </c>
      <c r="H617" s="7" t="n">
        <v>0</v>
      </c>
      <c r="I617" s="7" t="n">
        <v>0</v>
      </c>
      <c r="J617" s="7" t="n">
        <v>0</v>
      </c>
      <c r="K617" s="7" t="n">
        <v>0</v>
      </c>
      <c r="L617" s="7" t="n">
        <v>2</v>
      </c>
      <c r="M617" s="7" t="n">
        <v>0</v>
      </c>
      <c r="N617" s="7" t="n">
        <v>1</v>
      </c>
      <c r="O617" s="7" t="n">
        <v>0</v>
      </c>
      <c r="P617" s="8" t="n">
        <f aca="false">IF(E617=0,0,G617/E617)</f>
        <v>0.25</v>
      </c>
      <c r="Q617" s="8" t="n">
        <f aca="false">IF(E617+N617=0,0,(G617+N617)/(E617+N617))</f>
        <v>0.333333333333333</v>
      </c>
      <c r="R617" s="8" t="n">
        <f aca="false">IF(E617=0,0,L617/E617)</f>
        <v>0.25</v>
      </c>
      <c r="S617" s="8" t="n">
        <f aca="false">R617+Q617</f>
        <v>0.583333333333333</v>
      </c>
      <c r="T617" s="8" t="n">
        <f aca="false">R617-P617</f>
        <v>0</v>
      </c>
    </row>
    <row r="618" customFormat="false" ht="14.25" hidden="false" customHeight="true" outlineLevel="0" collapsed="false">
      <c r="A618" s="6" t="n">
        <v>2023</v>
      </c>
      <c r="B618" s="6" t="s">
        <v>121</v>
      </c>
      <c r="C618" s="6" t="s">
        <v>135</v>
      </c>
      <c r="D618" s="7" t="n">
        <v>7</v>
      </c>
      <c r="E618" s="7" t="n">
        <v>17</v>
      </c>
      <c r="F618" s="7" t="n">
        <v>4</v>
      </c>
      <c r="G618" s="7" t="n">
        <v>1</v>
      </c>
      <c r="H618" s="7" t="n">
        <v>0</v>
      </c>
      <c r="I618" s="7" t="n">
        <v>0</v>
      </c>
      <c r="J618" s="7" t="n">
        <v>0</v>
      </c>
      <c r="K618" s="7" t="n">
        <v>0</v>
      </c>
      <c r="L618" s="7" t="n">
        <v>1</v>
      </c>
      <c r="M618" s="7" t="n">
        <v>2</v>
      </c>
      <c r="N618" s="7" t="n">
        <v>3</v>
      </c>
      <c r="O618" s="7" t="n">
        <v>0</v>
      </c>
      <c r="P618" s="8" t="n">
        <f aca="false">IF(E618=0,0,G618/E618)</f>
        <v>0.0588235294117647</v>
      </c>
      <c r="Q618" s="8" t="n">
        <f aca="false">IF(E618+N618=0,0,(G618+N618)/(E618+N618))</f>
        <v>0.2</v>
      </c>
      <c r="R618" s="8" t="n">
        <f aca="false">IF(E618=0,0,L618/E618)</f>
        <v>0.0588235294117647</v>
      </c>
      <c r="S618" s="8" t="n">
        <f aca="false">R618+Q618</f>
        <v>0.258823529411765</v>
      </c>
      <c r="T618" s="8" t="n">
        <f aca="false">R618-P618</f>
        <v>0</v>
      </c>
    </row>
    <row r="619" customFormat="false" ht="14.25" hidden="false" customHeight="true" outlineLevel="0" collapsed="false">
      <c r="A619" s="6" t="n">
        <v>2023</v>
      </c>
      <c r="B619" s="6" t="s">
        <v>121</v>
      </c>
      <c r="C619" s="6" t="s">
        <v>336</v>
      </c>
      <c r="D619" s="7" t="n">
        <v>3</v>
      </c>
      <c r="E619" s="7" t="n">
        <v>8</v>
      </c>
      <c r="F619" s="7" t="n">
        <v>0</v>
      </c>
      <c r="G619" s="7" t="n">
        <v>1</v>
      </c>
      <c r="H619" s="7" t="n">
        <v>0</v>
      </c>
      <c r="I619" s="7" t="n">
        <v>0</v>
      </c>
      <c r="J619" s="7" t="n">
        <v>0</v>
      </c>
      <c r="K619" s="7" t="n">
        <v>0</v>
      </c>
      <c r="L619" s="7" t="n">
        <v>1</v>
      </c>
      <c r="M619" s="7" t="n">
        <v>0</v>
      </c>
      <c r="N619" s="7" t="n">
        <v>1</v>
      </c>
      <c r="O619" s="7" t="n">
        <v>0</v>
      </c>
      <c r="P619" s="8" t="n">
        <f aca="false">IF(E619=0,0,G619/E619)</f>
        <v>0.125</v>
      </c>
      <c r="Q619" s="8" t="n">
        <f aca="false">IF(E619+N619=0,0,(G619+N619)/(E619+N619))</f>
        <v>0.222222222222222</v>
      </c>
      <c r="R619" s="8" t="n">
        <f aca="false">IF(E619=0,0,L619/E619)</f>
        <v>0.125</v>
      </c>
      <c r="S619" s="8" t="n">
        <f aca="false">R619+Q619</f>
        <v>0.347222222222222</v>
      </c>
      <c r="T619" s="8" t="n">
        <f aca="false">R619-P619</f>
        <v>0</v>
      </c>
    </row>
    <row r="620" customFormat="false" ht="14.25" hidden="false" customHeight="true" outlineLevel="0" collapsed="false">
      <c r="A620" s="6" t="n">
        <v>2023</v>
      </c>
      <c r="B620" s="6" t="s">
        <v>121</v>
      </c>
      <c r="C620" s="6" t="s">
        <v>142</v>
      </c>
      <c r="D620" s="7" t="n">
        <v>1</v>
      </c>
      <c r="E620" s="7" t="n">
        <v>2</v>
      </c>
      <c r="F620" s="7" t="n">
        <v>0</v>
      </c>
      <c r="G620" s="7" t="n">
        <v>0</v>
      </c>
      <c r="H620" s="7" t="n">
        <v>0</v>
      </c>
      <c r="I620" s="7" t="n">
        <v>0</v>
      </c>
      <c r="J620" s="7" t="n">
        <v>0</v>
      </c>
      <c r="K620" s="7" t="n">
        <v>0</v>
      </c>
      <c r="L620" s="7" t="n">
        <v>0</v>
      </c>
      <c r="M620" s="7" t="n">
        <v>1</v>
      </c>
      <c r="N620" s="7" t="n">
        <v>1</v>
      </c>
      <c r="O620" s="7" t="n">
        <v>0</v>
      </c>
      <c r="P620" s="8" t="n">
        <f aca="false">IF(E620=0,0,G620/E620)</f>
        <v>0</v>
      </c>
      <c r="Q620" s="8" t="n">
        <f aca="false">IF(E620+N620=0,0,(G620+N620)/(E620+N620))</f>
        <v>0.333333333333333</v>
      </c>
      <c r="R620" s="8" t="n">
        <f aca="false">IF(E620=0,0,L620/E620)</f>
        <v>0</v>
      </c>
      <c r="S620" s="8" t="n">
        <f aca="false">R620+Q620</f>
        <v>0.333333333333333</v>
      </c>
      <c r="T620" s="8" t="n">
        <f aca="false">R620-P620</f>
        <v>0</v>
      </c>
    </row>
    <row r="621" customFormat="false" ht="14.25" hidden="false" customHeight="true" outlineLevel="0" collapsed="false">
      <c r="A621" s="6" t="n">
        <v>2023</v>
      </c>
      <c r="B621" s="6" t="s">
        <v>121</v>
      </c>
      <c r="C621" s="6" t="s">
        <v>120</v>
      </c>
      <c r="D621" s="7" t="n">
        <v>2</v>
      </c>
      <c r="E621" s="7" t="n">
        <v>5</v>
      </c>
      <c r="F621" s="7" t="n">
        <v>0</v>
      </c>
      <c r="G621" s="7" t="n">
        <v>0</v>
      </c>
      <c r="H621" s="7" t="n">
        <v>0</v>
      </c>
      <c r="I621" s="7" t="n">
        <v>0</v>
      </c>
      <c r="J621" s="7" t="n">
        <v>0</v>
      </c>
      <c r="K621" s="7" t="n">
        <v>0</v>
      </c>
      <c r="L621" s="7" t="n">
        <v>0</v>
      </c>
      <c r="M621" s="7" t="n">
        <v>0</v>
      </c>
      <c r="N621" s="7" t="n">
        <v>0</v>
      </c>
      <c r="O621" s="7" t="n">
        <v>5</v>
      </c>
      <c r="P621" s="8" t="n">
        <f aca="false">IF(E621=0,0,G621/E621)</f>
        <v>0</v>
      </c>
      <c r="Q621" s="8" t="n">
        <f aca="false">IF(E621+N621=0,0,(G621+N621)/(E621+N621))</f>
        <v>0</v>
      </c>
      <c r="R621" s="8" t="n">
        <f aca="false">IF(E621=0,0,L621/E621)</f>
        <v>0</v>
      </c>
      <c r="S621" s="8" t="n">
        <f aca="false">R621+Q621</f>
        <v>0</v>
      </c>
      <c r="T621" s="8" t="n">
        <f aca="false">R621-P621</f>
        <v>0</v>
      </c>
    </row>
    <row r="622" customFormat="false" ht="14.25" hidden="false" customHeight="true" outlineLevel="0" collapsed="false">
      <c r="A622" s="6" t="n">
        <v>2023</v>
      </c>
      <c r="B622" s="6" t="s">
        <v>121</v>
      </c>
      <c r="C622" s="6" t="s">
        <v>301</v>
      </c>
      <c r="D622" s="7" t="n">
        <v>1</v>
      </c>
      <c r="E622" s="7" t="n">
        <v>3</v>
      </c>
      <c r="F622" s="7" t="n">
        <v>0</v>
      </c>
      <c r="G622" s="7" t="n">
        <v>0</v>
      </c>
      <c r="H622" s="7" t="n">
        <v>0</v>
      </c>
      <c r="I622" s="7" t="n">
        <v>0</v>
      </c>
      <c r="J622" s="7" t="n">
        <v>0</v>
      </c>
      <c r="K622" s="7" t="n">
        <v>0</v>
      </c>
      <c r="L622" s="7" t="n">
        <v>0</v>
      </c>
      <c r="M622" s="7" t="n">
        <v>0</v>
      </c>
      <c r="N622" s="7" t="n">
        <v>0</v>
      </c>
      <c r="O622" s="7" t="n">
        <v>3</v>
      </c>
      <c r="P622" s="8" t="n">
        <f aca="false">IF(E622=0,0,G622/E622)</f>
        <v>0</v>
      </c>
      <c r="Q622" s="8" t="n">
        <f aca="false">IF(E622+N622=0,0,(G622+N622)/(E622+N622))</f>
        <v>0</v>
      </c>
      <c r="R622" s="8" t="n">
        <f aca="false">IF(E622=0,0,L622/E622)</f>
        <v>0</v>
      </c>
      <c r="S622" s="8" t="n">
        <f aca="false">R622+Q622</f>
        <v>0</v>
      </c>
      <c r="T622" s="8" t="n">
        <f aca="false">R622-P622</f>
        <v>0</v>
      </c>
    </row>
    <row r="623" customFormat="false" ht="14.25" hidden="false" customHeight="true" outlineLevel="0" collapsed="false">
      <c r="A623" s="6" t="n">
        <v>2023</v>
      </c>
      <c r="B623" s="6" t="s">
        <v>121</v>
      </c>
      <c r="C623" s="6" t="s">
        <v>337</v>
      </c>
      <c r="D623" s="7" t="n">
        <v>1</v>
      </c>
      <c r="E623" s="7" t="n">
        <v>2</v>
      </c>
      <c r="F623" s="7" t="n">
        <v>1</v>
      </c>
      <c r="G623" s="7" t="n">
        <v>0</v>
      </c>
      <c r="H623" s="7" t="n">
        <v>0</v>
      </c>
      <c r="I623" s="7" t="n">
        <v>0</v>
      </c>
      <c r="J623" s="7" t="n">
        <v>0</v>
      </c>
      <c r="K623" s="7" t="n">
        <v>0</v>
      </c>
      <c r="L623" s="7" t="n">
        <v>0</v>
      </c>
      <c r="M623" s="7" t="n">
        <v>0</v>
      </c>
      <c r="N623" s="7" t="n">
        <v>1</v>
      </c>
      <c r="O623" s="7" t="n">
        <v>1</v>
      </c>
      <c r="P623" s="8" t="n">
        <f aca="false">IF(E623=0,0,G623/E623)</f>
        <v>0</v>
      </c>
      <c r="Q623" s="8" t="n">
        <f aca="false">IF(E623+N623=0,0,(G623+N623)/(E623+N623))</f>
        <v>0.333333333333333</v>
      </c>
      <c r="R623" s="8" t="n">
        <f aca="false">IF(E623=0,0,L623/E623)</f>
        <v>0</v>
      </c>
      <c r="S623" s="8" t="n">
        <f aca="false">R623+Q623</f>
        <v>0.333333333333333</v>
      </c>
      <c r="T623" s="8" t="n">
        <f aca="false">R623-P623</f>
        <v>0</v>
      </c>
    </row>
    <row r="624" customFormat="false" ht="14.25" hidden="false" customHeight="true" outlineLevel="0" collapsed="false">
      <c r="A624" s="6" t="n">
        <v>2023</v>
      </c>
      <c r="B624" s="6" t="s">
        <v>121</v>
      </c>
      <c r="C624" s="6" t="s">
        <v>338</v>
      </c>
      <c r="D624" s="7" t="n">
        <v>1</v>
      </c>
      <c r="E624" s="7" t="n">
        <v>3</v>
      </c>
      <c r="F624" s="7" t="n">
        <v>0</v>
      </c>
      <c r="G624" s="7" t="n">
        <v>0</v>
      </c>
      <c r="H624" s="7" t="n">
        <v>0</v>
      </c>
      <c r="I624" s="7" t="n">
        <v>0</v>
      </c>
      <c r="J624" s="7" t="n">
        <v>0</v>
      </c>
      <c r="K624" s="7" t="n">
        <v>0</v>
      </c>
      <c r="L624" s="7" t="n">
        <v>0</v>
      </c>
      <c r="M624" s="7" t="n">
        <v>0</v>
      </c>
      <c r="N624" s="7" t="n">
        <v>0</v>
      </c>
      <c r="O624" s="7" t="n">
        <v>1</v>
      </c>
      <c r="P624" s="8" t="n">
        <f aca="false">IF(E624=0,0,G624/E624)</f>
        <v>0</v>
      </c>
      <c r="Q624" s="8" t="n">
        <f aca="false">IF(E624+N624=0,0,(G624+N624)/(E624+N624))</f>
        <v>0</v>
      </c>
      <c r="R624" s="8" t="n">
        <f aca="false">IF(E624=0,0,L624/E624)</f>
        <v>0</v>
      </c>
      <c r="S624" s="8" t="n">
        <f aca="false">R624+Q624</f>
        <v>0</v>
      </c>
      <c r="T624" s="8" t="n">
        <f aca="false">R624-P624</f>
        <v>0</v>
      </c>
    </row>
    <row r="625" customFormat="false" ht="14.25" hidden="false" customHeight="true" outlineLevel="0" collapsed="false">
      <c r="A625" s="6" t="n">
        <v>2023</v>
      </c>
      <c r="B625" s="6" t="s">
        <v>121</v>
      </c>
      <c r="C625" s="6" t="s">
        <v>271</v>
      </c>
      <c r="D625" s="7" t="n">
        <v>2</v>
      </c>
      <c r="E625" s="7" t="n">
        <v>2</v>
      </c>
      <c r="F625" s="7" t="n">
        <v>0</v>
      </c>
      <c r="G625" s="7" t="n">
        <v>0</v>
      </c>
      <c r="H625" s="7" t="n">
        <v>0</v>
      </c>
      <c r="I625" s="7" t="n">
        <v>0</v>
      </c>
      <c r="J625" s="7" t="n">
        <v>0</v>
      </c>
      <c r="K625" s="7" t="n">
        <v>0</v>
      </c>
      <c r="L625" s="7" t="n">
        <v>0</v>
      </c>
      <c r="M625" s="7" t="n">
        <v>0</v>
      </c>
      <c r="N625" s="7" t="n">
        <v>0</v>
      </c>
      <c r="O625" s="7" t="n">
        <v>1</v>
      </c>
      <c r="P625" s="8" t="n">
        <f aca="false">IF(E625=0,0,G625/E625)</f>
        <v>0</v>
      </c>
      <c r="Q625" s="8" t="n">
        <f aca="false">IF(E625+N625=0,0,(G625+N625)/(E625+N625))</f>
        <v>0</v>
      </c>
      <c r="R625" s="8" t="n">
        <f aca="false">IF(E625=0,0,L625/E625)</f>
        <v>0</v>
      </c>
      <c r="S625" s="8" t="n">
        <f aca="false">R625+Q625</f>
        <v>0</v>
      </c>
      <c r="T625" s="8" t="n">
        <f aca="false">R625-P625</f>
        <v>0</v>
      </c>
    </row>
    <row r="626" customFormat="false" ht="14.25" hidden="false" customHeight="true" outlineLevel="0" collapsed="false">
      <c r="A626" s="6" t="n">
        <v>2023</v>
      </c>
      <c r="B626" s="6" t="s">
        <v>121</v>
      </c>
      <c r="C626" s="6" t="s">
        <v>143</v>
      </c>
      <c r="D626" s="7" t="n">
        <v>2</v>
      </c>
      <c r="E626" s="7" t="n">
        <v>5</v>
      </c>
      <c r="F626" s="7" t="n">
        <v>1</v>
      </c>
      <c r="G626" s="7" t="n">
        <v>0</v>
      </c>
      <c r="H626" s="7" t="n">
        <v>0</v>
      </c>
      <c r="I626" s="7" t="n">
        <v>0</v>
      </c>
      <c r="J626" s="7" t="n">
        <v>0</v>
      </c>
      <c r="K626" s="7" t="n">
        <v>0</v>
      </c>
      <c r="L626" s="7" t="n">
        <v>0</v>
      </c>
      <c r="M626" s="7" t="n">
        <v>0</v>
      </c>
      <c r="N626" s="7" t="n">
        <v>1</v>
      </c>
      <c r="O626" s="7" t="n">
        <v>0</v>
      </c>
      <c r="P626" s="8" t="n">
        <f aca="false">IF(E626=0,0,G626/E626)</f>
        <v>0</v>
      </c>
      <c r="Q626" s="8" t="n">
        <f aca="false">IF(E626+N626=0,0,(G626+N626)/(E626+N626))</f>
        <v>0.166666666666667</v>
      </c>
      <c r="R626" s="8" t="n">
        <f aca="false">IF(E626=0,0,L626/E626)</f>
        <v>0</v>
      </c>
      <c r="S626" s="8" t="n">
        <f aca="false">R626+Q626</f>
        <v>0.166666666666667</v>
      </c>
      <c r="T626" s="8" t="n">
        <f aca="false">R626-P626</f>
        <v>0</v>
      </c>
    </row>
    <row r="627" customFormat="false" ht="14.25" hidden="false" customHeight="true" outlineLevel="0" collapsed="false">
      <c r="A627" s="6" t="n">
        <v>2023</v>
      </c>
      <c r="B627" s="6" t="s">
        <v>121</v>
      </c>
      <c r="C627" s="6" t="s">
        <v>339</v>
      </c>
      <c r="D627" s="7" t="n">
        <v>1</v>
      </c>
      <c r="E627" s="7" t="n">
        <v>2</v>
      </c>
      <c r="F627" s="7" t="n">
        <v>0</v>
      </c>
      <c r="G627" s="7" t="n">
        <v>0</v>
      </c>
      <c r="H627" s="7" t="n">
        <v>0</v>
      </c>
      <c r="I627" s="7" t="n">
        <v>0</v>
      </c>
      <c r="J627" s="7" t="n">
        <v>0</v>
      </c>
      <c r="K627" s="7" t="n">
        <v>0</v>
      </c>
      <c r="L627" s="7" t="n">
        <v>0</v>
      </c>
      <c r="M627" s="7" t="n">
        <v>0</v>
      </c>
      <c r="N627" s="7" t="n">
        <v>1</v>
      </c>
      <c r="O627" s="7" t="n">
        <v>0</v>
      </c>
      <c r="P627" s="8" t="n">
        <f aca="false">IF(E627=0,0,G627/E627)</f>
        <v>0</v>
      </c>
      <c r="Q627" s="8" t="n">
        <f aca="false">IF(E627+N627=0,0,(G627+N627)/(E627+N627))</f>
        <v>0.333333333333333</v>
      </c>
      <c r="R627" s="8" t="n">
        <f aca="false">IF(E627=0,0,L627/E627)</f>
        <v>0</v>
      </c>
      <c r="S627" s="8" t="n">
        <f aca="false">R627+Q627</f>
        <v>0.333333333333333</v>
      </c>
      <c r="T627" s="8" t="n">
        <f aca="false">R627-P627</f>
        <v>0</v>
      </c>
    </row>
    <row r="628" customFormat="false" ht="14.25" hidden="false" customHeight="true" outlineLevel="0" collapsed="false">
      <c r="A628" s="6" t="n">
        <v>2023</v>
      </c>
      <c r="B628" s="6" t="s">
        <v>121</v>
      </c>
      <c r="C628" s="6" t="s">
        <v>146</v>
      </c>
      <c r="D628" s="7" t="n">
        <v>2</v>
      </c>
      <c r="E628" s="7" t="n">
        <v>4</v>
      </c>
      <c r="F628" s="7" t="n">
        <v>0</v>
      </c>
      <c r="G628" s="7" t="n">
        <v>0</v>
      </c>
      <c r="H628" s="7" t="n">
        <v>0</v>
      </c>
      <c r="I628" s="7" t="n">
        <v>0</v>
      </c>
      <c r="J628" s="7" t="n">
        <v>0</v>
      </c>
      <c r="K628" s="7" t="n">
        <v>0</v>
      </c>
      <c r="L628" s="7" t="n">
        <v>0</v>
      </c>
      <c r="M628" s="7" t="n">
        <v>0</v>
      </c>
      <c r="N628" s="7" t="n">
        <v>0</v>
      </c>
      <c r="O628" s="7" t="n">
        <v>0</v>
      </c>
      <c r="P628" s="8" t="n">
        <f aca="false">IF(E628=0,0,G628/E628)</f>
        <v>0</v>
      </c>
      <c r="Q628" s="8" t="n">
        <f aca="false">IF(E628+N628=0,0,(G628+N628)/(E628+N628))</f>
        <v>0</v>
      </c>
      <c r="R628" s="8" t="n">
        <f aca="false">IF(E628=0,0,L628/E628)</f>
        <v>0</v>
      </c>
      <c r="S628" s="8" t="n">
        <f aca="false">R628+Q628</f>
        <v>0</v>
      </c>
      <c r="T628" s="8" t="n">
        <f aca="false">R628-P628</f>
        <v>0</v>
      </c>
    </row>
    <row r="629" customFormat="false" ht="14.25" hidden="false" customHeight="true" outlineLevel="0" collapsed="false">
      <c r="A629" s="6" t="n">
        <v>2023</v>
      </c>
      <c r="B629" s="6" t="s">
        <v>121</v>
      </c>
      <c r="C629" s="6" t="s">
        <v>340</v>
      </c>
      <c r="D629" s="7" t="n">
        <v>1</v>
      </c>
      <c r="E629" s="7" t="n">
        <v>3</v>
      </c>
      <c r="F629" s="7" t="n">
        <v>0</v>
      </c>
      <c r="G629" s="7" t="n">
        <v>0</v>
      </c>
      <c r="H629" s="7" t="n">
        <v>0</v>
      </c>
      <c r="I629" s="7" t="n">
        <v>0</v>
      </c>
      <c r="J629" s="7" t="n">
        <v>0</v>
      </c>
      <c r="K629" s="7" t="n">
        <v>0</v>
      </c>
      <c r="L629" s="7" t="n">
        <v>0</v>
      </c>
      <c r="M629" s="7" t="n">
        <v>0</v>
      </c>
      <c r="N629" s="7" t="n">
        <v>0</v>
      </c>
      <c r="O629" s="7" t="n">
        <v>0</v>
      </c>
      <c r="P629" s="8" t="n">
        <f aca="false">IF(E629=0,0,G629/E629)</f>
        <v>0</v>
      </c>
      <c r="Q629" s="8" t="n">
        <f aca="false">IF(E629+N629=0,0,(G629+N629)/(E629+N629))</f>
        <v>0</v>
      </c>
      <c r="R629" s="8" t="n">
        <f aca="false">IF(E629=0,0,L629/E629)</f>
        <v>0</v>
      </c>
      <c r="S629" s="8" t="n">
        <f aca="false">R629+Q629</f>
        <v>0</v>
      </c>
      <c r="T629" s="8" t="n">
        <f aca="false">R629-P629</f>
        <v>0</v>
      </c>
    </row>
    <row r="630" customFormat="false" ht="14.25" hidden="false" customHeight="true" outlineLevel="0" collapsed="false">
      <c r="A630" s="6" t="n">
        <v>2023</v>
      </c>
      <c r="B630" s="6" t="s">
        <v>121</v>
      </c>
      <c r="C630" s="6" t="s">
        <v>136</v>
      </c>
      <c r="D630" s="7" t="n">
        <v>1</v>
      </c>
      <c r="E630" s="7" t="n">
        <v>2</v>
      </c>
      <c r="F630" s="7" t="n">
        <v>0</v>
      </c>
      <c r="G630" s="7" t="n">
        <v>0</v>
      </c>
      <c r="H630" s="7" t="n">
        <v>0</v>
      </c>
      <c r="I630" s="7" t="n">
        <v>0</v>
      </c>
      <c r="J630" s="7" t="n">
        <v>0</v>
      </c>
      <c r="K630" s="7" t="n">
        <v>0</v>
      </c>
      <c r="L630" s="7" t="n">
        <v>0</v>
      </c>
      <c r="M630" s="7" t="n">
        <v>0</v>
      </c>
      <c r="N630" s="7" t="n">
        <v>0</v>
      </c>
      <c r="O630" s="7" t="n">
        <v>0</v>
      </c>
      <c r="P630" s="8" t="n">
        <f aca="false">IF(E630=0,0,G630/E630)</f>
        <v>0</v>
      </c>
      <c r="Q630" s="8" t="n">
        <f aca="false">IF(E630+N630=0,0,(G630+N630)/(E630+N630))</f>
        <v>0</v>
      </c>
      <c r="R630" s="8" t="n">
        <f aca="false">IF(E630=0,0,L630/E630)</f>
        <v>0</v>
      </c>
      <c r="S630" s="8" t="n">
        <f aca="false">R630+Q630</f>
        <v>0</v>
      </c>
      <c r="T630" s="8" t="n">
        <f aca="false">R630-P630</f>
        <v>0</v>
      </c>
    </row>
    <row r="631" customFormat="false" ht="14.25" hidden="false" customHeight="true" outlineLevel="0" collapsed="false">
      <c r="A631" s="6" t="n">
        <v>2023</v>
      </c>
      <c r="B631" s="6" t="s">
        <v>121</v>
      </c>
      <c r="C631" s="6" t="s">
        <v>270</v>
      </c>
      <c r="D631" s="7" t="n">
        <v>1</v>
      </c>
      <c r="E631" s="7" t="n">
        <v>1</v>
      </c>
      <c r="F631" s="7" t="n">
        <v>0</v>
      </c>
      <c r="G631" s="7" t="n">
        <v>0</v>
      </c>
      <c r="H631" s="7" t="n">
        <v>0</v>
      </c>
      <c r="I631" s="7" t="n">
        <v>0</v>
      </c>
      <c r="J631" s="7" t="n">
        <v>0</v>
      </c>
      <c r="K631" s="7" t="n">
        <v>0</v>
      </c>
      <c r="L631" s="7" t="n">
        <v>0</v>
      </c>
      <c r="M631" s="7" t="n">
        <v>0</v>
      </c>
      <c r="N631" s="7" t="n">
        <v>0</v>
      </c>
      <c r="O631" s="7" t="n">
        <v>0</v>
      </c>
      <c r="P631" s="8" t="n">
        <f aca="false">IF(E631=0,0,G631/E631)</f>
        <v>0</v>
      </c>
      <c r="Q631" s="8" t="n">
        <f aca="false">IF(E631+N631=0,0,(G631+N631)/(E631+N631))</f>
        <v>0</v>
      </c>
      <c r="R631" s="8" t="n">
        <f aca="false">IF(E631=0,0,L631/E631)</f>
        <v>0</v>
      </c>
      <c r="S631" s="8" t="n">
        <f aca="false">R631+Q631</f>
        <v>0</v>
      </c>
      <c r="T631" s="8" t="n">
        <f aca="false">R631-P631</f>
        <v>0</v>
      </c>
    </row>
    <row r="632" customFormat="false" ht="14.25" hidden="false" customHeight="true" outlineLevel="0" collapsed="false">
      <c r="A632" s="6" t="n">
        <v>2023</v>
      </c>
      <c r="B632" s="6" t="s">
        <v>121</v>
      </c>
      <c r="C632" s="6" t="s">
        <v>341</v>
      </c>
      <c r="D632" s="7" t="n">
        <v>1</v>
      </c>
      <c r="E632" s="7" t="n">
        <v>1</v>
      </c>
      <c r="F632" s="7" t="n">
        <v>0</v>
      </c>
      <c r="G632" s="7" t="n">
        <v>0</v>
      </c>
      <c r="H632" s="7" t="n">
        <v>0</v>
      </c>
      <c r="I632" s="7" t="n">
        <v>0</v>
      </c>
      <c r="J632" s="7" t="n">
        <v>0</v>
      </c>
      <c r="K632" s="7" t="n">
        <v>0</v>
      </c>
      <c r="L632" s="7" t="n">
        <v>0</v>
      </c>
      <c r="M632" s="7" t="n">
        <v>0</v>
      </c>
      <c r="N632" s="7" t="n">
        <v>0</v>
      </c>
      <c r="O632" s="7" t="n">
        <v>0</v>
      </c>
      <c r="P632" s="8" t="n">
        <f aca="false">IF(E632=0,0,G632/E632)</f>
        <v>0</v>
      </c>
      <c r="Q632" s="8" t="n">
        <f aca="false">IF(E632+N632=0,0,(G632+N632)/(E632+N632))</f>
        <v>0</v>
      </c>
      <c r="R632" s="8" t="n">
        <f aca="false">IF(E632=0,0,L632/E632)</f>
        <v>0</v>
      </c>
      <c r="S632" s="8" t="n">
        <f aca="false">R632+Q632</f>
        <v>0</v>
      </c>
      <c r="T632" s="8" t="n">
        <f aca="false">R632-P632</f>
        <v>0</v>
      </c>
    </row>
    <row r="633" customFormat="false" ht="14.25" hidden="false" customHeight="true" outlineLevel="0" collapsed="false">
      <c r="A633" s="6" t="n">
        <v>2023</v>
      </c>
      <c r="B633" s="6" t="s">
        <v>121</v>
      </c>
      <c r="C633" s="6" t="s">
        <v>342</v>
      </c>
      <c r="D633" s="7" t="n">
        <v>1</v>
      </c>
      <c r="E633" s="7" t="n">
        <v>1</v>
      </c>
      <c r="F633" s="7" t="n">
        <v>0</v>
      </c>
      <c r="G633" s="7" t="n">
        <v>0</v>
      </c>
      <c r="H633" s="7" t="n">
        <v>0</v>
      </c>
      <c r="I633" s="7" t="n">
        <v>0</v>
      </c>
      <c r="J633" s="7" t="n">
        <v>0</v>
      </c>
      <c r="K633" s="7" t="n">
        <v>0</v>
      </c>
      <c r="L633" s="7" t="n">
        <v>0</v>
      </c>
      <c r="M633" s="7" t="n">
        <v>0</v>
      </c>
      <c r="N633" s="7" t="n">
        <v>0</v>
      </c>
      <c r="O633" s="7" t="n">
        <v>0</v>
      </c>
      <c r="P633" s="8" t="n">
        <f aca="false">IF(E633=0,0,G633/E633)</f>
        <v>0</v>
      </c>
      <c r="Q633" s="8" t="n">
        <f aca="false">IF(E633+N633=0,0,(G633+N633)/(E633+N633))</f>
        <v>0</v>
      </c>
      <c r="R633" s="8" t="n">
        <f aca="false">IF(E633=0,0,L633/E633)</f>
        <v>0</v>
      </c>
      <c r="S633" s="8" t="n">
        <f aca="false">R633+Q633</f>
        <v>0</v>
      </c>
      <c r="T633" s="8" t="n">
        <f aca="false">R633-P633</f>
        <v>0</v>
      </c>
    </row>
    <row r="634" customFormat="false" ht="14.25" hidden="false" customHeight="true" outlineLevel="0" collapsed="false">
      <c r="A634" s="6" t="n">
        <v>2023</v>
      </c>
      <c r="B634" s="6" t="s">
        <v>147</v>
      </c>
      <c r="C634" s="6" t="s">
        <v>148</v>
      </c>
      <c r="D634" s="7" t="n">
        <v>11</v>
      </c>
      <c r="E634" s="7" t="n">
        <v>28</v>
      </c>
      <c r="F634" s="7" t="n">
        <v>12</v>
      </c>
      <c r="G634" s="7" t="n">
        <v>13</v>
      </c>
      <c r="H634" s="7" t="n">
        <v>4</v>
      </c>
      <c r="I634" s="7" t="n">
        <v>0</v>
      </c>
      <c r="J634" s="7" t="n">
        <v>6</v>
      </c>
      <c r="K634" s="7" t="n">
        <v>10</v>
      </c>
      <c r="L634" s="7" t="n">
        <v>35</v>
      </c>
      <c r="M634" s="7" t="n">
        <v>15</v>
      </c>
      <c r="N634" s="7" t="n">
        <v>10</v>
      </c>
      <c r="O634" s="7" t="n">
        <v>1</v>
      </c>
      <c r="P634" s="8" t="n">
        <f aca="false">IF(E634=0,0,G634/E634)</f>
        <v>0.464285714285714</v>
      </c>
      <c r="Q634" s="8" t="n">
        <f aca="false">IF(E634+N634=0,0,(G634+N634)/(E634+N634))</f>
        <v>0.605263157894737</v>
      </c>
      <c r="R634" s="8" t="n">
        <f aca="false">IF(E634=0,0,L634/E634)</f>
        <v>1.25</v>
      </c>
      <c r="S634" s="8" t="n">
        <f aca="false">R634+Q634</f>
        <v>1.85526315789474</v>
      </c>
      <c r="T634" s="8" t="n">
        <f aca="false">R634-P634</f>
        <v>0.785714285714286</v>
      </c>
    </row>
    <row r="635" customFormat="false" ht="14.25" hidden="false" customHeight="true" outlineLevel="0" collapsed="false">
      <c r="A635" s="6" t="n">
        <v>2023</v>
      </c>
      <c r="B635" s="6" t="s">
        <v>147</v>
      </c>
      <c r="C635" s="6" t="s">
        <v>155</v>
      </c>
      <c r="D635" s="7" t="n">
        <v>12</v>
      </c>
      <c r="E635" s="7" t="n">
        <v>33</v>
      </c>
      <c r="F635" s="7" t="n">
        <v>14</v>
      </c>
      <c r="G635" s="7" t="n">
        <v>12</v>
      </c>
      <c r="H635" s="7" t="n">
        <v>2</v>
      </c>
      <c r="I635" s="7" t="n">
        <v>0</v>
      </c>
      <c r="J635" s="7" t="n">
        <v>6</v>
      </c>
      <c r="K635" s="7" t="n">
        <v>8</v>
      </c>
      <c r="L635" s="7" t="n">
        <v>32</v>
      </c>
      <c r="M635" s="7" t="n">
        <v>13</v>
      </c>
      <c r="N635" s="7" t="n">
        <v>10</v>
      </c>
      <c r="O635" s="7" t="n">
        <v>4</v>
      </c>
      <c r="P635" s="8" t="n">
        <f aca="false">IF(E635=0,0,G635/E635)</f>
        <v>0.363636363636364</v>
      </c>
      <c r="Q635" s="8" t="n">
        <f aca="false">IF(E635+N635=0,0,(G635+N635)/(E635+N635))</f>
        <v>0.511627906976744</v>
      </c>
      <c r="R635" s="8" t="n">
        <f aca="false">IF(E635=0,0,L635/E635)</f>
        <v>0.96969696969697</v>
      </c>
      <c r="S635" s="8" t="n">
        <f aca="false">R635+Q635</f>
        <v>1.48132487667371</v>
      </c>
      <c r="T635" s="8" t="n">
        <f aca="false">R635-P635</f>
        <v>0.606060606060606</v>
      </c>
    </row>
    <row r="636" customFormat="false" ht="14.25" hidden="false" customHeight="true" outlineLevel="0" collapsed="false">
      <c r="A636" s="6" t="n">
        <v>2023</v>
      </c>
      <c r="B636" s="6" t="s">
        <v>147</v>
      </c>
      <c r="C636" s="6" t="s">
        <v>150</v>
      </c>
      <c r="D636" s="7" t="n">
        <v>12</v>
      </c>
      <c r="E636" s="7" t="n">
        <v>34</v>
      </c>
      <c r="F636" s="7" t="n">
        <v>8</v>
      </c>
      <c r="G636" s="7" t="n">
        <v>10</v>
      </c>
      <c r="H636" s="7" t="n">
        <v>6</v>
      </c>
      <c r="I636" s="7" t="n">
        <v>0</v>
      </c>
      <c r="J636" s="7" t="n">
        <v>0</v>
      </c>
      <c r="K636" s="7" t="n">
        <v>6</v>
      </c>
      <c r="L636" s="7" t="n">
        <v>16</v>
      </c>
      <c r="M636" s="7" t="n">
        <v>7</v>
      </c>
      <c r="N636" s="7" t="n">
        <v>6</v>
      </c>
      <c r="O636" s="7" t="n">
        <v>4</v>
      </c>
      <c r="P636" s="8" t="n">
        <f aca="false">IF(E636=0,0,G636/E636)</f>
        <v>0.294117647058824</v>
      </c>
      <c r="Q636" s="8" t="n">
        <f aca="false">IF(E636+N636=0,0,(G636+N636)/(E636+N636))</f>
        <v>0.4</v>
      </c>
      <c r="R636" s="8" t="n">
        <f aca="false">IF(E636=0,0,L636/E636)</f>
        <v>0.470588235294118</v>
      </c>
      <c r="S636" s="8" t="n">
        <f aca="false">R636+Q636</f>
        <v>0.870588235294118</v>
      </c>
      <c r="T636" s="8" t="n">
        <f aca="false">R636-P636</f>
        <v>0.176470588235294</v>
      </c>
    </row>
    <row r="637" customFormat="false" ht="14.25" hidden="false" customHeight="true" outlineLevel="0" collapsed="false">
      <c r="A637" s="6" t="n">
        <v>2023</v>
      </c>
      <c r="B637" s="6" t="s">
        <v>147</v>
      </c>
      <c r="C637" s="6" t="s">
        <v>149</v>
      </c>
      <c r="D637" s="7" t="n">
        <v>11</v>
      </c>
      <c r="E637" s="7" t="n">
        <v>35</v>
      </c>
      <c r="F637" s="7" t="n">
        <v>8</v>
      </c>
      <c r="G637" s="7" t="n">
        <v>9</v>
      </c>
      <c r="H637" s="7" t="n">
        <v>1</v>
      </c>
      <c r="I637" s="7" t="n">
        <v>0</v>
      </c>
      <c r="J637" s="7" t="n">
        <v>0</v>
      </c>
      <c r="K637" s="7" t="n">
        <v>1</v>
      </c>
      <c r="L637" s="7" t="n">
        <v>10</v>
      </c>
      <c r="M637" s="7" t="n">
        <v>2</v>
      </c>
      <c r="N637" s="7" t="n">
        <v>3</v>
      </c>
      <c r="O637" s="7" t="n">
        <v>2</v>
      </c>
      <c r="P637" s="8" t="n">
        <f aca="false">IF(E637=0,0,G637/E637)</f>
        <v>0.257142857142857</v>
      </c>
      <c r="Q637" s="8" t="n">
        <f aca="false">IF(E637+N637=0,0,(G637+N637)/(E637+N637))</f>
        <v>0.315789473684211</v>
      </c>
      <c r="R637" s="8" t="n">
        <f aca="false">IF(E637=0,0,L637/E637)</f>
        <v>0.285714285714286</v>
      </c>
      <c r="S637" s="8" t="n">
        <f aca="false">R637+Q637</f>
        <v>0.601503759398496</v>
      </c>
      <c r="T637" s="8" t="n">
        <f aca="false">R637-P637</f>
        <v>0.0285714285714286</v>
      </c>
    </row>
    <row r="638" customFormat="false" ht="14.25" hidden="false" customHeight="true" outlineLevel="0" collapsed="false">
      <c r="A638" s="6" t="n">
        <v>2023</v>
      </c>
      <c r="B638" s="6" t="s">
        <v>147</v>
      </c>
      <c r="C638" s="6" t="s">
        <v>154</v>
      </c>
      <c r="D638" s="7" t="n">
        <v>9</v>
      </c>
      <c r="E638" s="7" t="n">
        <v>25</v>
      </c>
      <c r="F638" s="7" t="n">
        <v>4</v>
      </c>
      <c r="G638" s="7" t="n">
        <v>8</v>
      </c>
      <c r="H638" s="7" t="n">
        <v>1</v>
      </c>
      <c r="I638" s="7" t="n">
        <v>0</v>
      </c>
      <c r="J638" s="7" t="n">
        <v>1</v>
      </c>
      <c r="K638" s="7" t="n">
        <v>2</v>
      </c>
      <c r="L638" s="7" t="n">
        <v>12</v>
      </c>
      <c r="M638" s="7" t="n">
        <v>3</v>
      </c>
      <c r="N638" s="7" t="n">
        <v>6</v>
      </c>
      <c r="O638" s="7" t="n">
        <v>0</v>
      </c>
      <c r="P638" s="8" t="n">
        <f aca="false">IF(E638=0,0,G638/E638)</f>
        <v>0.32</v>
      </c>
      <c r="Q638" s="8" t="n">
        <f aca="false">IF(E638+N638=0,0,(G638+N638)/(E638+N638))</f>
        <v>0.451612903225806</v>
      </c>
      <c r="R638" s="8" t="n">
        <f aca="false">IF(E638=0,0,L638/E638)</f>
        <v>0.48</v>
      </c>
      <c r="S638" s="8" t="n">
        <f aca="false">R638+Q638</f>
        <v>0.931612903225807</v>
      </c>
      <c r="T638" s="8" t="n">
        <f aca="false">R638-P638</f>
        <v>0.16</v>
      </c>
    </row>
    <row r="639" customFormat="false" ht="14.25" hidden="false" customHeight="true" outlineLevel="0" collapsed="false">
      <c r="A639" s="6" t="n">
        <v>2023</v>
      </c>
      <c r="B639" s="6" t="s">
        <v>147</v>
      </c>
      <c r="C639" s="6" t="s">
        <v>151</v>
      </c>
      <c r="D639" s="7" t="n">
        <v>12</v>
      </c>
      <c r="E639" s="7" t="n">
        <v>31</v>
      </c>
      <c r="F639" s="7" t="n">
        <v>10</v>
      </c>
      <c r="G639" s="7" t="n">
        <v>7</v>
      </c>
      <c r="H639" s="7" t="n">
        <v>0</v>
      </c>
      <c r="I639" s="7" t="n">
        <v>0</v>
      </c>
      <c r="J639" s="7" t="n">
        <v>2</v>
      </c>
      <c r="K639" s="7" t="n">
        <v>2</v>
      </c>
      <c r="L639" s="7" t="n">
        <v>13</v>
      </c>
      <c r="M639" s="7" t="n">
        <v>8</v>
      </c>
      <c r="N639" s="7" t="n">
        <v>14</v>
      </c>
      <c r="O639" s="7" t="n">
        <v>1</v>
      </c>
      <c r="P639" s="8" t="n">
        <f aca="false">IF(E639=0,0,G639/E639)</f>
        <v>0.225806451612903</v>
      </c>
      <c r="Q639" s="8" t="n">
        <f aca="false">IF(E639+N639=0,0,(G639+N639)/(E639+N639))</f>
        <v>0.466666666666667</v>
      </c>
      <c r="R639" s="8" t="n">
        <f aca="false">IF(E639=0,0,L639/E639)</f>
        <v>0.419354838709677</v>
      </c>
      <c r="S639" s="8" t="n">
        <f aca="false">R639+Q639</f>
        <v>0.886021505376344</v>
      </c>
      <c r="T639" s="8" t="n">
        <f aca="false">R639-P639</f>
        <v>0.193548387096774</v>
      </c>
    </row>
    <row r="640" customFormat="false" ht="14.25" hidden="false" customHeight="true" outlineLevel="0" collapsed="false">
      <c r="A640" s="6" t="n">
        <v>2023</v>
      </c>
      <c r="B640" s="6" t="s">
        <v>147</v>
      </c>
      <c r="C640" s="6" t="s">
        <v>152</v>
      </c>
      <c r="D640" s="7" t="n">
        <v>11</v>
      </c>
      <c r="E640" s="7" t="n">
        <v>31</v>
      </c>
      <c r="F640" s="7" t="n">
        <v>4</v>
      </c>
      <c r="G640" s="7" t="n">
        <v>7</v>
      </c>
      <c r="H640" s="7" t="n">
        <v>2</v>
      </c>
      <c r="I640" s="7" t="n">
        <v>0</v>
      </c>
      <c r="J640" s="7" t="n">
        <v>0</v>
      </c>
      <c r="K640" s="7" t="n">
        <v>2</v>
      </c>
      <c r="L640" s="7" t="n">
        <v>9</v>
      </c>
      <c r="M640" s="7" t="n">
        <v>5</v>
      </c>
      <c r="N640" s="7" t="n">
        <v>4</v>
      </c>
      <c r="O640" s="7" t="n">
        <v>4</v>
      </c>
      <c r="P640" s="8" t="n">
        <f aca="false">IF(E640=0,0,G640/E640)</f>
        <v>0.225806451612903</v>
      </c>
      <c r="Q640" s="8" t="n">
        <f aca="false">IF(E640+N640=0,0,(G640+N640)/(E640+N640))</f>
        <v>0.314285714285714</v>
      </c>
      <c r="R640" s="8" t="n">
        <f aca="false">IF(E640=0,0,L640/E640)</f>
        <v>0.290322580645161</v>
      </c>
      <c r="S640" s="8" t="n">
        <f aca="false">R640+Q640</f>
        <v>0.604608294930876</v>
      </c>
      <c r="T640" s="8" t="n">
        <f aca="false">R640-P640</f>
        <v>0.0645161290322581</v>
      </c>
    </row>
    <row r="641" customFormat="false" ht="14.25" hidden="false" customHeight="true" outlineLevel="0" collapsed="false">
      <c r="A641" s="6" t="n">
        <v>2023</v>
      </c>
      <c r="B641" s="6" t="s">
        <v>147</v>
      </c>
      <c r="C641" s="6" t="s">
        <v>292</v>
      </c>
      <c r="D641" s="7" t="n">
        <v>9</v>
      </c>
      <c r="E641" s="7" t="n">
        <v>22</v>
      </c>
      <c r="F641" s="7" t="n">
        <v>1</v>
      </c>
      <c r="G641" s="7" t="n">
        <v>6</v>
      </c>
      <c r="H641" s="7" t="n">
        <v>0</v>
      </c>
      <c r="I641" s="7" t="n">
        <v>0</v>
      </c>
      <c r="J641" s="7" t="n">
        <v>0</v>
      </c>
      <c r="K641" s="7" t="n">
        <v>0</v>
      </c>
      <c r="L641" s="7" t="n">
        <v>6</v>
      </c>
      <c r="M641" s="7" t="n">
        <v>2</v>
      </c>
      <c r="N641" s="7" t="n">
        <v>1</v>
      </c>
      <c r="O641" s="7" t="n">
        <v>0</v>
      </c>
      <c r="P641" s="8" t="n">
        <f aca="false">IF(E641=0,0,G641/E641)</f>
        <v>0.272727272727273</v>
      </c>
      <c r="Q641" s="8" t="n">
        <f aca="false">IF(E641+N641=0,0,(G641+N641)/(E641+N641))</f>
        <v>0.304347826086957</v>
      </c>
      <c r="R641" s="8" t="n">
        <f aca="false">IF(E641=0,0,L641/E641)</f>
        <v>0.272727272727273</v>
      </c>
      <c r="S641" s="8" t="n">
        <f aca="false">R641+Q641</f>
        <v>0.577075098814229</v>
      </c>
      <c r="T641" s="8" t="n">
        <f aca="false">R641-P641</f>
        <v>0</v>
      </c>
    </row>
    <row r="642" customFormat="false" ht="14.25" hidden="false" customHeight="true" outlineLevel="0" collapsed="false">
      <c r="A642" s="6" t="n">
        <v>2023</v>
      </c>
      <c r="B642" s="6" t="s">
        <v>147</v>
      </c>
      <c r="C642" s="6" t="s">
        <v>162</v>
      </c>
      <c r="D642" s="7" t="n">
        <v>10</v>
      </c>
      <c r="E642" s="7" t="n">
        <v>25</v>
      </c>
      <c r="F642" s="7" t="n">
        <v>1</v>
      </c>
      <c r="G642" s="7" t="n">
        <v>4</v>
      </c>
      <c r="H642" s="7" t="n">
        <v>0</v>
      </c>
      <c r="I642" s="7" t="n">
        <v>0</v>
      </c>
      <c r="J642" s="7" t="n">
        <v>0</v>
      </c>
      <c r="K642" s="7" t="n">
        <v>0</v>
      </c>
      <c r="L642" s="7" t="n">
        <v>4</v>
      </c>
      <c r="M642" s="7" t="n">
        <v>5</v>
      </c>
      <c r="N642" s="7" t="n">
        <v>4</v>
      </c>
      <c r="O642" s="7" t="n">
        <v>0</v>
      </c>
      <c r="P642" s="8" t="n">
        <f aca="false">IF(E642=0,0,G642/E642)</f>
        <v>0.16</v>
      </c>
      <c r="Q642" s="8" t="n">
        <f aca="false">IF(E642+N642=0,0,(G642+N642)/(E642+N642))</f>
        <v>0.275862068965517</v>
      </c>
      <c r="R642" s="8" t="n">
        <f aca="false">IF(E642=0,0,L642/E642)</f>
        <v>0.16</v>
      </c>
      <c r="S642" s="8" t="n">
        <f aca="false">R642+Q642</f>
        <v>0.435862068965517</v>
      </c>
      <c r="T642" s="8" t="n">
        <f aca="false">R642-P642</f>
        <v>0</v>
      </c>
    </row>
    <row r="643" customFormat="false" ht="14.25" hidden="false" customHeight="true" outlineLevel="0" collapsed="false">
      <c r="A643" s="6" t="n">
        <v>2023</v>
      </c>
      <c r="B643" s="6" t="s">
        <v>147</v>
      </c>
      <c r="C643" s="6" t="s">
        <v>156</v>
      </c>
      <c r="D643" s="7" t="n">
        <v>6</v>
      </c>
      <c r="E643" s="7" t="n">
        <v>16</v>
      </c>
      <c r="F643" s="7" t="n">
        <v>2</v>
      </c>
      <c r="G643" s="7" t="n">
        <v>3</v>
      </c>
      <c r="H643" s="7" t="n">
        <v>1</v>
      </c>
      <c r="I643" s="7" t="n">
        <v>0</v>
      </c>
      <c r="J643" s="7" t="n">
        <v>0</v>
      </c>
      <c r="K643" s="7" t="n">
        <v>1</v>
      </c>
      <c r="L643" s="7" t="n">
        <v>4</v>
      </c>
      <c r="M643" s="7" t="n">
        <v>4</v>
      </c>
      <c r="N643" s="7" t="n">
        <v>2</v>
      </c>
      <c r="O643" s="7" t="n">
        <v>0</v>
      </c>
      <c r="P643" s="8" t="n">
        <f aca="false">IF(E643=0,0,G643/E643)</f>
        <v>0.1875</v>
      </c>
      <c r="Q643" s="8" t="n">
        <f aca="false">IF(E643+N643=0,0,(G643+N643)/(E643+N643))</f>
        <v>0.277777777777778</v>
      </c>
      <c r="R643" s="8" t="n">
        <f aca="false">IF(E643=0,0,L643/E643)</f>
        <v>0.25</v>
      </c>
      <c r="S643" s="8" t="n">
        <f aca="false">R643+Q643</f>
        <v>0.527777777777778</v>
      </c>
      <c r="T643" s="8" t="n">
        <f aca="false">R643-P643</f>
        <v>0.0625</v>
      </c>
    </row>
    <row r="644" customFormat="false" ht="14.25" hidden="false" customHeight="true" outlineLevel="0" collapsed="false">
      <c r="A644" s="6" t="n">
        <v>2023</v>
      </c>
      <c r="B644" s="6" t="s">
        <v>147</v>
      </c>
      <c r="C644" s="6" t="s">
        <v>302</v>
      </c>
      <c r="D644" s="7" t="n">
        <v>3</v>
      </c>
      <c r="E644" s="7" t="n">
        <v>10</v>
      </c>
      <c r="F644" s="7" t="n">
        <v>4</v>
      </c>
      <c r="G644" s="7" t="n">
        <v>2</v>
      </c>
      <c r="H644" s="7" t="n">
        <v>0</v>
      </c>
      <c r="I644" s="7" t="n">
        <v>0</v>
      </c>
      <c r="J644" s="7" t="n">
        <v>0</v>
      </c>
      <c r="K644" s="7" t="n">
        <v>0</v>
      </c>
      <c r="L644" s="7" t="n">
        <v>2</v>
      </c>
      <c r="M644" s="7" t="n">
        <v>0</v>
      </c>
      <c r="N644" s="7" t="n">
        <v>1</v>
      </c>
      <c r="O644" s="7" t="n">
        <v>1</v>
      </c>
      <c r="P644" s="8" t="n">
        <f aca="false">IF(E644=0,0,G644/E644)</f>
        <v>0.2</v>
      </c>
      <c r="Q644" s="8" t="n">
        <f aca="false">IF(E644+N644=0,0,(G644+N644)/(E644+N644))</f>
        <v>0.272727272727273</v>
      </c>
      <c r="R644" s="8" t="n">
        <f aca="false">IF(E644=0,0,L644/E644)</f>
        <v>0.2</v>
      </c>
      <c r="S644" s="8" t="n">
        <f aca="false">R644+Q644</f>
        <v>0.472727272727273</v>
      </c>
      <c r="T644" s="8" t="n">
        <f aca="false">R644-P644</f>
        <v>0</v>
      </c>
    </row>
    <row r="645" customFormat="false" ht="14.25" hidden="false" customHeight="true" outlineLevel="0" collapsed="false">
      <c r="A645" s="6" t="n">
        <v>2023</v>
      </c>
      <c r="B645" s="6" t="s">
        <v>147</v>
      </c>
      <c r="C645" s="6" t="s">
        <v>343</v>
      </c>
      <c r="D645" s="7" t="n">
        <v>6</v>
      </c>
      <c r="E645" s="7" t="n">
        <v>19</v>
      </c>
      <c r="F645" s="7" t="n">
        <v>0</v>
      </c>
      <c r="G645" s="7" t="n">
        <v>2</v>
      </c>
      <c r="H645" s="7" t="n">
        <v>0</v>
      </c>
      <c r="I645" s="7" t="n">
        <v>0</v>
      </c>
      <c r="J645" s="7" t="n">
        <v>0</v>
      </c>
      <c r="K645" s="7" t="n">
        <v>0</v>
      </c>
      <c r="L645" s="7" t="n">
        <v>2</v>
      </c>
      <c r="M645" s="7" t="n">
        <v>0</v>
      </c>
      <c r="N645" s="7" t="n">
        <v>0</v>
      </c>
      <c r="O645" s="7" t="n">
        <v>1</v>
      </c>
      <c r="P645" s="8" t="n">
        <f aca="false">IF(E645=0,0,G645/E645)</f>
        <v>0.105263157894737</v>
      </c>
      <c r="Q645" s="8" t="n">
        <f aca="false">IF(E645+N645=0,0,(G645+N645)/(E645+N645))</f>
        <v>0.105263157894737</v>
      </c>
      <c r="R645" s="8" t="n">
        <f aca="false">IF(E645=0,0,L645/E645)</f>
        <v>0.105263157894737</v>
      </c>
      <c r="S645" s="8" t="n">
        <f aca="false">R645+Q645</f>
        <v>0.210526315789474</v>
      </c>
      <c r="T645" s="8" t="n">
        <f aca="false">R645-P645</f>
        <v>0</v>
      </c>
    </row>
    <row r="646" customFormat="false" ht="14.25" hidden="false" customHeight="true" outlineLevel="0" collapsed="false">
      <c r="A646" s="6" t="n">
        <v>2023</v>
      </c>
      <c r="B646" s="6" t="s">
        <v>147</v>
      </c>
      <c r="C646" s="6" t="s">
        <v>344</v>
      </c>
      <c r="D646" s="7" t="n">
        <v>4</v>
      </c>
      <c r="E646" s="7" t="n">
        <v>12</v>
      </c>
      <c r="F646" s="7" t="n">
        <v>2</v>
      </c>
      <c r="G646" s="7" t="n">
        <v>2</v>
      </c>
      <c r="H646" s="7" t="n">
        <v>0</v>
      </c>
      <c r="I646" s="7" t="n">
        <v>0</v>
      </c>
      <c r="J646" s="7" t="n">
        <v>0</v>
      </c>
      <c r="K646" s="7" t="n">
        <v>0</v>
      </c>
      <c r="L646" s="7" t="n">
        <v>2</v>
      </c>
      <c r="M646" s="7" t="n">
        <v>0</v>
      </c>
      <c r="N646" s="7" t="n">
        <v>0</v>
      </c>
      <c r="O646" s="7" t="n">
        <v>0</v>
      </c>
      <c r="P646" s="8" t="n">
        <f aca="false">IF(E646=0,0,G646/E646)</f>
        <v>0.166666666666667</v>
      </c>
      <c r="Q646" s="8" t="n">
        <f aca="false">IF(E646+N646=0,0,(G646+N646)/(E646+N646))</f>
        <v>0.166666666666667</v>
      </c>
      <c r="R646" s="8" t="n">
        <f aca="false">IF(E646=0,0,L646/E646)</f>
        <v>0.166666666666667</v>
      </c>
      <c r="S646" s="8" t="n">
        <f aca="false">R646+Q646</f>
        <v>0.333333333333333</v>
      </c>
      <c r="T646" s="8" t="n">
        <f aca="false">R646-P646</f>
        <v>0</v>
      </c>
    </row>
    <row r="647" customFormat="false" ht="14.25" hidden="false" customHeight="true" outlineLevel="0" collapsed="false">
      <c r="A647" s="6" t="n">
        <v>2023</v>
      </c>
      <c r="B647" s="6" t="s">
        <v>147</v>
      </c>
      <c r="C647" s="6" t="s">
        <v>345</v>
      </c>
      <c r="D647" s="7" t="n">
        <v>1</v>
      </c>
      <c r="E647" s="7" t="n">
        <v>3</v>
      </c>
      <c r="F647" s="7" t="n">
        <v>1</v>
      </c>
      <c r="G647" s="7" t="n">
        <v>1</v>
      </c>
      <c r="H647" s="7" t="n">
        <v>1</v>
      </c>
      <c r="I647" s="7" t="n">
        <v>0</v>
      </c>
      <c r="J647" s="7" t="n">
        <v>0</v>
      </c>
      <c r="K647" s="7" t="n">
        <v>1</v>
      </c>
      <c r="L647" s="7" t="n">
        <v>2</v>
      </c>
      <c r="M647" s="7" t="n">
        <v>1</v>
      </c>
      <c r="N647" s="7" t="n">
        <v>0</v>
      </c>
      <c r="O647" s="7" t="n">
        <v>0</v>
      </c>
      <c r="P647" s="8" t="n">
        <f aca="false">IF(E647=0,0,G647/E647)</f>
        <v>0.333333333333333</v>
      </c>
      <c r="Q647" s="8" t="n">
        <f aca="false">IF(E647+N647=0,0,(G647+N647)/(E647+N647))</f>
        <v>0.333333333333333</v>
      </c>
      <c r="R647" s="8" t="n">
        <f aca="false">IF(E647=0,0,L647/E647)</f>
        <v>0.666666666666667</v>
      </c>
      <c r="S647" s="8" t="n">
        <f aca="false">R647+Q647</f>
        <v>1</v>
      </c>
      <c r="T647" s="8" t="n">
        <f aca="false">R647-P647</f>
        <v>0.333333333333333</v>
      </c>
    </row>
    <row r="648" customFormat="false" ht="14.25" hidden="false" customHeight="true" outlineLevel="0" collapsed="false">
      <c r="A648" s="6" t="n">
        <v>2023</v>
      </c>
      <c r="B648" s="6" t="s">
        <v>147</v>
      </c>
      <c r="C648" s="6" t="s">
        <v>160</v>
      </c>
      <c r="D648" s="7" t="n">
        <v>5</v>
      </c>
      <c r="E648" s="7" t="n">
        <v>7</v>
      </c>
      <c r="F648" s="7" t="n">
        <v>0</v>
      </c>
      <c r="G648" s="7" t="n">
        <v>1</v>
      </c>
      <c r="H648" s="7" t="n">
        <v>0</v>
      </c>
      <c r="I648" s="7" t="n">
        <v>0</v>
      </c>
      <c r="J648" s="7" t="n">
        <v>0</v>
      </c>
      <c r="K648" s="7" t="n">
        <v>0</v>
      </c>
      <c r="L648" s="7" t="n">
        <v>1</v>
      </c>
      <c r="M648" s="7" t="n">
        <v>0</v>
      </c>
      <c r="N648" s="7" t="n">
        <v>2</v>
      </c>
      <c r="O648" s="7" t="n">
        <v>0</v>
      </c>
      <c r="P648" s="8" t="n">
        <f aca="false">IF(E648=0,0,G648/E648)</f>
        <v>0.142857142857143</v>
      </c>
      <c r="Q648" s="8" t="n">
        <f aca="false">IF(E648+N648=0,0,(G648+N648)/(E648+N648))</f>
        <v>0.333333333333333</v>
      </c>
      <c r="R648" s="8" t="n">
        <f aca="false">IF(E648=0,0,L648/E648)</f>
        <v>0.142857142857143</v>
      </c>
      <c r="S648" s="8" t="n">
        <f aca="false">R648+Q648</f>
        <v>0.476190476190476</v>
      </c>
      <c r="T648" s="8" t="n">
        <f aca="false">R648-P648</f>
        <v>0</v>
      </c>
    </row>
    <row r="649" customFormat="false" ht="14.25" hidden="false" customHeight="true" outlineLevel="0" collapsed="false">
      <c r="A649" s="6" t="n">
        <v>2023</v>
      </c>
      <c r="B649" s="6" t="s">
        <v>147</v>
      </c>
      <c r="C649" s="6" t="s">
        <v>163</v>
      </c>
      <c r="D649" s="7" t="n">
        <v>1</v>
      </c>
      <c r="E649" s="7" t="n">
        <v>3</v>
      </c>
      <c r="F649" s="7" t="n">
        <v>0</v>
      </c>
      <c r="G649" s="7" t="n">
        <v>0</v>
      </c>
      <c r="H649" s="7" t="n">
        <v>0</v>
      </c>
      <c r="I649" s="7" t="n">
        <v>0</v>
      </c>
      <c r="J649" s="7" t="n">
        <v>0</v>
      </c>
      <c r="K649" s="7" t="n">
        <v>0</v>
      </c>
      <c r="L649" s="7" t="n">
        <v>0</v>
      </c>
      <c r="M649" s="7" t="n">
        <v>0</v>
      </c>
      <c r="N649" s="7" t="n">
        <v>0</v>
      </c>
      <c r="O649" s="7" t="n">
        <v>0</v>
      </c>
      <c r="P649" s="8" t="n">
        <f aca="false">IF(E649=0,0,G649/E649)</f>
        <v>0</v>
      </c>
      <c r="Q649" s="8" t="n">
        <f aca="false">IF(E649+N649=0,0,(G649+N649)/(E649+N649))</f>
        <v>0</v>
      </c>
      <c r="R649" s="8" t="n">
        <f aca="false">IF(E649=0,0,L649/E649)</f>
        <v>0</v>
      </c>
      <c r="S649" s="8" t="n">
        <f aca="false">R649+Q649</f>
        <v>0</v>
      </c>
      <c r="T649" s="8" t="n">
        <f aca="false">R649-P649</f>
        <v>0</v>
      </c>
    </row>
    <row r="650" customFormat="false" ht="14.25" hidden="false" customHeight="true" outlineLevel="0" collapsed="false">
      <c r="A650" s="6" t="n">
        <v>2023</v>
      </c>
      <c r="B650" s="6" t="s">
        <v>147</v>
      </c>
      <c r="C650" s="6" t="s">
        <v>346</v>
      </c>
      <c r="D650" s="7" t="n">
        <v>1</v>
      </c>
      <c r="E650" s="7" t="n">
        <v>2</v>
      </c>
      <c r="F650" s="7" t="n">
        <v>0</v>
      </c>
      <c r="G650" s="7" t="n">
        <v>0</v>
      </c>
      <c r="H650" s="7" t="n">
        <v>0</v>
      </c>
      <c r="I650" s="7" t="n">
        <v>0</v>
      </c>
      <c r="J650" s="7" t="n">
        <v>0</v>
      </c>
      <c r="K650" s="7" t="n">
        <v>0</v>
      </c>
      <c r="L650" s="7" t="n">
        <v>0</v>
      </c>
      <c r="M650" s="7" t="n">
        <v>0</v>
      </c>
      <c r="N650" s="7" t="n">
        <v>0</v>
      </c>
      <c r="O650" s="7" t="n">
        <v>0</v>
      </c>
      <c r="P650" s="8" t="n">
        <f aca="false">IF(E650=0,0,G650/E650)</f>
        <v>0</v>
      </c>
      <c r="Q650" s="8" t="n">
        <f aca="false">IF(E650+N650=0,0,(G650+N650)/(E650+N650))</f>
        <v>0</v>
      </c>
      <c r="R650" s="8" t="n">
        <f aca="false">IF(E650=0,0,L650/E650)</f>
        <v>0</v>
      </c>
      <c r="S650" s="8" t="n">
        <f aca="false">R650+Q650</f>
        <v>0</v>
      </c>
      <c r="T650" s="8" t="n">
        <f aca="false">R650-P650</f>
        <v>0</v>
      </c>
    </row>
    <row r="651" customFormat="false" ht="14.25" hidden="false" customHeight="true" outlineLevel="0" collapsed="false">
      <c r="A651" s="6" t="n">
        <v>2023</v>
      </c>
      <c r="B651" s="6" t="s">
        <v>147</v>
      </c>
      <c r="C651" s="6" t="s">
        <v>165</v>
      </c>
      <c r="D651" s="7" t="n">
        <v>1</v>
      </c>
      <c r="E651" s="7" t="n">
        <v>2</v>
      </c>
      <c r="F651" s="7" t="n">
        <v>0</v>
      </c>
      <c r="G651" s="7" t="n">
        <v>0</v>
      </c>
      <c r="H651" s="7" t="n">
        <v>0</v>
      </c>
      <c r="I651" s="7" t="n">
        <v>0</v>
      </c>
      <c r="J651" s="7" t="n">
        <v>0</v>
      </c>
      <c r="K651" s="7" t="n">
        <v>0</v>
      </c>
      <c r="L651" s="7" t="n">
        <v>0</v>
      </c>
      <c r="M651" s="7" t="n">
        <v>0</v>
      </c>
      <c r="N651" s="7" t="n">
        <v>0</v>
      </c>
      <c r="O651" s="7" t="n">
        <v>0</v>
      </c>
      <c r="P651" s="8" t="n">
        <f aca="false">IF(E651=0,0,G651/E651)</f>
        <v>0</v>
      </c>
      <c r="Q651" s="8" t="n">
        <f aca="false">IF(E651+N651=0,0,(G651+N651)/(E651+N651))</f>
        <v>0</v>
      </c>
      <c r="R651" s="8" t="n">
        <f aca="false">IF(E651=0,0,L651/E651)</f>
        <v>0</v>
      </c>
      <c r="S651" s="8" t="n">
        <f aca="false">R651+Q651</f>
        <v>0</v>
      </c>
      <c r="T651" s="8" t="n">
        <f aca="false">R651-P651</f>
        <v>0</v>
      </c>
    </row>
    <row r="652" customFormat="false" ht="14.25" hidden="false" customHeight="true" outlineLevel="0" collapsed="false">
      <c r="A652" s="6" t="n">
        <v>2023</v>
      </c>
      <c r="B652" s="6" t="s">
        <v>147</v>
      </c>
      <c r="C652" s="6" t="s">
        <v>347</v>
      </c>
      <c r="D652" s="7" t="n">
        <v>1</v>
      </c>
      <c r="E652" s="7" t="n">
        <v>1</v>
      </c>
      <c r="F652" s="7" t="n">
        <v>0</v>
      </c>
      <c r="G652" s="7" t="n">
        <v>0</v>
      </c>
      <c r="H652" s="7" t="n">
        <v>0</v>
      </c>
      <c r="I652" s="7" t="n">
        <v>0</v>
      </c>
      <c r="J652" s="7" t="n">
        <v>0</v>
      </c>
      <c r="K652" s="7" t="n">
        <v>0</v>
      </c>
      <c r="L652" s="7" t="n">
        <v>0</v>
      </c>
      <c r="M652" s="7" t="n">
        <v>0</v>
      </c>
      <c r="N652" s="7" t="n">
        <v>0</v>
      </c>
      <c r="O652" s="7" t="n">
        <v>0</v>
      </c>
      <c r="P652" s="8" t="n">
        <f aca="false">IF(E652=0,0,G652/E652)</f>
        <v>0</v>
      </c>
      <c r="Q652" s="8" t="n">
        <f aca="false">IF(E652+N652=0,0,(G652+N652)/(E652+N652))</f>
        <v>0</v>
      </c>
      <c r="R652" s="8" t="n">
        <f aca="false">IF(E652=0,0,L652/E652)</f>
        <v>0</v>
      </c>
      <c r="S652" s="8" t="n">
        <f aca="false">R652+Q652</f>
        <v>0</v>
      </c>
      <c r="T652" s="8" t="n">
        <f aca="false">R652-P652</f>
        <v>0</v>
      </c>
    </row>
    <row r="653" customFormat="false" ht="14.25" hidden="false" customHeight="true" outlineLevel="0" collapsed="false">
      <c r="A653" s="6" t="n">
        <v>2023</v>
      </c>
      <c r="B653" s="6" t="s">
        <v>166</v>
      </c>
      <c r="C653" s="6" t="s">
        <v>168</v>
      </c>
      <c r="D653" s="7" t="n">
        <v>15</v>
      </c>
      <c r="E653" s="7" t="n">
        <v>45</v>
      </c>
      <c r="F653" s="7" t="n">
        <v>11</v>
      </c>
      <c r="G653" s="7" t="n">
        <v>16</v>
      </c>
      <c r="H653" s="7" t="n">
        <v>2</v>
      </c>
      <c r="I653" s="7" t="n">
        <v>0</v>
      </c>
      <c r="J653" s="7" t="n">
        <v>4</v>
      </c>
      <c r="K653" s="7" t="n">
        <v>6</v>
      </c>
      <c r="L653" s="7" t="n">
        <v>30</v>
      </c>
      <c r="M653" s="7" t="n">
        <v>15</v>
      </c>
      <c r="N653" s="7" t="n">
        <v>6</v>
      </c>
      <c r="O653" s="7" t="n">
        <v>0</v>
      </c>
      <c r="P653" s="8" t="n">
        <f aca="false">IF(E653=0,0,G653/E653)</f>
        <v>0.355555555555556</v>
      </c>
      <c r="Q653" s="8" t="n">
        <f aca="false">IF(E653+N653=0,0,(G653+N653)/(E653+N653))</f>
        <v>0.431372549019608</v>
      </c>
      <c r="R653" s="8" t="n">
        <f aca="false">IF(E653=0,0,L653/E653)</f>
        <v>0.666666666666667</v>
      </c>
      <c r="S653" s="8" t="n">
        <f aca="false">R653+Q653</f>
        <v>1.09803921568627</v>
      </c>
      <c r="T653" s="8" t="n">
        <f aca="false">R653-P653</f>
        <v>0.311111111111111</v>
      </c>
    </row>
    <row r="654" customFormat="false" ht="14.25" hidden="false" customHeight="true" outlineLevel="0" collapsed="false">
      <c r="A654" s="6" t="n">
        <v>2023</v>
      </c>
      <c r="B654" s="6" t="s">
        <v>166</v>
      </c>
      <c r="C654" s="6" t="s">
        <v>178</v>
      </c>
      <c r="D654" s="7" t="n">
        <v>15</v>
      </c>
      <c r="E654" s="7" t="n">
        <v>41</v>
      </c>
      <c r="F654" s="7" t="n">
        <v>15</v>
      </c>
      <c r="G654" s="7" t="n">
        <v>15</v>
      </c>
      <c r="H654" s="7" t="n">
        <v>4</v>
      </c>
      <c r="I654" s="7" t="n">
        <v>0</v>
      </c>
      <c r="J654" s="7" t="n">
        <v>5</v>
      </c>
      <c r="K654" s="7" t="n">
        <v>9</v>
      </c>
      <c r="L654" s="7" t="n">
        <v>34</v>
      </c>
      <c r="M654" s="7" t="n">
        <v>10</v>
      </c>
      <c r="N654" s="7" t="n">
        <v>14</v>
      </c>
      <c r="O654" s="7" t="n">
        <v>2</v>
      </c>
      <c r="P654" s="8" t="n">
        <f aca="false">IF(E654=0,0,G654/E654)</f>
        <v>0.365853658536585</v>
      </c>
      <c r="Q654" s="8" t="n">
        <f aca="false">IF(E654+N654=0,0,(G654+N654)/(E654+N654))</f>
        <v>0.527272727272727</v>
      </c>
      <c r="R654" s="8" t="n">
        <f aca="false">IF(E654=0,0,L654/E654)</f>
        <v>0.829268292682927</v>
      </c>
      <c r="S654" s="8" t="n">
        <f aca="false">R654+Q654</f>
        <v>1.35654101995565</v>
      </c>
      <c r="T654" s="8" t="n">
        <f aca="false">R654-P654</f>
        <v>0.463414634146341</v>
      </c>
    </row>
    <row r="655" customFormat="false" ht="14.25" hidden="false" customHeight="true" outlineLevel="0" collapsed="false">
      <c r="A655" s="6" t="n">
        <v>2023</v>
      </c>
      <c r="B655" s="6" t="s">
        <v>166</v>
      </c>
      <c r="C655" s="6" t="s">
        <v>170</v>
      </c>
      <c r="D655" s="7" t="n">
        <v>15</v>
      </c>
      <c r="E655" s="7" t="n">
        <v>42</v>
      </c>
      <c r="F655" s="7" t="n">
        <v>11</v>
      </c>
      <c r="G655" s="7" t="n">
        <v>14</v>
      </c>
      <c r="H655" s="7" t="n">
        <v>1</v>
      </c>
      <c r="I655" s="7" t="n">
        <v>0</v>
      </c>
      <c r="J655" s="7" t="n">
        <v>1</v>
      </c>
      <c r="K655" s="7" t="n">
        <v>2</v>
      </c>
      <c r="L655" s="7" t="n">
        <v>18</v>
      </c>
      <c r="M655" s="7" t="n">
        <v>7</v>
      </c>
      <c r="N655" s="7" t="n">
        <v>9</v>
      </c>
      <c r="O655" s="7" t="n">
        <v>2</v>
      </c>
      <c r="P655" s="8" t="n">
        <f aca="false">IF(E655=0,0,G655/E655)</f>
        <v>0.333333333333333</v>
      </c>
      <c r="Q655" s="8" t="n">
        <f aca="false">IF(E655+N655=0,0,(G655+N655)/(E655+N655))</f>
        <v>0.450980392156863</v>
      </c>
      <c r="R655" s="8" t="n">
        <f aca="false">IF(E655=0,0,L655/E655)</f>
        <v>0.428571428571429</v>
      </c>
      <c r="S655" s="8" t="n">
        <f aca="false">R655+Q655</f>
        <v>0.879551820728291</v>
      </c>
      <c r="T655" s="8" t="n">
        <f aca="false">R655-P655</f>
        <v>0.0952380952380952</v>
      </c>
    </row>
    <row r="656" customFormat="false" ht="14.25" hidden="false" customHeight="true" outlineLevel="0" collapsed="false">
      <c r="A656" s="6" t="n">
        <v>2023</v>
      </c>
      <c r="B656" s="6" t="s">
        <v>166</v>
      </c>
      <c r="C656" s="6" t="s">
        <v>187</v>
      </c>
      <c r="D656" s="7" t="n">
        <v>11</v>
      </c>
      <c r="E656" s="7" t="n">
        <v>28</v>
      </c>
      <c r="F656" s="7" t="n">
        <v>9</v>
      </c>
      <c r="G656" s="7" t="n">
        <v>11</v>
      </c>
      <c r="H656" s="7" t="n">
        <v>2</v>
      </c>
      <c r="I656" s="7" t="n">
        <v>1</v>
      </c>
      <c r="J656" s="7" t="n">
        <v>3</v>
      </c>
      <c r="K656" s="7" t="n">
        <v>6</v>
      </c>
      <c r="L656" s="7" t="n">
        <v>24</v>
      </c>
      <c r="M656" s="7" t="n">
        <v>10</v>
      </c>
      <c r="N656" s="7" t="n">
        <v>9</v>
      </c>
      <c r="O656" s="7" t="n">
        <v>1</v>
      </c>
      <c r="P656" s="8" t="n">
        <f aca="false">IF(E656=0,0,G656/E656)</f>
        <v>0.392857142857143</v>
      </c>
      <c r="Q656" s="8" t="n">
        <f aca="false">IF(E656+N656=0,0,(G656+N656)/(E656+N656))</f>
        <v>0.540540540540541</v>
      </c>
      <c r="R656" s="8" t="n">
        <f aca="false">IF(E656=0,0,L656/E656)</f>
        <v>0.857142857142857</v>
      </c>
      <c r="S656" s="8" t="n">
        <f aca="false">R656+Q656</f>
        <v>1.3976833976834</v>
      </c>
      <c r="T656" s="8" t="n">
        <f aca="false">R656-P656</f>
        <v>0.464285714285714</v>
      </c>
    </row>
    <row r="657" customFormat="false" ht="14.25" hidden="false" customHeight="true" outlineLevel="0" collapsed="false">
      <c r="A657" s="6" t="n">
        <v>2023</v>
      </c>
      <c r="B657" s="6" t="s">
        <v>166</v>
      </c>
      <c r="C657" s="6" t="s">
        <v>167</v>
      </c>
      <c r="D657" s="7" t="n">
        <v>12</v>
      </c>
      <c r="E657" s="7" t="n">
        <v>36</v>
      </c>
      <c r="F657" s="7" t="n">
        <v>7</v>
      </c>
      <c r="G657" s="7" t="n">
        <v>11</v>
      </c>
      <c r="H657" s="7" t="n">
        <v>0</v>
      </c>
      <c r="I657" s="7" t="n">
        <v>0</v>
      </c>
      <c r="J657" s="7" t="n">
        <v>4</v>
      </c>
      <c r="K657" s="7" t="n">
        <v>4</v>
      </c>
      <c r="L657" s="7" t="n">
        <v>23</v>
      </c>
      <c r="M657" s="7" t="n">
        <v>14</v>
      </c>
      <c r="N657" s="7" t="n">
        <v>3</v>
      </c>
      <c r="O657" s="7" t="n">
        <v>0</v>
      </c>
      <c r="P657" s="8" t="n">
        <f aca="false">IF(E657=0,0,G657/E657)</f>
        <v>0.305555555555556</v>
      </c>
      <c r="Q657" s="8" t="n">
        <f aca="false">IF(E657+N657=0,0,(G657+N657)/(E657+N657))</f>
        <v>0.358974358974359</v>
      </c>
      <c r="R657" s="8" t="n">
        <f aca="false">IF(E657=0,0,L657/E657)</f>
        <v>0.638888888888889</v>
      </c>
      <c r="S657" s="8" t="n">
        <f aca="false">R657+Q657</f>
        <v>0.997863247863248</v>
      </c>
      <c r="T657" s="8" t="n">
        <f aca="false">R657-P657</f>
        <v>0.333333333333333</v>
      </c>
    </row>
    <row r="658" customFormat="false" ht="14.25" hidden="false" customHeight="true" outlineLevel="0" collapsed="false">
      <c r="A658" s="6" t="n">
        <v>2023</v>
      </c>
      <c r="B658" s="6" t="s">
        <v>166</v>
      </c>
      <c r="C658" s="6" t="s">
        <v>172</v>
      </c>
      <c r="D658" s="7" t="n">
        <v>13</v>
      </c>
      <c r="E658" s="7" t="n">
        <v>37</v>
      </c>
      <c r="F658" s="7" t="n">
        <v>12</v>
      </c>
      <c r="G658" s="7" t="n">
        <v>11</v>
      </c>
      <c r="H658" s="7" t="n">
        <v>2</v>
      </c>
      <c r="I658" s="7" t="n">
        <v>0</v>
      </c>
      <c r="J658" s="7" t="n">
        <v>2</v>
      </c>
      <c r="K658" s="7" t="n">
        <v>4</v>
      </c>
      <c r="L658" s="7" t="n">
        <v>19</v>
      </c>
      <c r="M658" s="7" t="n">
        <v>6</v>
      </c>
      <c r="N658" s="7" t="n">
        <v>9</v>
      </c>
      <c r="O658" s="7" t="n">
        <v>1</v>
      </c>
      <c r="P658" s="8" t="n">
        <f aca="false">IF(E658=0,0,G658/E658)</f>
        <v>0.297297297297297</v>
      </c>
      <c r="Q658" s="8" t="n">
        <f aca="false">IF(E658+N658=0,0,(G658+N658)/(E658+N658))</f>
        <v>0.434782608695652</v>
      </c>
      <c r="R658" s="8" t="n">
        <f aca="false">IF(E658=0,0,L658/E658)</f>
        <v>0.513513513513514</v>
      </c>
      <c r="S658" s="8" t="n">
        <f aca="false">R658+Q658</f>
        <v>0.948296122209166</v>
      </c>
      <c r="T658" s="8" t="n">
        <f aca="false">R658-P658</f>
        <v>0.216216216216216</v>
      </c>
    </row>
    <row r="659" customFormat="false" ht="14.25" hidden="false" customHeight="true" outlineLevel="0" collapsed="false">
      <c r="A659" s="6" t="n">
        <v>2023</v>
      </c>
      <c r="B659" s="6" t="s">
        <v>166</v>
      </c>
      <c r="C659" s="6" t="s">
        <v>177</v>
      </c>
      <c r="D659" s="7" t="n">
        <v>13</v>
      </c>
      <c r="E659" s="7" t="n">
        <v>44</v>
      </c>
      <c r="F659" s="7" t="n">
        <v>6</v>
      </c>
      <c r="G659" s="7" t="n">
        <v>9</v>
      </c>
      <c r="H659" s="7" t="n">
        <v>0</v>
      </c>
      <c r="I659" s="7" t="n">
        <v>0</v>
      </c>
      <c r="J659" s="7" t="n">
        <v>0</v>
      </c>
      <c r="K659" s="7" t="n">
        <v>0</v>
      </c>
      <c r="L659" s="7" t="n">
        <v>9</v>
      </c>
      <c r="M659" s="7" t="n">
        <v>8</v>
      </c>
      <c r="N659" s="7" t="n">
        <v>1</v>
      </c>
      <c r="O659" s="7" t="n">
        <v>3</v>
      </c>
      <c r="P659" s="8" t="n">
        <f aca="false">IF(E659=0,0,G659/E659)</f>
        <v>0.204545454545455</v>
      </c>
      <c r="Q659" s="8" t="n">
        <f aca="false">IF(E659+N659=0,0,(G659+N659)/(E659+N659))</f>
        <v>0.222222222222222</v>
      </c>
      <c r="R659" s="8" t="n">
        <f aca="false">IF(E659=0,0,L659/E659)</f>
        <v>0.204545454545455</v>
      </c>
      <c r="S659" s="8" t="n">
        <f aca="false">R659+Q659</f>
        <v>0.426767676767677</v>
      </c>
      <c r="T659" s="8" t="n">
        <f aca="false">R659-P659</f>
        <v>0</v>
      </c>
    </row>
    <row r="660" customFormat="false" ht="14.25" hidden="false" customHeight="true" outlineLevel="0" collapsed="false">
      <c r="A660" s="6" t="n">
        <v>2023</v>
      </c>
      <c r="B660" s="6" t="s">
        <v>166</v>
      </c>
      <c r="C660" s="6" t="s">
        <v>175</v>
      </c>
      <c r="D660" s="7" t="n">
        <v>6</v>
      </c>
      <c r="E660" s="7" t="n">
        <v>19</v>
      </c>
      <c r="F660" s="7" t="n">
        <v>6</v>
      </c>
      <c r="G660" s="7" t="n">
        <v>6</v>
      </c>
      <c r="H660" s="7" t="n">
        <v>0</v>
      </c>
      <c r="I660" s="7" t="n">
        <v>0</v>
      </c>
      <c r="J660" s="7" t="n">
        <v>3</v>
      </c>
      <c r="K660" s="7" t="n">
        <v>3</v>
      </c>
      <c r="L660" s="7" t="n">
        <v>15</v>
      </c>
      <c r="M660" s="7" t="n">
        <v>8</v>
      </c>
      <c r="N660" s="7" t="n">
        <v>0</v>
      </c>
      <c r="O660" s="7" t="n">
        <v>0</v>
      </c>
      <c r="P660" s="8" t="n">
        <f aca="false">IF(E660=0,0,G660/E660)</f>
        <v>0.315789473684211</v>
      </c>
      <c r="Q660" s="8" t="n">
        <f aca="false">IF(E660+N660=0,0,(G660+N660)/(E660+N660))</f>
        <v>0.315789473684211</v>
      </c>
      <c r="R660" s="8" t="n">
        <f aca="false">IF(E660=0,0,L660/E660)</f>
        <v>0.789473684210526</v>
      </c>
      <c r="S660" s="8" t="n">
        <f aca="false">R660+Q660</f>
        <v>1.10526315789474</v>
      </c>
      <c r="T660" s="8" t="n">
        <f aca="false">R660-P660</f>
        <v>0.473684210526316</v>
      </c>
    </row>
    <row r="661" customFormat="false" ht="14.25" hidden="false" customHeight="true" outlineLevel="0" collapsed="false">
      <c r="A661" s="6" t="n">
        <v>2023</v>
      </c>
      <c r="B661" s="6" t="s">
        <v>166</v>
      </c>
      <c r="C661" s="6" t="s">
        <v>176</v>
      </c>
      <c r="D661" s="7" t="n">
        <v>14</v>
      </c>
      <c r="E661" s="7" t="n">
        <v>35</v>
      </c>
      <c r="F661" s="7" t="n">
        <v>5</v>
      </c>
      <c r="G661" s="7" t="n">
        <v>6</v>
      </c>
      <c r="H661" s="7" t="n">
        <v>0</v>
      </c>
      <c r="I661" s="7" t="n">
        <v>0</v>
      </c>
      <c r="J661" s="7" t="n">
        <v>0</v>
      </c>
      <c r="K661" s="7" t="n">
        <v>0</v>
      </c>
      <c r="L661" s="7" t="n">
        <v>6</v>
      </c>
      <c r="M661" s="7" t="n">
        <v>3</v>
      </c>
      <c r="N661" s="7" t="n">
        <v>7</v>
      </c>
      <c r="O661" s="7" t="n">
        <v>0</v>
      </c>
      <c r="P661" s="8" t="n">
        <f aca="false">IF(E661=0,0,G661/E661)</f>
        <v>0.171428571428571</v>
      </c>
      <c r="Q661" s="8" t="n">
        <f aca="false">IF(E661+N661=0,0,(G661+N661)/(E661+N661))</f>
        <v>0.30952380952381</v>
      </c>
      <c r="R661" s="8" t="n">
        <f aca="false">IF(E661=0,0,L661/E661)</f>
        <v>0.171428571428571</v>
      </c>
      <c r="S661" s="8" t="n">
        <f aca="false">R661+Q661</f>
        <v>0.480952380952381</v>
      </c>
      <c r="T661" s="8" t="n">
        <f aca="false">R661-P661</f>
        <v>0</v>
      </c>
    </row>
    <row r="662" customFormat="false" ht="14.25" hidden="false" customHeight="true" outlineLevel="0" collapsed="false">
      <c r="A662" s="6" t="n">
        <v>2023</v>
      </c>
      <c r="B662" s="6" t="s">
        <v>166</v>
      </c>
      <c r="C662" s="6" t="s">
        <v>182</v>
      </c>
      <c r="D662" s="7" t="n">
        <v>11</v>
      </c>
      <c r="E662" s="7" t="n">
        <v>30</v>
      </c>
      <c r="F662" s="7" t="n">
        <v>4</v>
      </c>
      <c r="G662" s="7" t="n">
        <v>5</v>
      </c>
      <c r="H662" s="7" t="n">
        <v>3</v>
      </c>
      <c r="I662" s="7" t="n">
        <v>0</v>
      </c>
      <c r="J662" s="7" t="n">
        <v>0</v>
      </c>
      <c r="K662" s="7" t="n">
        <v>3</v>
      </c>
      <c r="L662" s="7" t="n">
        <v>8</v>
      </c>
      <c r="M662" s="7" t="n">
        <v>2</v>
      </c>
      <c r="N662" s="7" t="n">
        <v>5</v>
      </c>
      <c r="O662" s="7" t="n">
        <v>2</v>
      </c>
      <c r="P662" s="8" t="n">
        <f aca="false">IF(E662=0,0,G662/E662)</f>
        <v>0.166666666666667</v>
      </c>
      <c r="Q662" s="8" t="n">
        <f aca="false">IF(E662+N662=0,0,(G662+N662)/(E662+N662))</f>
        <v>0.285714285714286</v>
      </c>
      <c r="R662" s="8" t="n">
        <f aca="false">IF(E662=0,0,L662/E662)</f>
        <v>0.266666666666667</v>
      </c>
      <c r="S662" s="8" t="n">
        <f aca="false">R662+Q662</f>
        <v>0.552380952380952</v>
      </c>
      <c r="T662" s="8" t="n">
        <f aca="false">R662-P662</f>
        <v>0.1</v>
      </c>
    </row>
    <row r="663" customFormat="false" ht="14.25" hidden="false" customHeight="true" outlineLevel="0" collapsed="false">
      <c r="A663" s="6" t="n">
        <v>2023</v>
      </c>
      <c r="B663" s="6" t="s">
        <v>166</v>
      </c>
      <c r="C663" s="6" t="s">
        <v>174</v>
      </c>
      <c r="D663" s="7" t="n">
        <v>13</v>
      </c>
      <c r="E663" s="7" t="n">
        <v>21</v>
      </c>
      <c r="F663" s="7" t="n">
        <v>3</v>
      </c>
      <c r="G663" s="7" t="n">
        <v>3</v>
      </c>
      <c r="H663" s="7" t="n">
        <v>0</v>
      </c>
      <c r="I663" s="7" t="n">
        <v>0</v>
      </c>
      <c r="J663" s="7" t="n">
        <v>0</v>
      </c>
      <c r="K663" s="7" t="n">
        <v>0</v>
      </c>
      <c r="L663" s="7" t="n">
        <v>3</v>
      </c>
      <c r="M663" s="7" t="n">
        <v>2</v>
      </c>
      <c r="N663" s="7" t="n">
        <v>1</v>
      </c>
      <c r="O663" s="7" t="n">
        <v>1</v>
      </c>
      <c r="P663" s="8" t="n">
        <f aca="false">IF(E663=0,0,G663/E663)</f>
        <v>0.142857142857143</v>
      </c>
      <c r="Q663" s="8" t="n">
        <f aca="false">IF(E663+N663=0,0,(G663+N663)/(E663+N663))</f>
        <v>0.181818181818182</v>
      </c>
      <c r="R663" s="8" t="n">
        <f aca="false">IF(E663=0,0,L663/E663)</f>
        <v>0.142857142857143</v>
      </c>
      <c r="S663" s="8" t="n">
        <f aca="false">R663+Q663</f>
        <v>0.324675324675325</v>
      </c>
      <c r="T663" s="8" t="n">
        <f aca="false">R663-P663</f>
        <v>0</v>
      </c>
    </row>
    <row r="664" customFormat="false" ht="14.25" hidden="false" customHeight="true" outlineLevel="0" collapsed="false">
      <c r="A664" s="6" t="n">
        <v>2023</v>
      </c>
      <c r="B664" s="6" t="s">
        <v>166</v>
      </c>
      <c r="C664" s="6" t="s">
        <v>185</v>
      </c>
      <c r="D664" s="7" t="n">
        <v>1</v>
      </c>
      <c r="E664" s="7" t="n">
        <v>3</v>
      </c>
      <c r="F664" s="7" t="n">
        <v>1</v>
      </c>
      <c r="G664" s="7" t="n">
        <v>2</v>
      </c>
      <c r="H664" s="7" t="n">
        <v>0</v>
      </c>
      <c r="I664" s="7" t="n">
        <v>0</v>
      </c>
      <c r="J664" s="7" t="n">
        <v>1</v>
      </c>
      <c r="K664" s="7" t="n">
        <v>1</v>
      </c>
      <c r="L664" s="7" t="n">
        <v>5</v>
      </c>
      <c r="M664" s="7" t="n">
        <v>2</v>
      </c>
      <c r="N664" s="7" t="n">
        <v>0</v>
      </c>
      <c r="O664" s="7" t="n">
        <v>0</v>
      </c>
      <c r="P664" s="8" t="n">
        <f aca="false">IF(E664=0,0,G664/E664)</f>
        <v>0.666666666666667</v>
      </c>
      <c r="Q664" s="8" t="n">
        <f aca="false">IF(E664+N664=0,0,(G664+N664)/(E664+N664))</f>
        <v>0.666666666666667</v>
      </c>
      <c r="R664" s="8" t="n">
        <f aca="false">IF(E664=0,0,L664/E664)</f>
        <v>1.66666666666667</v>
      </c>
      <c r="S664" s="8" t="n">
        <f aca="false">R664+Q664</f>
        <v>2.33333333333333</v>
      </c>
      <c r="T664" s="8" t="n">
        <f aca="false">R664-P664</f>
        <v>1</v>
      </c>
    </row>
    <row r="665" customFormat="false" ht="14.25" hidden="false" customHeight="true" outlineLevel="0" collapsed="false">
      <c r="A665" s="6" t="n">
        <v>2023</v>
      </c>
      <c r="B665" s="6" t="s">
        <v>166</v>
      </c>
      <c r="C665" s="6" t="s">
        <v>173</v>
      </c>
      <c r="D665" s="7" t="n">
        <v>6</v>
      </c>
      <c r="E665" s="7" t="n">
        <v>14</v>
      </c>
      <c r="F665" s="7" t="n">
        <v>0</v>
      </c>
      <c r="G665" s="7" t="n">
        <v>2</v>
      </c>
      <c r="H665" s="7" t="n">
        <v>0</v>
      </c>
      <c r="I665" s="7" t="n">
        <v>0</v>
      </c>
      <c r="J665" s="7" t="n">
        <v>0</v>
      </c>
      <c r="K665" s="7" t="n">
        <v>0</v>
      </c>
      <c r="L665" s="7" t="n">
        <v>2</v>
      </c>
      <c r="M665" s="7" t="n">
        <v>0</v>
      </c>
      <c r="N665" s="7" t="n">
        <v>1</v>
      </c>
      <c r="O665" s="7" t="n">
        <v>0</v>
      </c>
      <c r="P665" s="8" t="n">
        <f aca="false">IF(E665=0,0,G665/E665)</f>
        <v>0.142857142857143</v>
      </c>
      <c r="Q665" s="8" t="n">
        <f aca="false">IF(E665+N665=0,0,(G665+N665)/(E665+N665))</f>
        <v>0.2</v>
      </c>
      <c r="R665" s="8" t="n">
        <f aca="false">IF(E665=0,0,L665/E665)</f>
        <v>0.142857142857143</v>
      </c>
      <c r="S665" s="8" t="n">
        <f aca="false">R665+Q665</f>
        <v>0.342857142857143</v>
      </c>
      <c r="T665" s="8" t="n">
        <f aca="false">R665-P665</f>
        <v>0</v>
      </c>
    </row>
    <row r="666" customFormat="false" ht="14.25" hidden="false" customHeight="true" outlineLevel="0" collapsed="false">
      <c r="A666" s="6" t="n">
        <v>2023</v>
      </c>
      <c r="B666" s="6" t="s">
        <v>166</v>
      </c>
      <c r="C666" s="6" t="s">
        <v>275</v>
      </c>
      <c r="D666" s="7" t="n">
        <v>13</v>
      </c>
      <c r="E666" s="7" t="n">
        <v>16</v>
      </c>
      <c r="F666" s="7" t="n">
        <v>2</v>
      </c>
      <c r="G666" s="7" t="n">
        <v>1</v>
      </c>
      <c r="H666" s="7" t="n">
        <v>0</v>
      </c>
      <c r="I666" s="7" t="n">
        <v>0</v>
      </c>
      <c r="J666" s="7" t="n">
        <v>0</v>
      </c>
      <c r="K666" s="7" t="n">
        <v>0</v>
      </c>
      <c r="L666" s="7" t="n">
        <v>1</v>
      </c>
      <c r="M666" s="7" t="n">
        <v>1</v>
      </c>
      <c r="N666" s="7" t="n">
        <v>2</v>
      </c>
      <c r="O666" s="7" t="n">
        <v>0</v>
      </c>
      <c r="P666" s="8" t="n">
        <f aca="false">IF(E666=0,0,G666/E666)</f>
        <v>0.0625</v>
      </c>
      <c r="Q666" s="8" t="n">
        <f aca="false">IF(E666+N666=0,0,(G666+N666)/(E666+N666))</f>
        <v>0.166666666666667</v>
      </c>
      <c r="R666" s="8" t="n">
        <f aca="false">IF(E666=0,0,L666/E666)</f>
        <v>0.0625</v>
      </c>
      <c r="S666" s="8" t="n">
        <f aca="false">R666+Q666</f>
        <v>0.229166666666667</v>
      </c>
      <c r="T666" s="8" t="n">
        <f aca="false">R666-P666</f>
        <v>0</v>
      </c>
    </row>
    <row r="667" customFormat="false" ht="14.25" hidden="false" customHeight="true" outlineLevel="0" collapsed="false">
      <c r="A667" s="6" t="n">
        <v>2023</v>
      </c>
      <c r="B667" s="6" t="s">
        <v>166</v>
      </c>
      <c r="C667" s="6" t="s">
        <v>348</v>
      </c>
      <c r="D667" s="7" t="n">
        <v>1</v>
      </c>
      <c r="E667" s="7" t="n">
        <v>2</v>
      </c>
      <c r="F667" s="7" t="n">
        <v>1</v>
      </c>
      <c r="G667" s="7" t="n">
        <v>1</v>
      </c>
      <c r="H667" s="7" t="n">
        <v>0</v>
      </c>
      <c r="I667" s="7" t="n">
        <v>0</v>
      </c>
      <c r="J667" s="7" t="n">
        <v>0</v>
      </c>
      <c r="K667" s="7" t="n">
        <v>0</v>
      </c>
      <c r="L667" s="7" t="n">
        <v>1</v>
      </c>
      <c r="M667" s="7" t="n">
        <v>1</v>
      </c>
      <c r="N667" s="7" t="n">
        <v>1</v>
      </c>
      <c r="O667" s="7" t="n">
        <v>0</v>
      </c>
      <c r="P667" s="8" t="n">
        <f aca="false">IF(E667=0,0,G667/E667)</f>
        <v>0.5</v>
      </c>
      <c r="Q667" s="8" t="n">
        <f aca="false">IF(E667+N667=0,0,(G667+N667)/(E667+N667))</f>
        <v>0.666666666666667</v>
      </c>
      <c r="R667" s="8" t="n">
        <f aca="false">IF(E667=0,0,L667/E667)</f>
        <v>0.5</v>
      </c>
      <c r="S667" s="8" t="n">
        <f aca="false">R667+Q667</f>
        <v>1.16666666666667</v>
      </c>
      <c r="T667" s="8" t="n">
        <f aca="false">R667-P667</f>
        <v>0</v>
      </c>
    </row>
    <row r="668" customFormat="false" ht="14.25" hidden="false" customHeight="true" outlineLevel="0" collapsed="false">
      <c r="A668" s="6" t="n">
        <v>2023</v>
      </c>
      <c r="B668" s="6" t="s">
        <v>166</v>
      </c>
      <c r="C668" s="6" t="s">
        <v>188</v>
      </c>
      <c r="D668" s="7" t="n">
        <v>2</v>
      </c>
      <c r="E668" s="7" t="n">
        <v>2</v>
      </c>
      <c r="F668" s="7" t="n">
        <v>1</v>
      </c>
      <c r="G668" s="7" t="n">
        <v>1</v>
      </c>
      <c r="H668" s="7" t="n">
        <v>0</v>
      </c>
      <c r="I668" s="7" t="n">
        <v>0</v>
      </c>
      <c r="J668" s="7" t="n">
        <v>0</v>
      </c>
      <c r="K668" s="7" t="n">
        <v>0</v>
      </c>
      <c r="L668" s="7" t="n">
        <v>1</v>
      </c>
      <c r="M668" s="7" t="n">
        <v>0</v>
      </c>
      <c r="N668" s="7" t="n">
        <v>0</v>
      </c>
      <c r="O668" s="7" t="n">
        <v>0</v>
      </c>
      <c r="P668" s="8" t="n">
        <f aca="false">IF(E668=0,0,G668/E668)</f>
        <v>0.5</v>
      </c>
      <c r="Q668" s="8" t="n">
        <f aca="false">IF(E668+N668=0,0,(G668+N668)/(E668+N668))</f>
        <v>0.5</v>
      </c>
      <c r="R668" s="8" t="n">
        <f aca="false">IF(E668=0,0,L668/E668)</f>
        <v>0.5</v>
      </c>
      <c r="S668" s="8" t="n">
        <f aca="false">R668+Q668</f>
        <v>1</v>
      </c>
      <c r="T668" s="8" t="n">
        <f aca="false">R668-P668</f>
        <v>0</v>
      </c>
    </row>
    <row r="669" customFormat="false" ht="14.25" hidden="false" customHeight="true" outlineLevel="0" collapsed="false">
      <c r="A669" s="6" t="n">
        <v>2023</v>
      </c>
      <c r="B669" s="6" t="s">
        <v>166</v>
      </c>
      <c r="C669" s="6" t="s">
        <v>349</v>
      </c>
      <c r="D669" s="7" t="n">
        <v>1</v>
      </c>
      <c r="E669" s="7" t="n">
        <v>3</v>
      </c>
      <c r="F669" s="7" t="n">
        <v>0</v>
      </c>
      <c r="G669" s="7" t="n">
        <v>1</v>
      </c>
      <c r="H669" s="7" t="n">
        <v>0</v>
      </c>
      <c r="I669" s="7" t="n">
        <v>0</v>
      </c>
      <c r="J669" s="7" t="n">
        <v>0</v>
      </c>
      <c r="K669" s="7" t="n">
        <v>0</v>
      </c>
      <c r="L669" s="7" t="n">
        <v>1</v>
      </c>
      <c r="M669" s="7" t="n">
        <v>0</v>
      </c>
      <c r="N669" s="7" t="n">
        <v>0</v>
      </c>
      <c r="O669" s="7" t="n">
        <v>0</v>
      </c>
      <c r="P669" s="8" t="n">
        <f aca="false">IF(E669=0,0,G669/E669)</f>
        <v>0.333333333333333</v>
      </c>
      <c r="Q669" s="8" t="n">
        <f aca="false">IF(E669+N669=0,0,(G669+N669)/(E669+N669))</f>
        <v>0.333333333333333</v>
      </c>
      <c r="R669" s="8" t="n">
        <f aca="false">IF(E669=0,0,L669/E669)</f>
        <v>0.333333333333333</v>
      </c>
      <c r="S669" s="8" t="n">
        <f aca="false">R669+Q669</f>
        <v>0.666666666666667</v>
      </c>
      <c r="T669" s="8" t="n">
        <f aca="false">R669-P669</f>
        <v>0</v>
      </c>
    </row>
    <row r="670" customFormat="false" ht="14.25" hidden="false" customHeight="true" outlineLevel="0" collapsed="false">
      <c r="A670" s="6" t="n">
        <v>2023</v>
      </c>
      <c r="B670" s="6" t="s">
        <v>166</v>
      </c>
      <c r="C670" s="6" t="s">
        <v>183</v>
      </c>
      <c r="D670" s="7" t="n">
        <v>4</v>
      </c>
      <c r="E670" s="7" t="n">
        <v>5</v>
      </c>
      <c r="F670" s="7" t="n">
        <v>0</v>
      </c>
      <c r="G670" s="7" t="n">
        <v>0</v>
      </c>
      <c r="H670" s="7" t="n">
        <v>0</v>
      </c>
      <c r="I670" s="7" t="n">
        <v>0</v>
      </c>
      <c r="J670" s="7" t="n">
        <v>0</v>
      </c>
      <c r="K670" s="7" t="n">
        <v>0</v>
      </c>
      <c r="L670" s="7" t="n">
        <v>0</v>
      </c>
      <c r="M670" s="7" t="n">
        <v>0</v>
      </c>
      <c r="N670" s="7" t="n">
        <v>1</v>
      </c>
      <c r="O670" s="7" t="n">
        <v>0</v>
      </c>
      <c r="P670" s="8" t="n">
        <f aca="false">IF(E670=0,0,G670/E670)</f>
        <v>0</v>
      </c>
      <c r="Q670" s="8" t="n">
        <f aca="false">IF(E670+N670=0,0,(G670+N670)/(E670+N670))</f>
        <v>0.166666666666667</v>
      </c>
      <c r="R670" s="8" t="n">
        <f aca="false">IF(E670=0,0,L670/E670)</f>
        <v>0</v>
      </c>
      <c r="S670" s="8" t="n">
        <f aca="false">R670+Q670</f>
        <v>0.166666666666667</v>
      </c>
      <c r="T670" s="8" t="n">
        <f aca="false">R670-P670</f>
        <v>0</v>
      </c>
    </row>
    <row r="671" customFormat="false" ht="14.25" hidden="false" customHeight="true" outlineLevel="0" collapsed="false">
      <c r="A671" s="6" t="n">
        <v>2023</v>
      </c>
      <c r="B671" s="6" t="s">
        <v>166</v>
      </c>
      <c r="C671" s="6" t="s">
        <v>350</v>
      </c>
      <c r="D671" s="7" t="n">
        <v>1</v>
      </c>
      <c r="E671" s="7" t="n">
        <v>1</v>
      </c>
      <c r="F671" s="7" t="n">
        <v>0</v>
      </c>
      <c r="G671" s="7" t="n">
        <v>0</v>
      </c>
      <c r="H671" s="7" t="n">
        <v>0</v>
      </c>
      <c r="I671" s="7" t="n">
        <v>0</v>
      </c>
      <c r="J671" s="7" t="n">
        <v>0</v>
      </c>
      <c r="K671" s="7" t="n">
        <v>0</v>
      </c>
      <c r="L671" s="7" t="n">
        <v>0</v>
      </c>
      <c r="M671" s="7" t="n">
        <v>0</v>
      </c>
      <c r="N671" s="7" t="n">
        <v>1</v>
      </c>
      <c r="O671" s="7" t="n">
        <v>0</v>
      </c>
      <c r="P671" s="8" t="n">
        <f aca="false">IF(E671=0,0,G671/E671)</f>
        <v>0</v>
      </c>
      <c r="Q671" s="8" t="n">
        <f aca="false">IF(E671+N671=0,0,(G671+N671)/(E671+N671))</f>
        <v>0.5</v>
      </c>
      <c r="R671" s="8" t="n">
        <f aca="false">IF(E671=0,0,L671/E671)</f>
        <v>0</v>
      </c>
      <c r="S671" s="8" t="n">
        <f aca="false">R671+Q671</f>
        <v>0.5</v>
      </c>
      <c r="T671" s="8" t="n">
        <f aca="false">R671-P671</f>
        <v>0</v>
      </c>
    </row>
    <row r="672" customFormat="false" ht="14.25" hidden="false" customHeight="true" outlineLevel="0" collapsed="false">
      <c r="A672" s="6" t="n">
        <v>2023</v>
      </c>
      <c r="B672" s="6" t="s">
        <v>166</v>
      </c>
      <c r="C672" s="6" t="s">
        <v>351</v>
      </c>
      <c r="D672" s="7" t="n">
        <v>1</v>
      </c>
      <c r="E672" s="7" t="n">
        <v>1</v>
      </c>
      <c r="F672" s="7" t="n">
        <v>1</v>
      </c>
      <c r="G672" s="7" t="n">
        <v>0</v>
      </c>
      <c r="H672" s="7" t="n">
        <v>0</v>
      </c>
      <c r="I672" s="7" t="n">
        <v>0</v>
      </c>
      <c r="J672" s="7" t="n">
        <v>0</v>
      </c>
      <c r="K672" s="7" t="n">
        <v>0</v>
      </c>
      <c r="L672" s="7" t="n">
        <v>0</v>
      </c>
      <c r="M672" s="7" t="n">
        <v>0</v>
      </c>
      <c r="N672" s="7" t="n">
        <v>1</v>
      </c>
      <c r="O672" s="7" t="n">
        <v>0</v>
      </c>
      <c r="P672" s="8" t="n">
        <f aca="false">IF(E672=0,0,G672/E672)</f>
        <v>0</v>
      </c>
      <c r="Q672" s="8" t="n">
        <f aca="false">IF(E672+N672=0,0,(G672+N672)/(E672+N672))</f>
        <v>0.5</v>
      </c>
      <c r="R672" s="8" t="n">
        <f aca="false">IF(E672=0,0,L672/E672)</f>
        <v>0</v>
      </c>
      <c r="S672" s="8" t="n">
        <f aca="false">R672+Q672</f>
        <v>0.5</v>
      </c>
      <c r="T672" s="8" t="n">
        <f aca="false">R672-P672</f>
        <v>0</v>
      </c>
    </row>
    <row r="673" customFormat="false" ht="14.25" hidden="false" customHeight="true" outlineLevel="0" collapsed="false">
      <c r="A673" s="6" t="n">
        <v>2023</v>
      </c>
      <c r="B673" s="6" t="s">
        <v>166</v>
      </c>
      <c r="C673" s="6" t="s">
        <v>352</v>
      </c>
      <c r="D673" s="7" t="n">
        <v>1</v>
      </c>
      <c r="E673" s="7" t="n">
        <v>3</v>
      </c>
      <c r="F673" s="7" t="n">
        <v>0</v>
      </c>
      <c r="G673" s="7" t="n">
        <v>0</v>
      </c>
      <c r="H673" s="7" t="n">
        <v>0</v>
      </c>
      <c r="I673" s="7" t="n">
        <v>0</v>
      </c>
      <c r="J673" s="7" t="n">
        <v>0</v>
      </c>
      <c r="K673" s="7" t="n">
        <v>0</v>
      </c>
      <c r="L673" s="7" t="n">
        <v>0</v>
      </c>
      <c r="M673" s="7" t="n">
        <v>0</v>
      </c>
      <c r="N673" s="7" t="n">
        <v>0</v>
      </c>
      <c r="O673" s="7" t="n">
        <v>0</v>
      </c>
      <c r="P673" s="8" t="n">
        <f aca="false">IF(E673=0,0,G673/E673)</f>
        <v>0</v>
      </c>
      <c r="Q673" s="8" t="n">
        <f aca="false">IF(E673+N673=0,0,(G673+N673)/(E673+N673))</f>
        <v>0</v>
      </c>
      <c r="R673" s="8" t="n">
        <f aca="false">IF(E673=0,0,L673/E673)</f>
        <v>0</v>
      </c>
      <c r="S673" s="8" t="n">
        <f aca="false">R673+Q673</f>
        <v>0</v>
      </c>
      <c r="T673" s="8" t="n">
        <f aca="false">R673-P673</f>
        <v>0</v>
      </c>
    </row>
    <row r="674" customFormat="false" ht="14.25" hidden="false" customHeight="true" outlineLevel="0" collapsed="false">
      <c r="A674" s="6" t="n">
        <v>2023</v>
      </c>
      <c r="B674" s="6" t="s">
        <v>166</v>
      </c>
      <c r="C674" s="6" t="s">
        <v>353</v>
      </c>
      <c r="D674" s="7" t="n">
        <v>1</v>
      </c>
      <c r="E674" s="7" t="n">
        <v>3</v>
      </c>
      <c r="F674" s="7" t="n">
        <v>0</v>
      </c>
      <c r="G674" s="7" t="n">
        <v>0</v>
      </c>
      <c r="H674" s="7" t="n">
        <v>0</v>
      </c>
      <c r="I674" s="7" t="n">
        <v>0</v>
      </c>
      <c r="J674" s="7" t="n">
        <v>0</v>
      </c>
      <c r="K674" s="7" t="n">
        <v>0</v>
      </c>
      <c r="L674" s="7" t="n">
        <v>0</v>
      </c>
      <c r="M674" s="7" t="n">
        <v>0</v>
      </c>
      <c r="N674" s="7" t="n">
        <v>0</v>
      </c>
      <c r="O674" s="7" t="n">
        <v>0</v>
      </c>
      <c r="P674" s="8" t="n">
        <f aca="false">IF(E674=0,0,G674/E674)</f>
        <v>0</v>
      </c>
      <c r="Q674" s="8" t="n">
        <f aca="false">IF(E674+N674=0,0,(G674+N674)/(E674+N674))</f>
        <v>0</v>
      </c>
      <c r="R674" s="8" t="n">
        <f aca="false">IF(E674=0,0,L674/E674)</f>
        <v>0</v>
      </c>
      <c r="S674" s="8" t="n">
        <f aca="false">R674+Q674</f>
        <v>0</v>
      </c>
      <c r="T674" s="8" t="n">
        <f aca="false">R674-P674</f>
        <v>0</v>
      </c>
    </row>
    <row r="675" customFormat="false" ht="14.25" hidden="false" customHeight="true" outlineLevel="0" collapsed="false">
      <c r="A675" s="6" t="n">
        <v>2023</v>
      </c>
      <c r="B675" s="6" t="s">
        <v>166</v>
      </c>
      <c r="C675" s="6" t="s">
        <v>354</v>
      </c>
      <c r="D675" s="7" t="n">
        <v>1</v>
      </c>
      <c r="E675" s="7" t="n">
        <v>2</v>
      </c>
      <c r="F675" s="7" t="n">
        <v>0</v>
      </c>
      <c r="G675" s="7" t="n">
        <v>0</v>
      </c>
      <c r="H675" s="7" t="n">
        <v>0</v>
      </c>
      <c r="I675" s="7" t="n">
        <v>0</v>
      </c>
      <c r="J675" s="7" t="n">
        <v>0</v>
      </c>
      <c r="K675" s="7" t="n">
        <v>0</v>
      </c>
      <c r="L675" s="7" t="n">
        <v>0</v>
      </c>
      <c r="M675" s="7" t="n">
        <v>0</v>
      </c>
      <c r="N675" s="7" t="n">
        <v>0</v>
      </c>
      <c r="O675" s="7" t="n">
        <v>0</v>
      </c>
      <c r="P675" s="8" t="n">
        <f aca="false">IF(E675=0,0,G675/E675)</f>
        <v>0</v>
      </c>
      <c r="Q675" s="8" t="n">
        <f aca="false">IF(E675+N675=0,0,(G675+N675)/(E675+N675))</f>
        <v>0</v>
      </c>
      <c r="R675" s="8" t="n">
        <f aca="false">IF(E675=0,0,L675/E675)</f>
        <v>0</v>
      </c>
      <c r="S675" s="8" t="n">
        <f aca="false">R675+Q675</f>
        <v>0</v>
      </c>
      <c r="T675" s="8" t="n">
        <f aca="false">R675-P675</f>
        <v>0</v>
      </c>
    </row>
    <row r="676" customFormat="false" ht="14.25" hidden="false" customHeight="true" outlineLevel="0" collapsed="false">
      <c r="A676" s="6" t="n">
        <v>2023</v>
      </c>
      <c r="B676" s="6" t="s">
        <v>192</v>
      </c>
      <c r="C676" s="6" t="s">
        <v>195</v>
      </c>
      <c r="D676" s="7" t="n">
        <v>13</v>
      </c>
      <c r="E676" s="7" t="n">
        <v>44</v>
      </c>
      <c r="F676" s="7" t="n">
        <v>8</v>
      </c>
      <c r="G676" s="7" t="n">
        <v>15</v>
      </c>
      <c r="H676" s="7" t="n">
        <v>4</v>
      </c>
      <c r="I676" s="7" t="n">
        <v>0</v>
      </c>
      <c r="J676" s="7" t="n">
        <v>0</v>
      </c>
      <c r="K676" s="7" t="n">
        <v>4</v>
      </c>
      <c r="L676" s="7" t="n">
        <v>19</v>
      </c>
      <c r="M676" s="7" t="n">
        <v>2</v>
      </c>
      <c r="N676" s="7" t="n">
        <v>4</v>
      </c>
      <c r="O676" s="7" t="n">
        <v>0</v>
      </c>
      <c r="P676" s="8" t="n">
        <f aca="false">IF(E676=0,0,G676/E676)</f>
        <v>0.340909090909091</v>
      </c>
      <c r="Q676" s="8" t="n">
        <f aca="false">IF(E676+N676=0,0,(G676+N676)/(E676+N676))</f>
        <v>0.395833333333333</v>
      </c>
      <c r="R676" s="8" t="n">
        <f aca="false">IF(E676=0,0,L676/E676)</f>
        <v>0.431818181818182</v>
      </c>
      <c r="S676" s="8" t="n">
        <f aca="false">R676+Q676</f>
        <v>0.827651515151515</v>
      </c>
      <c r="T676" s="8" t="n">
        <f aca="false">R676-P676</f>
        <v>0.0909090909090909</v>
      </c>
    </row>
    <row r="677" customFormat="false" ht="14.25" hidden="false" customHeight="true" outlineLevel="0" collapsed="false">
      <c r="A677" s="6" t="n">
        <v>2023</v>
      </c>
      <c r="B677" s="6" t="s">
        <v>192</v>
      </c>
      <c r="C677" s="6" t="s">
        <v>205</v>
      </c>
      <c r="D677" s="7" t="n">
        <v>13</v>
      </c>
      <c r="E677" s="7" t="n">
        <v>42</v>
      </c>
      <c r="F677" s="7" t="n">
        <v>6</v>
      </c>
      <c r="G677" s="7" t="n">
        <v>14</v>
      </c>
      <c r="H677" s="7" t="n">
        <v>1</v>
      </c>
      <c r="I677" s="7" t="n">
        <v>0</v>
      </c>
      <c r="J677" s="7" t="n">
        <v>0</v>
      </c>
      <c r="K677" s="7" t="n">
        <v>1</v>
      </c>
      <c r="L677" s="7" t="n">
        <v>15</v>
      </c>
      <c r="M677" s="7" t="n">
        <v>9</v>
      </c>
      <c r="N677" s="7" t="n">
        <v>1</v>
      </c>
      <c r="O677" s="7" t="n">
        <v>1</v>
      </c>
      <c r="P677" s="8" t="n">
        <f aca="false">IF(E677=0,0,G677/E677)</f>
        <v>0.333333333333333</v>
      </c>
      <c r="Q677" s="8" t="n">
        <f aca="false">IF(E677+N677=0,0,(G677+N677)/(E677+N677))</f>
        <v>0.348837209302326</v>
      </c>
      <c r="R677" s="8" t="n">
        <f aca="false">IF(E677=0,0,L677/E677)</f>
        <v>0.357142857142857</v>
      </c>
      <c r="S677" s="8" t="n">
        <f aca="false">R677+Q677</f>
        <v>0.705980066445183</v>
      </c>
      <c r="T677" s="8" t="n">
        <f aca="false">R677-P677</f>
        <v>0.0238095238095238</v>
      </c>
    </row>
    <row r="678" customFormat="false" ht="14.25" hidden="false" customHeight="true" outlineLevel="0" collapsed="false">
      <c r="A678" s="6" t="n">
        <v>2023</v>
      </c>
      <c r="B678" s="6" t="s">
        <v>192</v>
      </c>
      <c r="C678" s="6" t="s">
        <v>196</v>
      </c>
      <c r="D678" s="7" t="n">
        <v>13</v>
      </c>
      <c r="E678" s="7" t="n">
        <v>37</v>
      </c>
      <c r="F678" s="7" t="n">
        <v>15</v>
      </c>
      <c r="G678" s="7" t="n">
        <v>11</v>
      </c>
      <c r="H678" s="7" t="n">
        <v>1</v>
      </c>
      <c r="I678" s="7" t="n">
        <v>0</v>
      </c>
      <c r="J678" s="7" t="n">
        <v>2</v>
      </c>
      <c r="K678" s="7" t="n">
        <v>3</v>
      </c>
      <c r="L678" s="7" t="n">
        <v>18</v>
      </c>
      <c r="M678" s="7" t="n">
        <v>4</v>
      </c>
      <c r="N678" s="7" t="n">
        <v>9</v>
      </c>
      <c r="O678" s="7" t="n">
        <v>1</v>
      </c>
      <c r="P678" s="8" t="n">
        <f aca="false">IF(E678=0,0,G678/E678)</f>
        <v>0.297297297297297</v>
      </c>
      <c r="Q678" s="8" t="n">
        <f aca="false">IF(E678+N678=0,0,(G678+N678)/(E678+N678))</f>
        <v>0.434782608695652</v>
      </c>
      <c r="R678" s="8" t="n">
        <f aca="false">IF(E678=0,0,L678/E678)</f>
        <v>0.486486486486487</v>
      </c>
      <c r="S678" s="8" t="n">
        <f aca="false">R678+Q678</f>
        <v>0.921269095182139</v>
      </c>
      <c r="T678" s="8" t="n">
        <f aca="false">R678-P678</f>
        <v>0.189189189189189</v>
      </c>
    </row>
    <row r="679" customFormat="false" ht="14.25" hidden="false" customHeight="true" outlineLevel="0" collapsed="false">
      <c r="A679" s="6" t="n">
        <v>2023</v>
      </c>
      <c r="B679" s="6" t="s">
        <v>192</v>
      </c>
      <c r="C679" s="6" t="s">
        <v>198</v>
      </c>
      <c r="D679" s="7" t="n">
        <v>12</v>
      </c>
      <c r="E679" s="7" t="n">
        <v>33</v>
      </c>
      <c r="F679" s="7" t="n">
        <v>12</v>
      </c>
      <c r="G679" s="7" t="n">
        <v>10</v>
      </c>
      <c r="H679" s="7" t="n">
        <v>2</v>
      </c>
      <c r="I679" s="7" t="n">
        <v>0</v>
      </c>
      <c r="J679" s="7" t="n">
        <v>3</v>
      </c>
      <c r="K679" s="7" t="n">
        <v>5</v>
      </c>
      <c r="L679" s="7" t="n">
        <v>21</v>
      </c>
      <c r="M679" s="7" t="n">
        <v>5</v>
      </c>
      <c r="N679" s="7" t="n">
        <v>8</v>
      </c>
      <c r="O679" s="7" t="n">
        <v>2</v>
      </c>
      <c r="P679" s="8" t="n">
        <f aca="false">IF(E679=0,0,G679/E679)</f>
        <v>0.303030303030303</v>
      </c>
      <c r="Q679" s="8" t="n">
        <f aca="false">IF(E679+N679=0,0,(G679+N679)/(E679+N679))</f>
        <v>0.439024390243902</v>
      </c>
      <c r="R679" s="8" t="n">
        <f aca="false">IF(E679=0,0,L679/E679)</f>
        <v>0.636363636363636</v>
      </c>
      <c r="S679" s="8" t="n">
        <f aca="false">R679+Q679</f>
        <v>1.07538802660754</v>
      </c>
      <c r="T679" s="8" t="n">
        <f aca="false">R679-P679</f>
        <v>0.333333333333333</v>
      </c>
    </row>
    <row r="680" customFormat="false" ht="14.25" hidden="false" customHeight="true" outlineLevel="0" collapsed="false">
      <c r="A680" s="6" t="n">
        <v>2023</v>
      </c>
      <c r="B680" s="6" t="s">
        <v>192</v>
      </c>
      <c r="C680" s="6" t="s">
        <v>201</v>
      </c>
      <c r="D680" s="7" t="n">
        <v>11</v>
      </c>
      <c r="E680" s="7" t="n">
        <v>35</v>
      </c>
      <c r="F680" s="7" t="n">
        <v>2</v>
      </c>
      <c r="G680" s="7" t="n">
        <v>9</v>
      </c>
      <c r="H680" s="7" t="n">
        <v>2</v>
      </c>
      <c r="I680" s="7" t="n">
        <v>0</v>
      </c>
      <c r="J680" s="7" t="n">
        <v>0</v>
      </c>
      <c r="K680" s="7" t="n">
        <v>2</v>
      </c>
      <c r="L680" s="7" t="n">
        <v>11</v>
      </c>
      <c r="M680" s="7" t="n">
        <v>6</v>
      </c>
      <c r="N680" s="7" t="n">
        <v>1</v>
      </c>
      <c r="O680" s="7" t="n">
        <v>0</v>
      </c>
      <c r="P680" s="8" t="n">
        <f aca="false">IF(E680=0,0,G680/E680)</f>
        <v>0.257142857142857</v>
      </c>
      <c r="Q680" s="8" t="n">
        <f aca="false">IF(E680+N680=0,0,(G680+N680)/(E680+N680))</f>
        <v>0.277777777777778</v>
      </c>
      <c r="R680" s="8" t="n">
        <f aca="false">IF(E680=0,0,L680/E680)</f>
        <v>0.314285714285714</v>
      </c>
      <c r="S680" s="8" t="n">
        <f aca="false">R680+Q680</f>
        <v>0.592063492063492</v>
      </c>
      <c r="T680" s="8" t="n">
        <f aca="false">R680-P680</f>
        <v>0.0571428571428572</v>
      </c>
    </row>
    <row r="681" customFormat="false" ht="14.25" hidden="false" customHeight="true" outlineLevel="0" collapsed="false">
      <c r="A681" s="6" t="n">
        <v>2023</v>
      </c>
      <c r="B681" s="6" t="s">
        <v>192</v>
      </c>
      <c r="C681" s="6" t="s">
        <v>207</v>
      </c>
      <c r="D681" s="7" t="n">
        <v>11</v>
      </c>
      <c r="E681" s="7" t="n">
        <v>29</v>
      </c>
      <c r="F681" s="7" t="n">
        <v>2</v>
      </c>
      <c r="G681" s="7" t="n">
        <v>9</v>
      </c>
      <c r="H681" s="7" t="n">
        <v>1</v>
      </c>
      <c r="I681" s="7" t="n">
        <v>0</v>
      </c>
      <c r="J681" s="7" t="n">
        <v>0</v>
      </c>
      <c r="K681" s="7" t="n">
        <v>1</v>
      </c>
      <c r="L681" s="7" t="n">
        <v>10</v>
      </c>
      <c r="M681" s="7" t="n">
        <v>4</v>
      </c>
      <c r="N681" s="7" t="n">
        <v>6</v>
      </c>
      <c r="O681" s="7" t="n">
        <v>1</v>
      </c>
      <c r="P681" s="8" t="n">
        <f aca="false">IF(E681=0,0,G681/E681)</f>
        <v>0.310344827586207</v>
      </c>
      <c r="Q681" s="8" t="n">
        <f aca="false">IF(E681+N681=0,0,(G681+N681)/(E681+N681))</f>
        <v>0.428571428571429</v>
      </c>
      <c r="R681" s="8" t="n">
        <f aca="false">IF(E681=0,0,L681/E681)</f>
        <v>0.344827586206897</v>
      </c>
      <c r="S681" s="8" t="n">
        <f aca="false">R681+Q681</f>
        <v>0.773399014778325</v>
      </c>
      <c r="T681" s="8" t="n">
        <f aca="false">R681-P681</f>
        <v>0.0344827586206897</v>
      </c>
    </row>
    <row r="682" customFormat="false" ht="14.25" hidden="false" customHeight="true" outlineLevel="0" collapsed="false">
      <c r="A682" s="6" t="n">
        <v>2023</v>
      </c>
      <c r="B682" s="6" t="s">
        <v>192</v>
      </c>
      <c r="C682" s="6" t="s">
        <v>200</v>
      </c>
      <c r="D682" s="7" t="n">
        <v>9</v>
      </c>
      <c r="E682" s="7" t="n">
        <v>26</v>
      </c>
      <c r="F682" s="7" t="n">
        <v>6</v>
      </c>
      <c r="G682" s="7" t="n">
        <v>8</v>
      </c>
      <c r="H682" s="7" t="n">
        <v>2</v>
      </c>
      <c r="I682" s="7" t="n">
        <v>0</v>
      </c>
      <c r="J682" s="7" t="n">
        <v>0</v>
      </c>
      <c r="K682" s="7" t="n">
        <v>2</v>
      </c>
      <c r="L682" s="7" t="n">
        <v>10</v>
      </c>
      <c r="M682" s="7" t="n">
        <v>6</v>
      </c>
      <c r="N682" s="7" t="n">
        <v>1</v>
      </c>
      <c r="O682" s="7" t="n">
        <v>1</v>
      </c>
      <c r="P682" s="8" t="n">
        <f aca="false">IF(E682=0,0,G682/E682)</f>
        <v>0.307692307692308</v>
      </c>
      <c r="Q682" s="8" t="n">
        <f aca="false">IF(E682+N682=0,0,(G682+N682)/(E682+N682))</f>
        <v>0.333333333333333</v>
      </c>
      <c r="R682" s="8" t="n">
        <f aca="false">IF(E682=0,0,L682/E682)</f>
        <v>0.384615384615385</v>
      </c>
      <c r="S682" s="8" t="n">
        <f aca="false">R682+Q682</f>
        <v>0.717948717948718</v>
      </c>
      <c r="T682" s="8" t="n">
        <f aca="false">R682-P682</f>
        <v>0.0769230769230769</v>
      </c>
    </row>
    <row r="683" customFormat="false" ht="14.25" hidden="false" customHeight="true" outlineLevel="0" collapsed="false">
      <c r="A683" s="6" t="n">
        <v>2023</v>
      </c>
      <c r="B683" s="6" t="s">
        <v>192</v>
      </c>
      <c r="C683" s="6" t="s">
        <v>197</v>
      </c>
      <c r="D683" s="7" t="n">
        <v>8</v>
      </c>
      <c r="E683" s="7" t="n">
        <v>24</v>
      </c>
      <c r="F683" s="7" t="n">
        <v>7</v>
      </c>
      <c r="G683" s="7" t="n">
        <v>7</v>
      </c>
      <c r="H683" s="7" t="n">
        <v>2</v>
      </c>
      <c r="I683" s="7" t="n">
        <v>0</v>
      </c>
      <c r="J683" s="7" t="n">
        <v>1</v>
      </c>
      <c r="K683" s="7" t="n">
        <v>3</v>
      </c>
      <c r="L683" s="7" t="n">
        <v>12</v>
      </c>
      <c r="M683" s="7" t="n">
        <v>10</v>
      </c>
      <c r="N683" s="7" t="n">
        <v>1</v>
      </c>
      <c r="O683" s="7" t="n">
        <v>0</v>
      </c>
      <c r="P683" s="8" t="n">
        <f aca="false">IF(E683=0,0,G683/E683)</f>
        <v>0.291666666666667</v>
      </c>
      <c r="Q683" s="8" t="n">
        <f aca="false">IF(E683+N683=0,0,(G683+N683)/(E683+N683))</f>
        <v>0.32</v>
      </c>
      <c r="R683" s="8" t="n">
        <f aca="false">IF(E683=0,0,L683/E683)</f>
        <v>0.5</v>
      </c>
      <c r="S683" s="8" t="n">
        <f aca="false">R683+Q683</f>
        <v>0.82</v>
      </c>
      <c r="T683" s="8" t="n">
        <f aca="false">R683-P683</f>
        <v>0.208333333333333</v>
      </c>
    </row>
    <row r="684" customFormat="false" ht="14.25" hidden="false" customHeight="true" outlineLevel="0" collapsed="false">
      <c r="A684" s="6" t="n">
        <v>2023</v>
      </c>
      <c r="B684" s="6" t="s">
        <v>192</v>
      </c>
      <c r="C684" s="6" t="s">
        <v>208</v>
      </c>
      <c r="D684" s="7" t="n">
        <v>9</v>
      </c>
      <c r="E684" s="7" t="n">
        <v>26</v>
      </c>
      <c r="F684" s="7" t="n">
        <v>1</v>
      </c>
      <c r="G684" s="7" t="n">
        <v>7</v>
      </c>
      <c r="H684" s="7" t="n">
        <v>0</v>
      </c>
      <c r="I684" s="7" t="n">
        <v>0</v>
      </c>
      <c r="J684" s="7" t="n">
        <v>0</v>
      </c>
      <c r="K684" s="7" t="n">
        <v>0</v>
      </c>
      <c r="L684" s="7" t="n">
        <v>7</v>
      </c>
      <c r="M684" s="7" t="n">
        <v>5</v>
      </c>
      <c r="N684" s="7" t="n">
        <v>1</v>
      </c>
      <c r="O684" s="7" t="n">
        <v>0</v>
      </c>
      <c r="P684" s="8" t="n">
        <f aca="false">IF(E684=0,0,G684/E684)</f>
        <v>0.269230769230769</v>
      </c>
      <c r="Q684" s="8" t="n">
        <f aca="false">IF(E684+N684=0,0,(G684+N684)/(E684+N684))</f>
        <v>0.296296296296296</v>
      </c>
      <c r="R684" s="8" t="n">
        <f aca="false">IF(E684=0,0,L684/E684)</f>
        <v>0.269230769230769</v>
      </c>
      <c r="S684" s="8" t="n">
        <f aca="false">R684+Q684</f>
        <v>0.565527065527065</v>
      </c>
      <c r="T684" s="8" t="n">
        <f aca="false">R684-P684</f>
        <v>0</v>
      </c>
    </row>
    <row r="685" customFormat="false" ht="14.25" hidden="false" customHeight="true" outlineLevel="0" collapsed="false">
      <c r="A685" s="6" t="n">
        <v>2023</v>
      </c>
      <c r="B685" s="6" t="s">
        <v>192</v>
      </c>
      <c r="C685" s="6" t="s">
        <v>193</v>
      </c>
      <c r="D685" s="7" t="n">
        <v>7</v>
      </c>
      <c r="E685" s="7" t="n">
        <v>16</v>
      </c>
      <c r="F685" s="7" t="n">
        <v>4</v>
      </c>
      <c r="G685" s="7" t="n">
        <v>6</v>
      </c>
      <c r="H685" s="7" t="n">
        <v>2</v>
      </c>
      <c r="I685" s="7" t="n">
        <v>0</v>
      </c>
      <c r="J685" s="7" t="n">
        <v>0</v>
      </c>
      <c r="K685" s="7" t="n">
        <v>2</v>
      </c>
      <c r="L685" s="7" t="n">
        <v>8</v>
      </c>
      <c r="M685" s="7" t="n">
        <v>4</v>
      </c>
      <c r="N685" s="7" t="n">
        <v>3</v>
      </c>
      <c r="O685" s="7" t="n">
        <v>1</v>
      </c>
      <c r="P685" s="8" t="n">
        <f aca="false">IF(E685=0,0,G685/E685)</f>
        <v>0.375</v>
      </c>
      <c r="Q685" s="8" t="n">
        <f aca="false">IF(E685+N685=0,0,(G685+N685)/(E685+N685))</f>
        <v>0.473684210526316</v>
      </c>
      <c r="R685" s="8" t="n">
        <f aca="false">IF(E685=0,0,L685/E685)</f>
        <v>0.5</v>
      </c>
      <c r="S685" s="8" t="n">
        <f aca="false">R685+Q685</f>
        <v>0.973684210526316</v>
      </c>
      <c r="T685" s="8" t="n">
        <f aca="false">R685-P685</f>
        <v>0.125</v>
      </c>
    </row>
    <row r="686" customFormat="false" ht="14.25" hidden="false" customHeight="true" outlineLevel="0" collapsed="false">
      <c r="A686" s="6" t="n">
        <v>2023</v>
      </c>
      <c r="B686" s="6" t="s">
        <v>192</v>
      </c>
      <c r="C686" s="6" t="s">
        <v>202</v>
      </c>
      <c r="D686" s="7" t="n">
        <v>10</v>
      </c>
      <c r="E686" s="7" t="n">
        <v>24</v>
      </c>
      <c r="F686" s="7" t="n">
        <v>2</v>
      </c>
      <c r="G686" s="7" t="n">
        <v>4</v>
      </c>
      <c r="H686" s="7" t="n">
        <v>1</v>
      </c>
      <c r="I686" s="7" t="n">
        <v>0</v>
      </c>
      <c r="J686" s="7" t="n">
        <v>1</v>
      </c>
      <c r="K686" s="7" t="n">
        <v>2</v>
      </c>
      <c r="L686" s="7" t="n">
        <v>8</v>
      </c>
      <c r="M686" s="7" t="n">
        <v>3</v>
      </c>
      <c r="N686" s="7" t="n">
        <v>3</v>
      </c>
      <c r="O686" s="7" t="n">
        <v>1</v>
      </c>
      <c r="P686" s="8" t="n">
        <f aca="false">IF(E686=0,0,G686/E686)</f>
        <v>0.166666666666667</v>
      </c>
      <c r="Q686" s="8" t="n">
        <f aca="false">IF(E686+N686=0,0,(G686+N686)/(E686+N686))</f>
        <v>0.259259259259259</v>
      </c>
      <c r="R686" s="8" t="n">
        <f aca="false">IF(E686=0,0,L686/E686)</f>
        <v>0.333333333333333</v>
      </c>
      <c r="S686" s="8" t="n">
        <f aca="false">R686+Q686</f>
        <v>0.592592592592593</v>
      </c>
      <c r="T686" s="8" t="n">
        <f aca="false">R686-P686</f>
        <v>0.166666666666667</v>
      </c>
    </row>
    <row r="687" customFormat="false" ht="14.25" hidden="false" customHeight="true" outlineLevel="0" collapsed="false">
      <c r="A687" s="6" t="n">
        <v>2023</v>
      </c>
      <c r="B687" s="6" t="s">
        <v>192</v>
      </c>
      <c r="C687" s="6" t="s">
        <v>199</v>
      </c>
      <c r="D687" s="7" t="n">
        <v>4</v>
      </c>
      <c r="E687" s="7" t="n">
        <v>10</v>
      </c>
      <c r="F687" s="7" t="n">
        <v>1</v>
      </c>
      <c r="G687" s="7" t="n">
        <v>2</v>
      </c>
      <c r="H687" s="7" t="n">
        <v>0</v>
      </c>
      <c r="I687" s="7" t="n">
        <v>0</v>
      </c>
      <c r="J687" s="7" t="n">
        <v>0</v>
      </c>
      <c r="K687" s="7" t="n">
        <v>0</v>
      </c>
      <c r="L687" s="7" t="n">
        <v>2</v>
      </c>
      <c r="M687" s="7" t="n">
        <v>1</v>
      </c>
      <c r="N687" s="7" t="n">
        <v>3</v>
      </c>
      <c r="O687" s="7" t="n">
        <v>0</v>
      </c>
      <c r="P687" s="8" t="n">
        <f aca="false">IF(E687=0,0,G687/E687)</f>
        <v>0.2</v>
      </c>
      <c r="Q687" s="8" t="n">
        <f aca="false">IF(E687+N687=0,0,(G687+N687)/(E687+N687))</f>
        <v>0.384615384615385</v>
      </c>
      <c r="R687" s="8" t="n">
        <f aca="false">IF(E687=0,0,L687/E687)</f>
        <v>0.2</v>
      </c>
      <c r="S687" s="8" t="n">
        <f aca="false">R687+Q687</f>
        <v>0.584615384615385</v>
      </c>
      <c r="T687" s="8" t="n">
        <f aca="false">R687-P687</f>
        <v>0</v>
      </c>
    </row>
    <row r="688" customFormat="false" ht="14.25" hidden="false" customHeight="true" outlineLevel="0" collapsed="false">
      <c r="A688" s="6" t="n">
        <v>2023</v>
      </c>
      <c r="B688" s="6" t="s">
        <v>192</v>
      </c>
      <c r="C688" s="6" t="s">
        <v>204</v>
      </c>
      <c r="D688" s="7" t="n">
        <v>1</v>
      </c>
      <c r="E688" s="7" t="n">
        <v>2</v>
      </c>
      <c r="F688" s="7" t="n">
        <v>0</v>
      </c>
      <c r="G688" s="7" t="n">
        <v>1</v>
      </c>
      <c r="H688" s="7" t="n">
        <v>1</v>
      </c>
      <c r="I688" s="7" t="n">
        <v>0</v>
      </c>
      <c r="J688" s="7" t="n">
        <v>0</v>
      </c>
      <c r="K688" s="7" t="n">
        <v>1</v>
      </c>
      <c r="L688" s="7" t="n">
        <v>2</v>
      </c>
      <c r="M688" s="7" t="n">
        <v>1</v>
      </c>
      <c r="N688" s="7" t="n">
        <v>1</v>
      </c>
      <c r="O688" s="7" t="n">
        <v>0</v>
      </c>
      <c r="P688" s="8" t="n">
        <f aca="false">IF(E688=0,0,G688/E688)</f>
        <v>0.5</v>
      </c>
      <c r="Q688" s="8" t="n">
        <f aca="false">IF(E688+N688=0,0,(G688+N688)/(E688+N688))</f>
        <v>0.666666666666667</v>
      </c>
      <c r="R688" s="8" t="n">
        <f aca="false">IF(E688=0,0,L688/E688)</f>
        <v>1</v>
      </c>
      <c r="S688" s="8" t="n">
        <f aca="false">R688+Q688</f>
        <v>1.66666666666667</v>
      </c>
      <c r="T688" s="8" t="n">
        <f aca="false">R688-P688</f>
        <v>0.5</v>
      </c>
    </row>
    <row r="689" customFormat="false" ht="14.25" hidden="false" customHeight="true" outlineLevel="0" collapsed="false">
      <c r="A689" s="6" t="n">
        <v>2023</v>
      </c>
      <c r="B689" s="6" t="s">
        <v>192</v>
      </c>
      <c r="C689" s="6" t="s">
        <v>307</v>
      </c>
      <c r="D689" s="7" t="n">
        <v>1</v>
      </c>
      <c r="E689" s="7" t="n">
        <v>4</v>
      </c>
      <c r="F689" s="7" t="n">
        <v>1</v>
      </c>
      <c r="G689" s="7" t="n">
        <v>1</v>
      </c>
      <c r="H689" s="7" t="n">
        <v>0</v>
      </c>
      <c r="I689" s="7" t="n">
        <v>0</v>
      </c>
      <c r="J689" s="7" t="n">
        <v>0</v>
      </c>
      <c r="K689" s="7" t="n">
        <v>0</v>
      </c>
      <c r="L689" s="7" t="n">
        <v>1</v>
      </c>
      <c r="M689" s="7" t="n">
        <v>0</v>
      </c>
      <c r="N689" s="7" t="n">
        <v>1</v>
      </c>
      <c r="O689" s="7" t="n">
        <v>0</v>
      </c>
      <c r="P689" s="8" t="n">
        <f aca="false">IF(E689=0,0,G689/E689)</f>
        <v>0.25</v>
      </c>
      <c r="Q689" s="8" t="n">
        <f aca="false">IF(E689+N689=0,0,(G689+N689)/(E689+N689))</f>
        <v>0.4</v>
      </c>
      <c r="R689" s="8" t="n">
        <f aca="false">IF(E689=0,0,L689/E689)</f>
        <v>0.25</v>
      </c>
      <c r="S689" s="8" t="n">
        <f aca="false">R689+Q689</f>
        <v>0.65</v>
      </c>
      <c r="T689" s="8" t="n">
        <f aca="false">R689-P689</f>
        <v>0</v>
      </c>
    </row>
    <row r="690" customFormat="false" ht="14.25" hidden="false" customHeight="true" outlineLevel="0" collapsed="false">
      <c r="A690" s="6" t="n">
        <v>2023</v>
      </c>
      <c r="B690" s="6" t="s">
        <v>192</v>
      </c>
      <c r="C690" s="6" t="s">
        <v>355</v>
      </c>
      <c r="D690" s="7" t="n">
        <v>1</v>
      </c>
      <c r="E690" s="7" t="n">
        <v>3</v>
      </c>
      <c r="F690" s="7" t="n">
        <v>0</v>
      </c>
      <c r="G690" s="7" t="n">
        <v>1</v>
      </c>
      <c r="H690" s="7" t="n">
        <v>0</v>
      </c>
      <c r="I690" s="7" t="n">
        <v>0</v>
      </c>
      <c r="J690" s="7" t="n">
        <v>0</v>
      </c>
      <c r="K690" s="7" t="n">
        <v>0</v>
      </c>
      <c r="L690" s="7" t="n">
        <v>1</v>
      </c>
      <c r="M690" s="7" t="n">
        <v>0</v>
      </c>
      <c r="N690" s="7" t="n">
        <v>0</v>
      </c>
      <c r="O690" s="7" t="n">
        <v>0</v>
      </c>
      <c r="P690" s="8" t="n">
        <f aca="false">IF(E690=0,0,G690/E690)</f>
        <v>0.333333333333333</v>
      </c>
      <c r="Q690" s="8" t="n">
        <f aca="false">IF(E690+N690=0,0,(G690+N690)/(E690+N690))</f>
        <v>0.333333333333333</v>
      </c>
      <c r="R690" s="8" t="n">
        <f aca="false">IF(E690=0,0,L690/E690)</f>
        <v>0.333333333333333</v>
      </c>
      <c r="S690" s="8" t="n">
        <f aca="false">R690+Q690</f>
        <v>0.666666666666667</v>
      </c>
      <c r="T690" s="8" t="n">
        <f aca="false">R690-P690</f>
        <v>0</v>
      </c>
    </row>
    <row r="691" customFormat="false" ht="14.25" hidden="false" customHeight="true" outlineLevel="0" collapsed="false">
      <c r="A691" s="6" t="n">
        <v>2023</v>
      </c>
      <c r="B691" s="6" t="s">
        <v>192</v>
      </c>
      <c r="C691" s="6" t="s">
        <v>312</v>
      </c>
      <c r="D691" s="7" t="n">
        <v>2</v>
      </c>
      <c r="E691" s="7" t="n">
        <v>8</v>
      </c>
      <c r="F691" s="7" t="n">
        <v>0</v>
      </c>
      <c r="G691" s="7" t="n">
        <v>1</v>
      </c>
      <c r="H691" s="7" t="n">
        <v>0</v>
      </c>
      <c r="I691" s="7" t="n">
        <v>0</v>
      </c>
      <c r="J691" s="7" t="n">
        <v>0</v>
      </c>
      <c r="K691" s="7" t="n">
        <v>0</v>
      </c>
      <c r="L691" s="7" t="n">
        <v>1</v>
      </c>
      <c r="M691" s="7" t="n">
        <v>0</v>
      </c>
      <c r="N691" s="7" t="n">
        <v>0</v>
      </c>
      <c r="O691" s="7" t="n">
        <v>0</v>
      </c>
      <c r="P691" s="8" t="n">
        <f aca="false">IF(E691=0,0,G691/E691)</f>
        <v>0.125</v>
      </c>
      <c r="Q691" s="8" t="n">
        <f aca="false">IF(E691+N691=0,0,(G691+N691)/(E691+N691))</f>
        <v>0.125</v>
      </c>
      <c r="R691" s="8" t="n">
        <f aca="false">IF(E691=0,0,L691/E691)</f>
        <v>0.125</v>
      </c>
      <c r="S691" s="8" t="n">
        <f aca="false">R691+Q691</f>
        <v>0.25</v>
      </c>
      <c r="T691" s="8" t="n">
        <f aca="false">R691-P691</f>
        <v>0</v>
      </c>
    </row>
    <row r="692" customFormat="false" ht="14.25" hidden="false" customHeight="true" outlineLevel="0" collapsed="false">
      <c r="A692" s="6" t="n">
        <v>2023</v>
      </c>
      <c r="B692" s="6" t="s">
        <v>192</v>
      </c>
      <c r="C692" s="6" t="s">
        <v>309</v>
      </c>
      <c r="D692" s="7" t="n">
        <v>4</v>
      </c>
      <c r="E692" s="7" t="n">
        <v>10</v>
      </c>
      <c r="F692" s="7" t="n">
        <v>1</v>
      </c>
      <c r="G692" s="7" t="n">
        <v>0</v>
      </c>
      <c r="H692" s="7" t="n">
        <v>0</v>
      </c>
      <c r="I692" s="7" t="n">
        <v>0</v>
      </c>
      <c r="J692" s="7" t="n">
        <v>0</v>
      </c>
      <c r="K692" s="7" t="n">
        <v>0</v>
      </c>
      <c r="L692" s="7" t="n">
        <v>0</v>
      </c>
      <c r="M692" s="7" t="n">
        <v>1</v>
      </c>
      <c r="N692" s="7" t="n">
        <v>1</v>
      </c>
      <c r="O692" s="7" t="n">
        <v>1</v>
      </c>
      <c r="P692" s="8" t="n">
        <f aca="false">IF(E692=0,0,G692/E692)</f>
        <v>0</v>
      </c>
      <c r="Q692" s="8" t="n">
        <f aca="false">IF(E692+N692=0,0,(G692+N692)/(E692+N692))</f>
        <v>0.0909090909090909</v>
      </c>
      <c r="R692" s="8" t="n">
        <f aca="false">IF(E692=0,0,L692/E692)</f>
        <v>0</v>
      </c>
      <c r="S692" s="8" t="n">
        <f aca="false">R692+Q692</f>
        <v>0.0909090909090909</v>
      </c>
      <c r="T692" s="8" t="n">
        <f aca="false">R692-P692</f>
        <v>0</v>
      </c>
    </row>
    <row r="693" customFormat="false" ht="14.25" hidden="false" customHeight="true" outlineLevel="0" collapsed="false">
      <c r="A693" s="6" t="n">
        <v>2023</v>
      </c>
      <c r="B693" s="6" t="s">
        <v>192</v>
      </c>
      <c r="C693" s="6" t="s">
        <v>308</v>
      </c>
      <c r="D693" s="7" t="n">
        <v>2</v>
      </c>
      <c r="E693" s="7" t="n">
        <v>2</v>
      </c>
      <c r="F693" s="7" t="n">
        <v>0</v>
      </c>
      <c r="G693" s="7" t="n">
        <v>0</v>
      </c>
      <c r="H693" s="7" t="n">
        <v>0</v>
      </c>
      <c r="I693" s="7" t="n">
        <v>0</v>
      </c>
      <c r="J693" s="7" t="n">
        <v>0</v>
      </c>
      <c r="K693" s="7" t="n">
        <v>0</v>
      </c>
      <c r="L693" s="7" t="n">
        <v>0</v>
      </c>
      <c r="M693" s="7" t="n">
        <v>0</v>
      </c>
      <c r="N693" s="7" t="n">
        <v>0</v>
      </c>
      <c r="O693" s="7" t="n">
        <v>0</v>
      </c>
      <c r="P693" s="8" t="n">
        <f aca="false">IF(E693=0,0,G693/E693)</f>
        <v>0</v>
      </c>
      <c r="Q693" s="8" t="n">
        <f aca="false">IF(E693+N693=0,0,(G693+N693)/(E693+N693))</f>
        <v>0</v>
      </c>
      <c r="R693" s="8" t="n">
        <f aca="false">IF(E693=0,0,L693/E693)</f>
        <v>0</v>
      </c>
      <c r="S693" s="8" t="n">
        <f aca="false">R693+Q693</f>
        <v>0</v>
      </c>
      <c r="T693" s="8" t="n">
        <f aca="false">R693-P693</f>
        <v>0</v>
      </c>
    </row>
    <row r="694" customFormat="false" ht="14.25" hidden="false" customHeight="true" outlineLevel="0" collapsed="false">
      <c r="A694" s="6" t="n">
        <v>2023</v>
      </c>
      <c r="B694" s="6" t="s">
        <v>192</v>
      </c>
      <c r="C694" s="6" t="s">
        <v>356</v>
      </c>
      <c r="D694" s="7" t="n">
        <v>1</v>
      </c>
      <c r="E694" s="7" t="n">
        <v>2</v>
      </c>
      <c r="F694" s="7" t="n">
        <v>0</v>
      </c>
      <c r="G694" s="7" t="n">
        <v>0</v>
      </c>
      <c r="H694" s="7" t="n">
        <v>0</v>
      </c>
      <c r="I694" s="7" t="n">
        <v>0</v>
      </c>
      <c r="J694" s="7" t="n">
        <v>0</v>
      </c>
      <c r="K694" s="7" t="n">
        <v>0</v>
      </c>
      <c r="L694" s="7" t="n">
        <v>0</v>
      </c>
      <c r="M694" s="7" t="n">
        <v>0</v>
      </c>
      <c r="N694" s="7" t="n">
        <v>0</v>
      </c>
      <c r="O694" s="7" t="n">
        <v>0</v>
      </c>
      <c r="P694" s="8" t="n">
        <f aca="false">IF(E694=0,0,G694/E694)</f>
        <v>0</v>
      </c>
      <c r="Q694" s="8" t="n">
        <f aca="false">IF(E694+N694=0,0,(G694+N694)/(E694+N694))</f>
        <v>0</v>
      </c>
      <c r="R694" s="8" t="n">
        <f aca="false">IF(E694=0,0,L694/E694)</f>
        <v>0</v>
      </c>
      <c r="S694" s="8" t="n">
        <f aca="false">R694+Q694</f>
        <v>0</v>
      </c>
      <c r="T694" s="8" t="n">
        <f aca="false">R694-P694</f>
        <v>0</v>
      </c>
    </row>
    <row r="695" customFormat="false" ht="14.25" hidden="false" customHeight="true" outlineLevel="0" collapsed="false">
      <c r="A695" s="6" t="n">
        <v>2023</v>
      </c>
      <c r="B695" s="6" t="s">
        <v>192</v>
      </c>
      <c r="C695" s="6" t="s">
        <v>357</v>
      </c>
      <c r="D695" s="7" t="n">
        <v>1</v>
      </c>
      <c r="E695" s="7" t="n">
        <v>1</v>
      </c>
      <c r="F695" s="7" t="n">
        <v>0</v>
      </c>
      <c r="G695" s="7" t="n">
        <v>0</v>
      </c>
      <c r="H695" s="7" t="n">
        <v>0</v>
      </c>
      <c r="I695" s="7" t="n">
        <v>0</v>
      </c>
      <c r="J695" s="7" t="n">
        <v>0</v>
      </c>
      <c r="K695" s="7" t="n">
        <v>0</v>
      </c>
      <c r="L695" s="7" t="n">
        <v>0</v>
      </c>
      <c r="M695" s="7" t="n">
        <v>0</v>
      </c>
      <c r="N695" s="7" t="n">
        <v>0</v>
      </c>
      <c r="O695" s="7" t="n">
        <v>0</v>
      </c>
      <c r="P695" s="8" t="n">
        <f aca="false">IF(E695=0,0,G695/E695)</f>
        <v>0</v>
      </c>
      <c r="Q695" s="8" t="n">
        <f aca="false">IF(E695+N695=0,0,(G695+N695)/(E695+N695))</f>
        <v>0</v>
      </c>
      <c r="R695" s="8" t="n">
        <f aca="false">IF(E695=0,0,L695/E695)</f>
        <v>0</v>
      </c>
      <c r="S695" s="8" t="n">
        <f aca="false">R695+Q695</f>
        <v>0</v>
      </c>
      <c r="T695" s="8" t="n">
        <f aca="false">R695-P695</f>
        <v>0</v>
      </c>
    </row>
    <row r="696" customFormat="false" ht="14.25" hidden="false" customHeight="true" outlineLevel="0" collapsed="false">
      <c r="A696" s="6" t="n">
        <v>2023</v>
      </c>
      <c r="B696" s="6" t="s">
        <v>192</v>
      </c>
      <c r="C696" s="6" t="s">
        <v>358</v>
      </c>
      <c r="D696" s="7" t="n">
        <v>1</v>
      </c>
      <c r="E696" s="7" t="n">
        <v>1</v>
      </c>
      <c r="F696" s="7" t="n">
        <v>0</v>
      </c>
      <c r="G696" s="7" t="n">
        <v>0</v>
      </c>
      <c r="H696" s="7" t="n">
        <v>0</v>
      </c>
      <c r="I696" s="7" t="n">
        <v>0</v>
      </c>
      <c r="J696" s="7" t="n">
        <v>0</v>
      </c>
      <c r="K696" s="7" t="n">
        <v>0</v>
      </c>
      <c r="L696" s="7" t="n">
        <v>0</v>
      </c>
      <c r="M696" s="7" t="n">
        <v>0</v>
      </c>
      <c r="N696" s="7" t="n">
        <v>0</v>
      </c>
      <c r="O696" s="7" t="n">
        <v>0</v>
      </c>
      <c r="P696" s="8" t="n">
        <f aca="false">IF(E696=0,0,G696/E696)</f>
        <v>0</v>
      </c>
      <c r="Q696" s="8" t="n">
        <f aca="false">IF(E696+N696=0,0,(G696+N696)/(E696+N696))</f>
        <v>0</v>
      </c>
      <c r="R696" s="8" t="n">
        <f aca="false">IF(E696=0,0,L696/E696)</f>
        <v>0</v>
      </c>
      <c r="S696" s="8" t="n">
        <f aca="false">R696+Q696</f>
        <v>0</v>
      </c>
      <c r="T696" s="8" t="n">
        <f aca="false">R696-P696</f>
        <v>0</v>
      </c>
    </row>
    <row r="697" customFormat="false" ht="14.25" hidden="false" customHeight="true" outlineLevel="0" collapsed="false">
      <c r="A697" s="6" t="n">
        <v>2023</v>
      </c>
      <c r="B697" s="6" t="s">
        <v>212</v>
      </c>
      <c r="C697" s="6" t="s">
        <v>213</v>
      </c>
      <c r="D697" s="7" t="n">
        <v>11</v>
      </c>
      <c r="E697" s="7" t="n">
        <v>32</v>
      </c>
      <c r="F697" s="7" t="n">
        <v>11</v>
      </c>
      <c r="G697" s="7" t="n">
        <v>14</v>
      </c>
      <c r="H697" s="7" t="n">
        <v>2</v>
      </c>
      <c r="I697" s="7" t="n">
        <v>1</v>
      </c>
      <c r="J697" s="7" t="n">
        <v>1</v>
      </c>
      <c r="K697" s="7" t="n">
        <v>4</v>
      </c>
      <c r="L697" s="7" t="n">
        <v>21</v>
      </c>
      <c r="M697" s="7" t="n">
        <v>7</v>
      </c>
      <c r="N697" s="7" t="n">
        <v>5</v>
      </c>
      <c r="O697" s="7" t="n">
        <v>1</v>
      </c>
      <c r="P697" s="8" t="n">
        <f aca="false">IF(E697=0,0,G697/E697)</f>
        <v>0.4375</v>
      </c>
      <c r="Q697" s="8" t="n">
        <f aca="false">IF(E697+N697=0,0,(G697+N697)/(E697+N697))</f>
        <v>0.513513513513514</v>
      </c>
      <c r="R697" s="8" t="n">
        <f aca="false">IF(E697=0,0,L697/E697)</f>
        <v>0.65625</v>
      </c>
      <c r="S697" s="8" t="n">
        <f aca="false">R697+Q697</f>
        <v>1.16976351351351</v>
      </c>
      <c r="T697" s="8" t="n">
        <f aca="false">R697-P697</f>
        <v>0.21875</v>
      </c>
    </row>
    <row r="698" customFormat="false" ht="14.25" hidden="false" customHeight="true" outlineLevel="0" collapsed="false">
      <c r="A698" s="6" t="n">
        <v>2023</v>
      </c>
      <c r="B698" s="6" t="s">
        <v>212</v>
      </c>
      <c r="C698" s="6" t="s">
        <v>85</v>
      </c>
      <c r="D698" s="7" t="n">
        <v>10</v>
      </c>
      <c r="E698" s="7" t="n">
        <v>29</v>
      </c>
      <c r="F698" s="7" t="n">
        <v>6</v>
      </c>
      <c r="G698" s="7" t="n">
        <v>12</v>
      </c>
      <c r="H698" s="7" t="n">
        <v>1</v>
      </c>
      <c r="I698" s="7" t="n">
        <v>0</v>
      </c>
      <c r="J698" s="7" t="n">
        <v>2</v>
      </c>
      <c r="K698" s="7" t="n">
        <v>3</v>
      </c>
      <c r="L698" s="7" t="n">
        <v>19</v>
      </c>
      <c r="M698" s="7" t="n">
        <v>11</v>
      </c>
      <c r="N698" s="7" t="n">
        <v>0</v>
      </c>
      <c r="O698" s="7" t="n">
        <v>1</v>
      </c>
      <c r="P698" s="8" t="n">
        <f aca="false">IF(E698=0,0,G698/E698)</f>
        <v>0.413793103448276</v>
      </c>
      <c r="Q698" s="8" t="n">
        <f aca="false">IF(E698+N698=0,0,(G698+N698)/(E698+N698))</f>
        <v>0.413793103448276</v>
      </c>
      <c r="R698" s="8" t="n">
        <f aca="false">IF(E698=0,0,L698/E698)</f>
        <v>0.655172413793103</v>
      </c>
      <c r="S698" s="8" t="n">
        <f aca="false">R698+Q698</f>
        <v>1.06896551724138</v>
      </c>
      <c r="T698" s="8" t="n">
        <f aca="false">R698-P698</f>
        <v>0.241379310344828</v>
      </c>
    </row>
    <row r="699" customFormat="false" ht="14.25" hidden="false" customHeight="true" outlineLevel="0" collapsed="false">
      <c r="A699" s="6" t="n">
        <v>2023</v>
      </c>
      <c r="B699" s="6" t="s">
        <v>212</v>
      </c>
      <c r="C699" s="6" t="s">
        <v>214</v>
      </c>
      <c r="D699" s="7" t="n">
        <v>12</v>
      </c>
      <c r="E699" s="7" t="n">
        <v>33</v>
      </c>
      <c r="F699" s="7" t="n">
        <v>9</v>
      </c>
      <c r="G699" s="7" t="n">
        <v>10</v>
      </c>
      <c r="H699" s="7" t="n">
        <v>3</v>
      </c>
      <c r="I699" s="7" t="n">
        <v>0</v>
      </c>
      <c r="J699" s="7" t="n">
        <v>0</v>
      </c>
      <c r="K699" s="7" t="n">
        <v>3</v>
      </c>
      <c r="L699" s="7" t="n">
        <v>13</v>
      </c>
      <c r="M699" s="7" t="n">
        <v>1</v>
      </c>
      <c r="N699" s="7" t="n">
        <v>8</v>
      </c>
      <c r="O699" s="7" t="n">
        <v>6</v>
      </c>
      <c r="P699" s="8" t="n">
        <f aca="false">IF(E699=0,0,G699/E699)</f>
        <v>0.303030303030303</v>
      </c>
      <c r="Q699" s="8" t="n">
        <f aca="false">IF(E699+N699=0,0,(G699+N699)/(E699+N699))</f>
        <v>0.439024390243902</v>
      </c>
      <c r="R699" s="8" t="n">
        <f aca="false">IF(E699=0,0,L699/E699)</f>
        <v>0.393939393939394</v>
      </c>
      <c r="S699" s="8" t="n">
        <f aca="false">R699+Q699</f>
        <v>0.832963784183296</v>
      </c>
      <c r="T699" s="8" t="n">
        <f aca="false">R699-P699</f>
        <v>0.0909090909090909</v>
      </c>
    </row>
    <row r="700" customFormat="false" ht="14.25" hidden="false" customHeight="true" outlineLevel="0" collapsed="false">
      <c r="A700" s="6" t="n">
        <v>2023</v>
      </c>
      <c r="B700" s="6" t="s">
        <v>212</v>
      </c>
      <c r="C700" s="6" t="s">
        <v>215</v>
      </c>
      <c r="D700" s="7" t="n">
        <v>9</v>
      </c>
      <c r="E700" s="7" t="n">
        <v>27</v>
      </c>
      <c r="F700" s="7" t="n">
        <v>6</v>
      </c>
      <c r="G700" s="7" t="n">
        <v>8</v>
      </c>
      <c r="H700" s="7" t="n">
        <v>1</v>
      </c>
      <c r="I700" s="7" t="n">
        <v>0</v>
      </c>
      <c r="J700" s="7" t="n">
        <v>5</v>
      </c>
      <c r="K700" s="7" t="n">
        <v>6</v>
      </c>
      <c r="L700" s="7" t="n">
        <v>24</v>
      </c>
      <c r="M700" s="7" t="n">
        <v>9</v>
      </c>
      <c r="N700" s="7" t="n">
        <v>1</v>
      </c>
      <c r="O700" s="7" t="n">
        <v>3</v>
      </c>
      <c r="P700" s="8" t="n">
        <f aca="false">IF(E700=0,0,G700/E700)</f>
        <v>0.296296296296296</v>
      </c>
      <c r="Q700" s="8" t="n">
        <f aca="false">IF(E700+N700=0,0,(G700+N700)/(E700+N700))</f>
        <v>0.321428571428571</v>
      </c>
      <c r="R700" s="8" t="n">
        <f aca="false">IF(E700=0,0,L700/E700)</f>
        <v>0.888888888888889</v>
      </c>
      <c r="S700" s="8" t="n">
        <f aca="false">R700+Q700</f>
        <v>1.21031746031746</v>
      </c>
      <c r="T700" s="8" t="n">
        <f aca="false">R700-P700</f>
        <v>0.592592592592593</v>
      </c>
    </row>
    <row r="701" customFormat="false" ht="14.25" hidden="false" customHeight="true" outlineLevel="0" collapsed="false">
      <c r="A701" s="6" t="n">
        <v>2023</v>
      </c>
      <c r="B701" s="6" t="s">
        <v>212</v>
      </c>
      <c r="C701" s="6" t="s">
        <v>232</v>
      </c>
      <c r="D701" s="7" t="n">
        <v>10</v>
      </c>
      <c r="E701" s="7" t="n">
        <v>29</v>
      </c>
      <c r="F701" s="7" t="n">
        <v>9</v>
      </c>
      <c r="G701" s="7" t="n">
        <v>7</v>
      </c>
      <c r="H701" s="7" t="n">
        <v>2</v>
      </c>
      <c r="I701" s="7" t="n">
        <v>1</v>
      </c>
      <c r="J701" s="7" t="n">
        <v>1</v>
      </c>
      <c r="K701" s="7" t="n">
        <v>4</v>
      </c>
      <c r="L701" s="7" t="n">
        <v>14</v>
      </c>
      <c r="M701" s="7" t="n">
        <v>6</v>
      </c>
      <c r="N701" s="7" t="n">
        <v>6</v>
      </c>
      <c r="O701" s="7" t="n">
        <v>4</v>
      </c>
      <c r="P701" s="8" t="n">
        <f aca="false">IF(E701=0,0,G701/E701)</f>
        <v>0.241379310344828</v>
      </c>
      <c r="Q701" s="8" t="n">
        <f aca="false">IF(E701+N701=0,0,(G701+N701)/(E701+N701))</f>
        <v>0.371428571428571</v>
      </c>
      <c r="R701" s="8" t="n">
        <f aca="false">IF(E701=0,0,L701/E701)</f>
        <v>0.482758620689655</v>
      </c>
      <c r="S701" s="8" t="n">
        <f aca="false">R701+Q701</f>
        <v>0.854187192118227</v>
      </c>
      <c r="T701" s="8" t="n">
        <f aca="false">R701-P701</f>
        <v>0.241379310344828</v>
      </c>
    </row>
    <row r="702" customFormat="false" ht="14.25" hidden="false" customHeight="true" outlineLevel="0" collapsed="false">
      <c r="A702" s="6" t="n">
        <v>2023</v>
      </c>
      <c r="B702" s="6" t="s">
        <v>212</v>
      </c>
      <c r="C702" s="6" t="s">
        <v>231</v>
      </c>
      <c r="D702" s="7" t="n">
        <v>8</v>
      </c>
      <c r="E702" s="7" t="n">
        <v>22</v>
      </c>
      <c r="F702" s="7" t="n">
        <v>3</v>
      </c>
      <c r="G702" s="7" t="n">
        <v>6</v>
      </c>
      <c r="H702" s="7" t="n">
        <v>1</v>
      </c>
      <c r="I702" s="7" t="n">
        <v>0</v>
      </c>
      <c r="J702" s="7" t="n">
        <v>0</v>
      </c>
      <c r="K702" s="7" t="n">
        <v>1</v>
      </c>
      <c r="L702" s="7" t="n">
        <v>7</v>
      </c>
      <c r="M702" s="7" t="n">
        <v>1</v>
      </c>
      <c r="N702" s="7" t="n">
        <v>1</v>
      </c>
      <c r="O702" s="7" t="n">
        <v>3</v>
      </c>
      <c r="P702" s="8" t="n">
        <f aca="false">IF(E702=0,0,G702/E702)</f>
        <v>0.272727272727273</v>
      </c>
      <c r="Q702" s="8" t="n">
        <f aca="false">IF(E702+N702=0,0,(G702+N702)/(E702+N702))</f>
        <v>0.304347826086957</v>
      </c>
      <c r="R702" s="8" t="n">
        <f aca="false">IF(E702=0,0,L702/E702)</f>
        <v>0.318181818181818</v>
      </c>
      <c r="S702" s="8" t="n">
        <f aca="false">R702+Q702</f>
        <v>0.622529644268775</v>
      </c>
      <c r="T702" s="8" t="n">
        <f aca="false">R702-P702</f>
        <v>0.0454545454545455</v>
      </c>
    </row>
    <row r="703" customFormat="false" ht="14.25" hidden="false" customHeight="true" outlineLevel="0" collapsed="false">
      <c r="A703" s="6" t="n">
        <v>2023</v>
      </c>
      <c r="B703" s="6" t="s">
        <v>212</v>
      </c>
      <c r="C703" s="6" t="s">
        <v>217</v>
      </c>
      <c r="D703" s="7" t="n">
        <v>7</v>
      </c>
      <c r="E703" s="7" t="n">
        <v>15</v>
      </c>
      <c r="F703" s="7" t="n">
        <v>3</v>
      </c>
      <c r="G703" s="7" t="n">
        <v>3</v>
      </c>
      <c r="H703" s="7" t="n">
        <v>0</v>
      </c>
      <c r="I703" s="7" t="n">
        <v>0</v>
      </c>
      <c r="J703" s="7" t="n">
        <v>1</v>
      </c>
      <c r="K703" s="7" t="n">
        <v>1</v>
      </c>
      <c r="L703" s="7" t="n">
        <v>6</v>
      </c>
      <c r="M703" s="7" t="n">
        <v>4</v>
      </c>
      <c r="N703" s="7" t="n">
        <v>0</v>
      </c>
      <c r="O703" s="7" t="n">
        <v>2</v>
      </c>
      <c r="P703" s="8" t="n">
        <f aca="false">IF(E703=0,0,G703/E703)</f>
        <v>0.2</v>
      </c>
      <c r="Q703" s="8" t="n">
        <f aca="false">IF(E703+N703=0,0,(G703+N703)/(E703+N703))</f>
        <v>0.2</v>
      </c>
      <c r="R703" s="8" t="n">
        <f aca="false">IF(E703=0,0,L703/E703)</f>
        <v>0.4</v>
      </c>
      <c r="S703" s="8" t="n">
        <f aca="false">R703+Q703</f>
        <v>0.6</v>
      </c>
      <c r="T703" s="8" t="n">
        <f aca="false">R703-P703</f>
        <v>0.2</v>
      </c>
    </row>
    <row r="704" customFormat="false" ht="14.25" hidden="false" customHeight="true" outlineLevel="0" collapsed="false">
      <c r="A704" s="6" t="n">
        <v>2023</v>
      </c>
      <c r="B704" s="6" t="s">
        <v>212</v>
      </c>
      <c r="C704" s="6" t="s">
        <v>225</v>
      </c>
      <c r="D704" s="7" t="n">
        <v>8</v>
      </c>
      <c r="E704" s="7" t="n">
        <v>19</v>
      </c>
      <c r="F704" s="7" t="n">
        <v>2</v>
      </c>
      <c r="G704" s="7" t="n">
        <v>3</v>
      </c>
      <c r="H704" s="7" t="n">
        <v>1</v>
      </c>
      <c r="I704" s="7" t="n">
        <v>0</v>
      </c>
      <c r="J704" s="7" t="n">
        <v>0</v>
      </c>
      <c r="K704" s="7" t="n">
        <v>1</v>
      </c>
      <c r="L704" s="7" t="n">
        <v>4</v>
      </c>
      <c r="M704" s="7" t="n">
        <v>2</v>
      </c>
      <c r="N704" s="7" t="n">
        <v>1</v>
      </c>
      <c r="O704" s="7" t="n">
        <v>6</v>
      </c>
      <c r="P704" s="8" t="n">
        <f aca="false">IF(E704=0,0,G704/E704)</f>
        <v>0.157894736842105</v>
      </c>
      <c r="Q704" s="8" t="n">
        <f aca="false">IF(E704+N704=0,0,(G704+N704)/(E704+N704))</f>
        <v>0.2</v>
      </c>
      <c r="R704" s="8" t="n">
        <f aca="false">IF(E704=0,0,L704/E704)</f>
        <v>0.210526315789474</v>
      </c>
      <c r="S704" s="8" t="n">
        <f aca="false">R704+Q704</f>
        <v>0.410526315789474</v>
      </c>
      <c r="T704" s="8" t="n">
        <f aca="false">R704-P704</f>
        <v>0.0526315789473684</v>
      </c>
    </row>
    <row r="705" customFormat="false" ht="14.25" hidden="false" customHeight="true" outlineLevel="0" collapsed="false">
      <c r="A705" s="6" t="n">
        <v>2023</v>
      </c>
      <c r="B705" s="6" t="s">
        <v>212</v>
      </c>
      <c r="C705" s="6" t="s">
        <v>222</v>
      </c>
      <c r="D705" s="7" t="n">
        <v>7</v>
      </c>
      <c r="E705" s="7" t="n">
        <v>19</v>
      </c>
      <c r="F705" s="7" t="n">
        <v>0</v>
      </c>
      <c r="G705" s="7" t="n">
        <v>3</v>
      </c>
      <c r="H705" s="7" t="n">
        <v>0</v>
      </c>
      <c r="I705" s="7" t="n">
        <v>0</v>
      </c>
      <c r="J705" s="7" t="n">
        <v>0</v>
      </c>
      <c r="K705" s="7" t="n">
        <v>0</v>
      </c>
      <c r="L705" s="7" t="n">
        <v>3</v>
      </c>
      <c r="M705" s="7" t="n">
        <v>1</v>
      </c>
      <c r="N705" s="7" t="n">
        <v>0</v>
      </c>
      <c r="O705" s="7" t="n">
        <v>0</v>
      </c>
      <c r="P705" s="8" t="n">
        <f aca="false">IF(E705=0,0,G705/E705)</f>
        <v>0.157894736842105</v>
      </c>
      <c r="Q705" s="8" t="n">
        <f aca="false">IF(E705+N705=0,0,(G705+N705)/(E705+N705))</f>
        <v>0.157894736842105</v>
      </c>
      <c r="R705" s="8" t="n">
        <f aca="false">IF(E705=0,0,L705/E705)</f>
        <v>0.157894736842105</v>
      </c>
      <c r="S705" s="8" t="n">
        <f aca="false">R705+Q705</f>
        <v>0.315789473684211</v>
      </c>
      <c r="T705" s="8" t="n">
        <f aca="false">R705-P705</f>
        <v>0</v>
      </c>
    </row>
    <row r="706" customFormat="false" ht="14.25" hidden="false" customHeight="true" outlineLevel="0" collapsed="false">
      <c r="A706" s="6" t="n">
        <v>2023</v>
      </c>
      <c r="B706" s="6" t="s">
        <v>212</v>
      </c>
      <c r="C706" s="6" t="s">
        <v>233</v>
      </c>
      <c r="D706" s="7" t="n">
        <v>5</v>
      </c>
      <c r="E706" s="7" t="n">
        <v>8</v>
      </c>
      <c r="F706" s="7" t="n">
        <v>1</v>
      </c>
      <c r="G706" s="7" t="n">
        <v>2</v>
      </c>
      <c r="H706" s="7" t="n">
        <v>0</v>
      </c>
      <c r="I706" s="7" t="n">
        <v>0</v>
      </c>
      <c r="J706" s="7" t="n">
        <v>0</v>
      </c>
      <c r="K706" s="7" t="n">
        <v>0</v>
      </c>
      <c r="L706" s="7" t="n">
        <v>2</v>
      </c>
      <c r="M706" s="7" t="n">
        <v>1</v>
      </c>
      <c r="N706" s="7" t="n">
        <v>8</v>
      </c>
      <c r="O706" s="7" t="n">
        <v>2</v>
      </c>
      <c r="P706" s="8" t="n">
        <f aca="false">IF(E706=0,0,G706/E706)</f>
        <v>0.25</v>
      </c>
      <c r="Q706" s="8" t="n">
        <f aca="false">IF(E706+N706=0,0,(G706+N706)/(E706+N706))</f>
        <v>0.625</v>
      </c>
      <c r="R706" s="8" t="n">
        <f aca="false">IF(E706=0,0,L706/E706)</f>
        <v>0.25</v>
      </c>
      <c r="S706" s="8" t="n">
        <f aca="false">R706+Q706</f>
        <v>0.875</v>
      </c>
      <c r="T706" s="8" t="n">
        <f aca="false">R706-P706</f>
        <v>0</v>
      </c>
    </row>
    <row r="707" customFormat="false" ht="14.25" hidden="false" customHeight="true" outlineLevel="0" collapsed="false">
      <c r="A707" s="6" t="n">
        <v>2023</v>
      </c>
      <c r="B707" s="6" t="s">
        <v>212</v>
      </c>
      <c r="C707" s="6" t="s">
        <v>359</v>
      </c>
      <c r="D707" s="7" t="n">
        <v>6</v>
      </c>
      <c r="E707" s="7" t="n">
        <v>13</v>
      </c>
      <c r="F707" s="7" t="n">
        <v>0</v>
      </c>
      <c r="G707" s="7" t="n">
        <v>2</v>
      </c>
      <c r="H707" s="7" t="n">
        <v>0</v>
      </c>
      <c r="I707" s="7" t="n">
        <v>0</v>
      </c>
      <c r="J707" s="7" t="n">
        <v>0</v>
      </c>
      <c r="K707" s="7" t="n">
        <v>0</v>
      </c>
      <c r="L707" s="7" t="n">
        <v>2</v>
      </c>
      <c r="M707" s="7" t="n">
        <v>1</v>
      </c>
      <c r="N707" s="7" t="n">
        <v>0</v>
      </c>
      <c r="O707" s="7" t="n">
        <v>1</v>
      </c>
      <c r="P707" s="8" t="n">
        <f aca="false">IF(E707=0,0,G707/E707)</f>
        <v>0.153846153846154</v>
      </c>
      <c r="Q707" s="8" t="n">
        <f aca="false">IF(E707+N707=0,0,(G707+N707)/(E707+N707))</f>
        <v>0.153846153846154</v>
      </c>
      <c r="R707" s="8" t="n">
        <f aca="false">IF(E707=0,0,L707/E707)</f>
        <v>0.153846153846154</v>
      </c>
      <c r="S707" s="8" t="n">
        <f aca="false">R707+Q707</f>
        <v>0.307692307692308</v>
      </c>
      <c r="T707" s="8" t="n">
        <f aca="false">R707-P707</f>
        <v>0</v>
      </c>
    </row>
    <row r="708" customFormat="false" ht="14.25" hidden="false" customHeight="true" outlineLevel="0" collapsed="false">
      <c r="A708" s="6" t="n">
        <v>2023</v>
      </c>
      <c r="B708" s="6" t="s">
        <v>212</v>
      </c>
      <c r="C708" s="6" t="s">
        <v>216</v>
      </c>
      <c r="D708" s="7" t="n">
        <v>9</v>
      </c>
      <c r="E708" s="7" t="n">
        <v>22</v>
      </c>
      <c r="F708" s="7" t="n">
        <v>0</v>
      </c>
      <c r="G708" s="7" t="n">
        <v>2</v>
      </c>
      <c r="H708" s="7" t="n">
        <v>0</v>
      </c>
      <c r="I708" s="7" t="n">
        <v>0</v>
      </c>
      <c r="J708" s="7" t="n">
        <v>0</v>
      </c>
      <c r="K708" s="7" t="n">
        <v>0</v>
      </c>
      <c r="L708" s="7" t="n">
        <v>2</v>
      </c>
      <c r="M708" s="7" t="n">
        <v>0</v>
      </c>
      <c r="N708" s="7" t="n">
        <v>4</v>
      </c>
      <c r="O708" s="7" t="n">
        <v>2</v>
      </c>
      <c r="P708" s="8" t="n">
        <f aca="false">IF(E708=0,0,G708/E708)</f>
        <v>0.0909090909090909</v>
      </c>
      <c r="Q708" s="8" t="n">
        <f aca="false">IF(E708+N708=0,0,(G708+N708)/(E708+N708))</f>
        <v>0.230769230769231</v>
      </c>
      <c r="R708" s="8" t="n">
        <f aca="false">IF(E708=0,0,L708/E708)</f>
        <v>0.0909090909090909</v>
      </c>
      <c r="S708" s="8" t="n">
        <f aca="false">R708+Q708</f>
        <v>0.321678321678322</v>
      </c>
      <c r="T708" s="8" t="n">
        <f aca="false">R708-P708</f>
        <v>0</v>
      </c>
    </row>
    <row r="709" customFormat="false" ht="14.25" hidden="false" customHeight="true" outlineLevel="0" collapsed="false">
      <c r="A709" s="6" t="n">
        <v>2023</v>
      </c>
      <c r="B709" s="6" t="s">
        <v>212</v>
      </c>
      <c r="C709" s="6" t="s">
        <v>226</v>
      </c>
      <c r="D709" s="7" t="n">
        <v>6</v>
      </c>
      <c r="E709" s="7" t="n">
        <v>10</v>
      </c>
      <c r="F709" s="7" t="n">
        <v>2</v>
      </c>
      <c r="G709" s="7" t="n">
        <v>2</v>
      </c>
      <c r="H709" s="7" t="n">
        <v>0</v>
      </c>
      <c r="I709" s="7" t="n">
        <v>0</v>
      </c>
      <c r="J709" s="7" t="n">
        <v>0</v>
      </c>
      <c r="K709" s="7" t="n">
        <v>0</v>
      </c>
      <c r="L709" s="7" t="n">
        <v>2</v>
      </c>
      <c r="M709" s="7" t="n">
        <v>0</v>
      </c>
      <c r="N709" s="7" t="n">
        <v>3</v>
      </c>
      <c r="O709" s="7" t="n">
        <v>1</v>
      </c>
      <c r="P709" s="8" t="n">
        <f aca="false">IF(E709=0,0,G709/E709)</f>
        <v>0.2</v>
      </c>
      <c r="Q709" s="8" t="n">
        <f aca="false">IF(E709+N709=0,0,(G709+N709)/(E709+N709))</f>
        <v>0.384615384615385</v>
      </c>
      <c r="R709" s="8" t="n">
        <f aca="false">IF(E709=0,0,L709/E709)</f>
        <v>0.2</v>
      </c>
      <c r="S709" s="8" t="n">
        <f aca="false">R709+Q709</f>
        <v>0.584615384615385</v>
      </c>
      <c r="T709" s="8" t="n">
        <f aca="false">R709-P709</f>
        <v>0</v>
      </c>
    </row>
    <row r="710" customFormat="false" ht="14.25" hidden="false" customHeight="true" outlineLevel="0" collapsed="false">
      <c r="A710" s="6" t="n">
        <v>2023</v>
      </c>
      <c r="B710" s="6" t="s">
        <v>212</v>
      </c>
      <c r="C710" s="6" t="s">
        <v>106</v>
      </c>
      <c r="D710" s="7" t="n">
        <v>2</v>
      </c>
      <c r="E710" s="7" t="n">
        <v>5</v>
      </c>
      <c r="F710" s="7" t="n">
        <v>0</v>
      </c>
      <c r="G710" s="7" t="n">
        <v>1</v>
      </c>
      <c r="H710" s="7" t="n">
        <v>1</v>
      </c>
      <c r="I710" s="7" t="n">
        <v>0</v>
      </c>
      <c r="J710" s="7" t="n">
        <v>0</v>
      </c>
      <c r="K710" s="7" t="n">
        <v>1</v>
      </c>
      <c r="L710" s="7" t="n">
        <v>2</v>
      </c>
      <c r="M710" s="7" t="n">
        <v>1</v>
      </c>
      <c r="N710" s="7" t="n">
        <v>1</v>
      </c>
      <c r="O710" s="7" t="n">
        <v>0</v>
      </c>
      <c r="P710" s="8" t="n">
        <f aca="false">IF(E710=0,0,G710/E710)</f>
        <v>0.2</v>
      </c>
      <c r="Q710" s="8" t="n">
        <f aca="false">IF(E710+N710=0,0,(G710+N710)/(E710+N710))</f>
        <v>0.333333333333333</v>
      </c>
      <c r="R710" s="8" t="n">
        <f aca="false">IF(E710=0,0,L710/E710)</f>
        <v>0.4</v>
      </c>
      <c r="S710" s="8" t="n">
        <f aca="false">R710+Q710</f>
        <v>0.733333333333333</v>
      </c>
      <c r="T710" s="8" t="n">
        <f aca="false">R710-P710</f>
        <v>0.2</v>
      </c>
    </row>
    <row r="711" customFormat="false" ht="14.25" hidden="false" customHeight="true" outlineLevel="0" collapsed="false">
      <c r="A711" s="6" t="n">
        <v>2023</v>
      </c>
      <c r="B711" s="6" t="s">
        <v>212</v>
      </c>
      <c r="C711" s="6" t="s">
        <v>219</v>
      </c>
      <c r="D711" s="7" t="n">
        <v>8</v>
      </c>
      <c r="E711" s="7" t="n">
        <v>14</v>
      </c>
      <c r="F711" s="7" t="n">
        <v>1</v>
      </c>
      <c r="G711" s="7" t="n">
        <v>1</v>
      </c>
      <c r="H711" s="7" t="n">
        <v>0</v>
      </c>
      <c r="I711" s="7" t="n">
        <v>0</v>
      </c>
      <c r="J711" s="7" t="n">
        <v>0</v>
      </c>
      <c r="K711" s="7" t="n">
        <v>0</v>
      </c>
      <c r="L711" s="7" t="n">
        <v>1</v>
      </c>
      <c r="M711" s="7" t="n">
        <v>1</v>
      </c>
      <c r="N711" s="7" t="n">
        <v>3</v>
      </c>
      <c r="O711" s="7" t="n">
        <v>1</v>
      </c>
      <c r="P711" s="8" t="n">
        <f aca="false">IF(E711=0,0,G711/E711)</f>
        <v>0.0714285714285714</v>
      </c>
      <c r="Q711" s="8" t="n">
        <f aca="false">IF(E711+N711=0,0,(G711+N711)/(E711+N711))</f>
        <v>0.235294117647059</v>
      </c>
      <c r="R711" s="8" t="n">
        <f aca="false">IF(E711=0,0,L711/E711)</f>
        <v>0.0714285714285714</v>
      </c>
      <c r="S711" s="8" t="n">
        <f aca="false">R711+Q711</f>
        <v>0.30672268907563</v>
      </c>
      <c r="T711" s="8" t="n">
        <f aca="false">R711-P711</f>
        <v>0</v>
      </c>
    </row>
    <row r="712" customFormat="false" ht="14.25" hidden="false" customHeight="true" outlineLevel="0" collapsed="false">
      <c r="A712" s="6" t="n">
        <v>2023</v>
      </c>
      <c r="B712" s="6" t="s">
        <v>212</v>
      </c>
      <c r="C712" s="6" t="s">
        <v>360</v>
      </c>
      <c r="D712" s="7" t="n">
        <v>4</v>
      </c>
      <c r="E712" s="7" t="n">
        <v>11</v>
      </c>
      <c r="F712" s="7" t="n">
        <v>0</v>
      </c>
      <c r="G712" s="7" t="n">
        <v>1</v>
      </c>
      <c r="H712" s="7" t="n">
        <v>0</v>
      </c>
      <c r="I712" s="7" t="n">
        <v>0</v>
      </c>
      <c r="J712" s="7" t="n">
        <v>0</v>
      </c>
      <c r="K712" s="7" t="n">
        <v>0</v>
      </c>
      <c r="L712" s="7" t="n">
        <v>1</v>
      </c>
      <c r="M712" s="7" t="n">
        <v>1</v>
      </c>
      <c r="N712" s="7" t="n">
        <v>0</v>
      </c>
      <c r="O712" s="7" t="n">
        <v>0</v>
      </c>
      <c r="P712" s="8" t="n">
        <f aca="false">IF(E712=0,0,G712/E712)</f>
        <v>0.0909090909090909</v>
      </c>
      <c r="Q712" s="8" t="n">
        <f aca="false">IF(E712+N712=0,0,(G712+N712)/(E712+N712))</f>
        <v>0.0909090909090909</v>
      </c>
      <c r="R712" s="8" t="n">
        <f aca="false">IF(E712=0,0,L712/E712)</f>
        <v>0.0909090909090909</v>
      </c>
      <c r="S712" s="8" t="n">
        <f aca="false">R712+Q712</f>
        <v>0.181818181818182</v>
      </c>
      <c r="T712" s="8" t="n">
        <f aca="false">R712-P712</f>
        <v>0</v>
      </c>
    </row>
    <row r="713" customFormat="false" ht="14.25" hidden="false" customHeight="true" outlineLevel="0" collapsed="false">
      <c r="A713" s="6" t="n">
        <v>2023</v>
      </c>
      <c r="B713" s="6" t="s">
        <v>212</v>
      </c>
      <c r="C713" s="6" t="s">
        <v>361</v>
      </c>
      <c r="D713" s="7" t="n">
        <v>5</v>
      </c>
      <c r="E713" s="7" t="n">
        <v>13</v>
      </c>
      <c r="F713" s="7" t="n">
        <v>0</v>
      </c>
      <c r="G713" s="7" t="n">
        <v>0</v>
      </c>
      <c r="H713" s="7" t="n">
        <v>0</v>
      </c>
      <c r="I713" s="7" t="n">
        <v>0</v>
      </c>
      <c r="J713" s="7" t="n">
        <v>0</v>
      </c>
      <c r="K713" s="7" t="n">
        <v>0</v>
      </c>
      <c r="L713" s="7" t="n">
        <v>0</v>
      </c>
      <c r="M713" s="7" t="n">
        <v>0</v>
      </c>
      <c r="N713" s="7" t="n">
        <v>0</v>
      </c>
      <c r="O713" s="7" t="n">
        <v>1</v>
      </c>
      <c r="P713" s="8" t="n">
        <f aca="false">IF(E713=0,0,G713/E713)</f>
        <v>0</v>
      </c>
      <c r="Q713" s="8" t="n">
        <f aca="false">IF(E713+N713=0,0,(G713+N713)/(E713+N713))</f>
        <v>0</v>
      </c>
      <c r="R713" s="8" t="n">
        <f aca="false">IF(E713=0,0,L713/E713)</f>
        <v>0</v>
      </c>
      <c r="S713" s="8" t="n">
        <f aca="false">R713+Q713</f>
        <v>0</v>
      </c>
      <c r="T713" s="8" t="n">
        <f aca="false">R713-P713</f>
        <v>0</v>
      </c>
    </row>
    <row r="714" customFormat="false" ht="14.25" hidden="false" customHeight="true" outlineLevel="0" collapsed="false">
      <c r="A714" s="6" t="n">
        <v>2023</v>
      </c>
      <c r="B714" s="6" t="s">
        <v>212</v>
      </c>
      <c r="C714" s="6" t="s">
        <v>362</v>
      </c>
      <c r="D714" s="7" t="n">
        <v>1</v>
      </c>
      <c r="E714" s="7" t="n">
        <v>3</v>
      </c>
      <c r="F714" s="7" t="n">
        <v>0</v>
      </c>
      <c r="G714" s="7" t="n">
        <v>0</v>
      </c>
      <c r="H714" s="7" t="n">
        <v>0</v>
      </c>
      <c r="I714" s="7" t="n">
        <v>0</v>
      </c>
      <c r="J714" s="7" t="n">
        <v>0</v>
      </c>
      <c r="K714" s="7" t="n">
        <v>0</v>
      </c>
      <c r="L714" s="7" t="n">
        <v>0</v>
      </c>
      <c r="M714" s="7" t="n">
        <v>0</v>
      </c>
      <c r="N714" s="7" t="n">
        <v>0</v>
      </c>
      <c r="O714" s="7" t="n">
        <v>1</v>
      </c>
      <c r="P714" s="8" t="n">
        <f aca="false">IF(E714=0,0,G714/E714)</f>
        <v>0</v>
      </c>
      <c r="Q714" s="8" t="n">
        <f aca="false">IF(E714+N714=0,0,(G714+N714)/(E714+N714))</f>
        <v>0</v>
      </c>
      <c r="R714" s="8" t="n">
        <f aca="false">IF(E714=0,0,L714/E714)</f>
        <v>0</v>
      </c>
      <c r="S714" s="8" t="n">
        <f aca="false">R714+Q714</f>
        <v>0</v>
      </c>
      <c r="T714" s="8" t="n">
        <f aca="false">R714-P714</f>
        <v>0</v>
      </c>
    </row>
    <row r="715" customFormat="false" ht="14.25" hidden="false" customHeight="true" outlineLevel="0" collapsed="false">
      <c r="A715" s="6" t="n">
        <v>2023</v>
      </c>
      <c r="B715" s="6" t="s">
        <v>212</v>
      </c>
      <c r="C715" s="6" t="s">
        <v>363</v>
      </c>
      <c r="D715" s="7" t="n">
        <v>1</v>
      </c>
      <c r="E715" s="7" t="n">
        <v>3</v>
      </c>
      <c r="F715" s="7" t="n">
        <v>1</v>
      </c>
      <c r="G715" s="7" t="n">
        <v>0</v>
      </c>
      <c r="H715" s="7" t="n">
        <v>0</v>
      </c>
      <c r="I715" s="7" t="n">
        <v>0</v>
      </c>
      <c r="J715" s="7" t="n">
        <v>0</v>
      </c>
      <c r="K715" s="7" t="n">
        <v>0</v>
      </c>
      <c r="L715" s="7" t="n">
        <v>0</v>
      </c>
      <c r="M715" s="7" t="n">
        <v>0</v>
      </c>
      <c r="N715" s="7" t="n">
        <v>0</v>
      </c>
      <c r="O715" s="7" t="n">
        <v>0</v>
      </c>
      <c r="P715" s="8" t="n">
        <f aca="false">IF(E715=0,0,G715/E715)</f>
        <v>0</v>
      </c>
      <c r="Q715" s="8" t="n">
        <f aca="false">IF(E715+N715=0,0,(G715+N715)/(E715+N715))</f>
        <v>0</v>
      </c>
      <c r="R715" s="8" t="n">
        <f aca="false">IF(E715=0,0,L715/E715)</f>
        <v>0</v>
      </c>
      <c r="S715" s="8" t="n">
        <f aca="false">R715+Q715</f>
        <v>0</v>
      </c>
      <c r="T715" s="8" t="n">
        <f aca="false">R715-P715</f>
        <v>0</v>
      </c>
    </row>
    <row r="716" customFormat="false" ht="14.25" hidden="false" customHeight="true" outlineLevel="0" collapsed="false">
      <c r="A716" s="6" t="n">
        <v>2023</v>
      </c>
      <c r="B716" s="6" t="s">
        <v>212</v>
      </c>
      <c r="C716" s="6" t="s">
        <v>364</v>
      </c>
      <c r="D716" s="7" t="n">
        <v>1</v>
      </c>
      <c r="E716" s="7" t="n">
        <v>2</v>
      </c>
      <c r="F716" s="7" t="n">
        <v>0</v>
      </c>
      <c r="G716" s="7" t="n">
        <v>0</v>
      </c>
      <c r="H716" s="7" t="n">
        <v>0</v>
      </c>
      <c r="I716" s="7" t="n">
        <v>0</v>
      </c>
      <c r="J716" s="7" t="n">
        <v>0</v>
      </c>
      <c r="K716" s="7" t="n">
        <v>0</v>
      </c>
      <c r="L716" s="7" t="n">
        <v>0</v>
      </c>
      <c r="M716" s="7" t="n">
        <v>0</v>
      </c>
      <c r="N716" s="7" t="n">
        <v>0</v>
      </c>
      <c r="O716" s="7" t="n">
        <v>0</v>
      </c>
      <c r="P716" s="8" t="n">
        <f aca="false">IF(E716=0,0,G716/E716)</f>
        <v>0</v>
      </c>
      <c r="Q716" s="8" t="n">
        <f aca="false">IF(E716+N716=0,0,(G716+N716)/(E716+N716))</f>
        <v>0</v>
      </c>
      <c r="R716" s="8" t="n">
        <f aca="false">IF(E716=0,0,L716/E716)</f>
        <v>0</v>
      </c>
      <c r="S716" s="8" t="n">
        <f aca="false">R716+Q716</f>
        <v>0</v>
      </c>
      <c r="T716" s="8" t="n">
        <f aca="false">R716-P716</f>
        <v>0</v>
      </c>
    </row>
    <row r="717" customFormat="false" ht="14.25" hidden="false" customHeight="true" outlineLevel="0" collapsed="false">
      <c r="A717" s="6" t="n">
        <v>2023</v>
      </c>
      <c r="B717" s="6" t="s">
        <v>212</v>
      </c>
      <c r="C717" s="6" t="s">
        <v>365</v>
      </c>
      <c r="D717" s="7" t="n">
        <v>1</v>
      </c>
      <c r="E717" s="7" t="n">
        <v>2</v>
      </c>
      <c r="F717" s="7" t="n">
        <v>0</v>
      </c>
      <c r="G717" s="7" t="n">
        <v>0</v>
      </c>
      <c r="H717" s="7" t="n">
        <v>0</v>
      </c>
      <c r="I717" s="7" t="n">
        <v>0</v>
      </c>
      <c r="J717" s="7" t="n">
        <v>0</v>
      </c>
      <c r="K717" s="7" t="n">
        <v>0</v>
      </c>
      <c r="L717" s="7" t="n">
        <v>0</v>
      </c>
      <c r="M717" s="7" t="n">
        <v>0</v>
      </c>
      <c r="N717" s="7" t="n">
        <v>0</v>
      </c>
      <c r="O717" s="7" t="n">
        <v>0</v>
      </c>
      <c r="P717" s="8" t="n">
        <f aca="false">IF(E717=0,0,G717/E717)</f>
        <v>0</v>
      </c>
      <c r="Q717" s="8" t="n">
        <f aca="false">IF(E717+N717=0,0,(G717+N717)/(E717+N717))</f>
        <v>0</v>
      </c>
      <c r="R717" s="8" t="n">
        <f aca="false">IF(E717=0,0,L717/E717)</f>
        <v>0</v>
      </c>
      <c r="S717" s="8" t="n">
        <f aca="false">R717+Q717</f>
        <v>0</v>
      </c>
      <c r="T717" s="8" t="n">
        <f aca="false">R717-P717</f>
        <v>0</v>
      </c>
    </row>
    <row r="718" customFormat="false" ht="14.25" hidden="false" customHeight="true" outlineLevel="0" collapsed="false">
      <c r="A718" s="6" t="n">
        <v>2023</v>
      </c>
      <c r="B718" s="6" t="s">
        <v>212</v>
      </c>
      <c r="C718" s="6" t="s">
        <v>366</v>
      </c>
      <c r="D718" s="7" t="n">
        <v>1</v>
      </c>
      <c r="E718" s="7" t="n">
        <v>2</v>
      </c>
      <c r="F718" s="7" t="n">
        <v>0</v>
      </c>
      <c r="G718" s="7" t="n">
        <v>0</v>
      </c>
      <c r="H718" s="7" t="n">
        <v>0</v>
      </c>
      <c r="I718" s="7" t="n">
        <v>0</v>
      </c>
      <c r="J718" s="7" t="n">
        <v>0</v>
      </c>
      <c r="K718" s="7" t="n">
        <v>0</v>
      </c>
      <c r="L718" s="7" t="n">
        <v>0</v>
      </c>
      <c r="M718" s="7" t="n">
        <v>0</v>
      </c>
      <c r="N718" s="7" t="n">
        <v>0</v>
      </c>
      <c r="O718" s="7" t="n">
        <v>0</v>
      </c>
      <c r="P718" s="8" t="n">
        <f aca="false">IF(E718=0,0,G718/E718)</f>
        <v>0</v>
      </c>
      <c r="Q718" s="8" t="n">
        <f aca="false">IF(E718+N718=0,0,(G718+N718)/(E718+N718))</f>
        <v>0</v>
      </c>
      <c r="R718" s="8" t="n">
        <f aca="false">IF(E718=0,0,L718/E718)</f>
        <v>0</v>
      </c>
      <c r="S718" s="8" t="n">
        <f aca="false">R718+Q718</f>
        <v>0</v>
      </c>
      <c r="T718" s="8" t="n">
        <f aca="false">R718-P718</f>
        <v>0</v>
      </c>
    </row>
    <row r="719" customFormat="false" ht="14.25" hidden="false" customHeight="true" outlineLevel="0" collapsed="false">
      <c r="A719" s="6" t="n">
        <v>2022</v>
      </c>
      <c r="B719" s="6" t="s">
        <v>50</v>
      </c>
      <c r="C719" s="6" t="s">
        <v>54</v>
      </c>
      <c r="D719" s="7" t="n">
        <v>11</v>
      </c>
      <c r="E719" s="7" t="n">
        <v>37</v>
      </c>
      <c r="F719" s="7" t="n">
        <v>11</v>
      </c>
      <c r="G719" s="7" t="n">
        <v>17</v>
      </c>
      <c r="H719" s="7" t="n">
        <v>5</v>
      </c>
      <c r="I719" s="7" t="n">
        <v>0</v>
      </c>
      <c r="J719" s="7" t="n">
        <v>0</v>
      </c>
      <c r="K719" s="7" t="n">
        <v>5</v>
      </c>
      <c r="L719" s="7" t="n">
        <v>22</v>
      </c>
      <c r="M719" s="7" t="n">
        <v>1</v>
      </c>
      <c r="N719" s="7" t="n">
        <v>5</v>
      </c>
      <c r="O719" s="7" t="n">
        <v>0</v>
      </c>
      <c r="P719" s="8" t="n">
        <f aca="false">IF(E719=0,0,G719/E719)</f>
        <v>0.45945945945946</v>
      </c>
      <c r="Q719" s="8" t="n">
        <f aca="false">IF(E719+N719=0,0,(G719+N719)/(E719+N719))</f>
        <v>0.523809523809524</v>
      </c>
      <c r="R719" s="8" t="n">
        <f aca="false">IF(E719=0,0,L719/E719)</f>
        <v>0.594594594594595</v>
      </c>
      <c r="S719" s="8" t="n">
        <f aca="false">R719+Q719</f>
        <v>1.11840411840412</v>
      </c>
      <c r="T719" s="8" t="n">
        <f aca="false">R719-P719</f>
        <v>0.135135135135135</v>
      </c>
    </row>
    <row r="720" customFormat="false" ht="14.25" hidden="false" customHeight="true" outlineLevel="0" collapsed="false">
      <c r="A720" s="6" t="n">
        <v>2022</v>
      </c>
      <c r="B720" s="6" t="s">
        <v>50</v>
      </c>
      <c r="C720" s="6" t="s">
        <v>52</v>
      </c>
      <c r="D720" s="7" t="n">
        <v>13</v>
      </c>
      <c r="E720" s="7" t="n">
        <v>40</v>
      </c>
      <c r="F720" s="7" t="n">
        <v>10</v>
      </c>
      <c r="G720" s="7" t="n">
        <v>16</v>
      </c>
      <c r="H720" s="7" t="n">
        <v>1</v>
      </c>
      <c r="I720" s="7" t="n">
        <v>0</v>
      </c>
      <c r="J720" s="7" t="n">
        <v>2</v>
      </c>
      <c r="K720" s="7" t="n">
        <v>3</v>
      </c>
      <c r="L720" s="7" t="n">
        <v>23</v>
      </c>
      <c r="M720" s="7" t="n">
        <v>8</v>
      </c>
      <c r="N720" s="7" t="n">
        <v>5</v>
      </c>
      <c r="O720" s="7" t="n">
        <v>0</v>
      </c>
      <c r="P720" s="8" t="n">
        <f aca="false">IF(E720=0,0,G720/E720)</f>
        <v>0.4</v>
      </c>
      <c r="Q720" s="8" t="n">
        <f aca="false">IF(E720+N720=0,0,(G720+N720)/(E720+N720))</f>
        <v>0.466666666666667</v>
      </c>
      <c r="R720" s="8" t="n">
        <f aca="false">IF(E720=0,0,L720/E720)</f>
        <v>0.575</v>
      </c>
      <c r="S720" s="8" t="n">
        <f aca="false">R720+Q720</f>
        <v>1.04166666666667</v>
      </c>
      <c r="T720" s="8" t="n">
        <f aca="false">R720-P720</f>
        <v>0.175</v>
      </c>
    </row>
    <row r="721" customFormat="false" ht="14.25" hidden="false" customHeight="true" outlineLevel="0" collapsed="false">
      <c r="A721" s="6" t="n">
        <v>2022</v>
      </c>
      <c r="B721" s="6" t="s">
        <v>50</v>
      </c>
      <c r="C721" s="6" t="s">
        <v>55</v>
      </c>
      <c r="D721" s="7" t="n">
        <v>9</v>
      </c>
      <c r="E721" s="7" t="n">
        <v>33</v>
      </c>
      <c r="F721" s="7" t="n">
        <v>9</v>
      </c>
      <c r="G721" s="7" t="n">
        <v>16</v>
      </c>
      <c r="H721" s="7" t="n">
        <v>6</v>
      </c>
      <c r="I721" s="7" t="n">
        <v>0</v>
      </c>
      <c r="J721" s="7" t="n">
        <v>3</v>
      </c>
      <c r="K721" s="7" t="n">
        <v>9</v>
      </c>
      <c r="L721" s="7" t="n">
        <v>31</v>
      </c>
      <c r="M721" s="7" t="n">
        <v>15</v>
      </c>
      <c r="N721" s="7" t="n">
        <v>0</v>
      </c>
      <c r="O721" s="7" t="n">
        <v>2</v>
      </c>
      <c r="P721" s="8" t="n">
        <f aca="false">IF(E721=0,0,G721/E721)</f>
        <v>0.484848484848485</v>
      </c>
      <c r="Q721" s="8" t="n">
        <f aca="false">IF(E721+N721=0,0,(G721+N721)/(E721+N721))</f>
        <v>0.484848484848485</v>
      </c>
      <c r="R721" s="8" t="n">
        <f aca="false">IF(E721=0,0,L721/E721)</f>
        <v>0.939393939393939</v>
      </c>
      <c r="S721" s="8" t="n">
        <f aca="false">R721+Q721</f>
        <v>1.42424242424242</v>
      </c>
      <c r="T721" s="8" t="n">
        <f aca="false">R721-P721</f>
        <v>0.454545454545455</v>
      </c>
    </row>
    <row r="722" customFormat="false" ht="14.25" hidden="false" customHeight="true" outlineLevel="0" collapsed="false">
      <c r="A722" s="6" t="n">
        <v>2022</v>
      </c>
      <c r="B722" s="6" t="s">
        <v>50</v>
      </c>
      <c r="C722" s="6" t="s">
        <v>56</v>
      </c>
      <c r="D722" s="7" t="n">
        <v>13</v>
      </c>
      <c r="E722" s="7" t="n">
        <v>35</v>
      </c>
      <c r="F722" s="7" t="n">
        <v>14</v>
      </c>
      <c r="G722" s="7" t="n">
        <v>12</v>
      </c>
      <c r="H722" s="7" t="n">
        <v>3</v>
      </c>
      <c r="I722" s="7" t="n">
        <v>0</v>
      </c>
      <c r="J722" s="7" t="n">
        <v>2</v>
      </c>
      <c r="K722" s="7" t="n">
        <v>5</v>
      </c>
      <c r="L722" s="7" t="n">
        <v>21</v>
      </c>
      <c r="M722" s="7" t="n">
        <v>14</v>
      </c>
      <c r="N722" s="7" t="n">
        <v>8</v>
      </c>
      <c r="O722" s="7" t="n">
        <v>1</v>
      </c>
      <c r="P722" s="8" t="n">
        <f aca="false">IF(E722=0,0,G722/E722)</f>
        <v>0.342857142857143</v>
      </c>
      <c r="Q722" s="8" t="n">
        <f aca="false">IF(E722+N722=0,0,(G722+N722)/(E722+N722))</f>
        <v>0.465116279069767</v>
      </c>
      <c r="R722" s="8" t="n">
        <f aca="false">IF(E722=0,0,L722/E722)</f>
        <v>0.6</v>
      </c>
      <c r="S722" s="8" t="n">
        <f aca="false">R722+Q722</f>
        <v>1.06511627906977</v>
      </c>
      <c r="T722" s="8" t="n">
        <f aca="false">R722-P722</f>
        <v>0.257142857142857</v>
      </c>
    </row>
    <row r="723" customFormat="false" ht="14.25" hidden="false" customHeight="true" outlineLevel="0" collapsed="false">
      <c r="A723" s="6" t="n">
        <v>2022</v>
      </c>
      <c r="B723" s="6" t="s">
        <v>50</v>
      </c>
      <c r="C723" s="6" t="s">
        <v>62</v>
      </c>
      <c r="D723" s="7" t="n">
        <v>11</v>
      </c>
      <c r="E723" s="7" t="n">
        <v>23</v>
      </c>
      <c r="F723" s="7" t="n">
        <v>7</v>
      </c>
      <c r="G723" s="7" t="n">
        <v>9</v>
      </c>
      <c r="H723" s="7" t="n">
        <v>2</v>
      </c>
      <c r="I723" s="7" t="n">
        <v>0</v>
      </c>
      <c r="J723" s="7" t="n">
        <v>3</v>
      </c>
      <c r="K723" s="7" t="n">
        <v>5</v>
      </c>
      <c r="L723" s="7" t="n">
        <v>20</v>
      </c>
      <c r="M723" s="7" t="n">
        <v>16</v>
      </c>
      <c r="N723" s="7" t="n">
        <v>8</v>
      </c>
      <c r="O723" s="7" t="n">
        <v>1</v>
      </c>
      <c r="P723" s="8" t="n">
        <f aca="false">IF(E723=0,0,G723/E723)</f>
        <v>0.391304347826087</v>
      </c>
      <c r="Q723" s="8" t="n">
        <f aca="false">IF(E723+N723=0,0,(G723+N723)/(E723+N723))</f>
        <v>0.548387096774194</v>
      </c>
      <c r="R723" s="8" t="n">
        <f aca="false">IF(E723=0,0,L723/E723)</f>
        <v>0.869565217391304</v>
      </c>
      <c r="S723" s="8" t="n">
        <f aca="false">R723+Q723</f>
        <v>1.4179523141655</v>
      </c>
      <c r="T723" s="8" t="n">
        <f aca="false">R723-P723</f>
        <v>0.478260869565217</v>
      </c>
    </row>
    <row r="724" customFormat="false" ht="14.25" hidden="false" customHeight="true" outlineLevel="0" collapsed="false">
      <c r="A724" s="6" t="n">
        <v>2022</v>
      </c>
      <c r="B724" s="6" t="s">
        <v>50</v>
      </c>
      <c r="C724" s="6" t="s">
        <v>53</v>
      </c>
      <c r="D724" s="7" t="n">
        <v>11</v>
      </c>
      <c r="E724" s="7" t="n">
        <v>27</v>
      </c>
      <c r="F724" s="7" t="n">
        <v>11</v>
      </c>
      <c r="G724" s="7" t="n">
        <v>8</v>
      </c>
      <c r="H724" s="7" t="n">
        <v>5</v>
      </c>
      <c r="I724" s="7" t="n">
        <v>0</v>
      </c>
      <c r="J724" s="7" t="n">
        <v>0</v>
      </c>
      <c r="K724" s="7" t="n">
        <v>5</v>
      </c>
      <c r="L724" s="7" t="n">
        <v>13</v>
      </c>
      <c r="M724" s="7" t="n">
        <v>3</v>
      </c>
      <c r="N724" s="7" t="n">
        <v>10</v>
      </c>
      <c r="O724" s="7" t="n">
        <v>0</v>
      </c>
      <c r="P724" s="8" t="n">
        <f aca="false">IF(E724=0,0,G724/E724)</f>
        <v>0.296296296296296</v>
      </c>
      <c r="Q724" s="8" t="n">
        <f aca="false">IF(E724+N724=0,0,(G724+N724)/(E724+N724))</f>
        <v>0.486486486486487</v>
      </c>
      <c r="R724" s="8" t="n">
        <f aca="false">IF(E724=0,0,L724/E724)</f>
        <v>0.481481481481481</v>
      </c>
      <c r="S724" s="8" t="n">
        <f aca="false">R724+Q724</f>
        <v>0.967967967967968</v>
      </c>
      <c r="T724" s="8" t="n">
        <f aca="false">R724-P724</f>
        <v>0.185185185185185</v>
      </c>
    </row>
    <row r="725" customFormat="false" ht="14.25" hidden="false" customHeight="true" outlineLevel="0" collapsed="false">
      <c r="A725" s="6" t="n">
        <v>2022</v>
      </c>
      <c r="B725" s="6" t="s">
        <v>50</v>
      </c>
      <c r="C725" s="6" t="s">
        <v>59</v>
      </c>
      <c r="D725" s="7" t="n">
        <v>13</v>
      </c>
      <c r="E725" s="7" t="n">
        <v>37</v>
      </c>
      <c r="F725" s="7" t="n">
        <v>3</v>
      </c>
      <c r="G725" s="7" t="n">
        <v>7</v>
      </c>
      <c r="H725" s="7" t="n">
        <v>1</v>
      </c>
      <c r="I725" s="7" t="n">
        <v>0</v>
      </c>
      <c r="J725" s="7" t="n">
        <v>0</v>
      </c>
      <c r="K725" s="7" t="n">
        <v>1</v>
      </c>
      <c r="L725" s="7" t="n">
        <v>8</v>
      </c>
      <c r="M725" s="7" t="n">
        <v>4</v>
      </c>
      <c r="N725" s="7" t="n">
        <v>1</v>
      </c>
      <c r="O725" s="7" t="n">
        <v>2</v>
      </c>
      <c r="P725" s="8" t="n">
        <f aca="false">IF(E725=0,0,G725/E725)</f>
        <v>0.189189189189189</v>
      </c>
      <c r="Q725" s="8" t="n">
        <f aca="false">IF(E725+N725=0,0,(G725+N725)/(E725+N725))</f>
        <v>0.210526315789474</v>
      </c>
      <c r="R725" s="8" t="n">
        <f aca="false">IF(E725=0,0,L725/E725)</f>
        <v>0.216216216216216</v>
      </c>
      <c r="S725" s="8" t="n">
        <f aca="false">R725+Q725</f>
        <v>0.42674253200569</v>
      </c>
      <c r="T725" s="8" t="n">
        <f aca="false">R725-P725</f>
        <v>0.027027027027027</v>
      </c>
    </row>
    <row r="726" customFormat="false" ht="14.25" hidden="false" customHeight="true" outlineLevel="0" collapsed="false">
      <c r="A726" s="6" t="n">
        <v>2022</v>
      </c>
      <c r="B726" s="6" t="s">
        <v>50</v>
      </c>
      <c r="C726" s="6" t="s">
        <v>60</v>
      </c>
      <c r="D726" s="7" t="n">
        <v>12</v>
      </c>
      <c r="E726" s="7" t="n">
        <v>27</v>
      </c>
      <c r="F726" s="7" t="n">
        <v>5</v>
      </c>
      <c r="G726" s="7" t="n">
        <v>6</v>
      </c>
      <c r="H726" s="7" t="n">
        <v>2</v>
      </c>
      <c r="I726" s="7" t="n">
        <v>0</v>
      </c>
      <c r="J726" s="7" t="n">
        <v>0</v>
      </c>
      <c r="K726" s="7" t="n">
        <v>2</v>
      </c>
      <c r="L726" s="7" t="n">
        <v>8</v>
      </c>
      <c r="M726" s="7" t="n">
        <v>3</v>
      </c>
      <c r="N726" s="7" t="n">
        <v>7</v>
      </c>
      <c r="O726" s="7" t="n">
        <v>5</v>
      </c>
      <c r="P726" s="8" t="n">
        <f aca="false">IF(E726=0,0,G726/E726)</f>
        <v>0.222222222222222</v>
      </c>
      <c r="Q726" s="8" t="n">
        <f aca="false">IF(E726+N726=0,0,(G726+N726)/(E726+N726))</f>
        <v>0.382352941176471</v>
      </c>
      <c r="R726" s="8" t="n">
        <f aca="false">IF(E726=0,0,L726/E726)</f>
        <v>0.296296296296296</v>
      </c>
      <c r="S726" s="8" t="n">
        <f aca="false">R726+Q726</f>
        <v>0.678649237472767</v>
      </c>
      <c r="T726" s="8" t="n">
        <f aca="false">R726-P726</f>
        <v>0.0740740740740741</v>
      </c>
    </row>
    <row r="727" customFormat="false" ht="14.25" hidden="false" customHeight="true" outlineLevel="0" collapsed="false">
      <c r="A727" s="6" t="n">
        <v>2022</v>
      </c>
      <c r="B727" s="6" t="s">
        <v>50</v>
      </c>
      <c r="C727" s="6" t="s">
        <v>51</v>
      </c>
      <c r="D727" s="7" t="n">
        <v>9</v>
      </c>
      <c r="E727" s="7" t="n">
        <v>24</v>
      </c>
      <c r="F727" s="7" t="n">
        <v>7</v>
      </c>
      <c r="G727" s="7" t="n">
        <v>6</v>
      </c>
      <c r="H727" s="7" t="n">
        <v>2</v>
      </c>
      <c r="I727" s="7" t="n">
        <v>0</v>
      </c>
      <c r="J727" s="7" t="n">
        <v>2</v>
      </c>
      <c r="K727" s="7" t="n">
        <v>4</v>
      </c>
      <c r="L727" s="7" t="n">
        <v>14</v>
      </c>
      <c r="M727" s="7" t="n">
        <v>10</v>
      </c>
      <c r="N727" s="7" t="n">
        <v>5</v>
      </c>
      <c r="O727" s="7" t="n">
        <v>1</v>
      </c>
      <c r="P727" s="8" t="n">
        <f aca="false">IF(E727=0,0,G727/E727)</f>
        <v>0.25</v>
      </c>
      <c r="Q727" s="8" t="n">
        <f aca="false">IF(E727+N727=0,0,(G727+N727)/(E727+N727))</f>
        <v>0.379310344827586</v>
      </c>
      <c r="R727" s="8" t="n">
        <f aca="false">IF(E727=0,0,L727/E727)</f>
        <v>0.583333333333333</v>
      </c>
      <c r="S727" s="8" t="n">
        <f aca="false">R727+Q727</f>
        <v>0.96264367816092</v>
      </c>
      <c r="T727" s="8" t="n">
        <f aca="false">R727-P727</f>
        <v>0.333333333333333</v>
      </c>
    </row>
    <row r="728" customFormat="false" ht="14.25" hidden="false" customHeight="true" outlineLevel="0" collapsed="false">
      <c r="A728" s="6" t="n">
        <v>2022</v>
      </c>
      <c r="B728" s="6" t="s">
        <v>50</v>
      </c>
      <c r="C728" s="6" t="s">
        <v>64</v>
      </c>
      <c r="D728" s="7" t="n">
        <v>9</v>
      </c>
      <c r="E728" s="7" t="n">
        <v>22</v>
      </c>
      <c r="F728" s="7" t="n">
        <v>3</v>
      </c>
      <c r="G728" s="7" t="n">
        <v>5</v>
      </c>
      <c r="H728" s="7" t="n">
        <v>0</v>
      </c>
      <c r="I728" s="7" t="n">
        <v>0</v>
      </c>
      <c r="J728" s="7" t="n">
        <v>1</v>
      </c>
      <c r="K728" s="7" t="n">
        <v>1</v>
      </c>
      <c r="L728" s="7" t="n">
        <v>8</v>
      </c>
      <c r="M728" s="7" t="n">
        <v>3</v>
      </c>
      <c r="N728" s="7" t="n">
        <v>5</v>
      </c>
      <c r="O728" s="7" t="n">
        <v>1</v>
      </c>
      <c r="P728" s="8" t="n">
        <f aca="false">IF(E728=0,0,G728/E728)</f>
        <v>0.227272727272727</v>
      </c>
      <c r="Q728" s="8" t="n">
        <f aca="false">IF(E728+N728=0,0,(G728+N728)/(E728+N728))</f>
        <v>0.37037037037037</v>
      </c>
      <c r="R728" s="8" t="n">
        <f aca="false">IF(E728=0,0,L728/E728)</f>
        <v>0.363636363636364</v>
      </c>
      <c r="S728" s="8" t="n">
        <f aca="false">R728+Q728</f>
        <v>0.734006734006734</v>
      </c>
      <c r="T728" s="8" t="n">
        <f aca="false">R728-P728</f>
        <v>0.136363636363636</v>
      </c>
    </row>
    <row r="729" customFormat="false" ht="14.25" hidden="false" customHeight="true" outlineLevel="0" collapsed="false">
      <c r="A729" s="6" t="n">
        <v>2022</v>
      </c>
      <c r="B729" s="6" t="s">
        <v>50</v>
      </c>
      <c r="C729" s="6" t="s">
        <v>66</v>
      </c>
      <c r="D729" s="7" t="n">
        <v>8</v>
      </c>
      <c r="E729" s="7" t="n">
        <v>17</v>
      </c>
      <c r="F729" s="7" t="n">
        <v>5</v>
      </c>
      <c r="G729" s="7" t="n">
        <v>4</v>
      </c>
      <c r="H729" s="7" t="n">
        <v>0</v>
      </c>
      <c r="I729" s="7" t="n">
        <v>0</v>
      </c>
      <c r="J729" s="7" t="n">
        <v>0</v>
      </c>
      <c r="K729" s="7" t="n">
        <v>0</v>
      </c>
      <c r="L729" s="7" t="n">
        <v>4</v>
      </c>
      <c r="M729" s="7" t="n">
        <v>4</v>
      </c>
      <c r="N729" s="7" t="n">
        <v>4</v>
      </c>
      <c r="O729" s="7" t="n">
        <v>0</v>
      </c>
      <c r="P729" s="8" t="n">
        <f aca="false">IF(E729=0,0,G729/E729)</f>
        <v>0.235294117647059</v>
      </c>
      <c r="Q729" s="8" t="n">
        <f aca="false">IF(E729+N729=0,0,(G729+N729)/(E729+N729))</f>
        <v>0.380952380952381</v>
      </c>
      <c r="R729" s="8" t="n">
        <f aca="false">IF(E729=0,0,L729/E729)</f>
        <v>0.235294117647059</v>
      </c>
      <c r="S729" s="8" t="n">
        <f aca="false">R729+Q729</f>
        <v>0.61624649859944</v>
      </c>
      <c r="T729" s="8" t="n">
        <f aca="false">R729-P729</f>
        <v>0</v>
      </c>
    </row>
    <row r="730" customFormat="false" ht="14.25" hidden="false" customHeight="true" outlineLevel="0" collapsed="false">
      <c r="A730" s="6" t="n">
        <v>2022</v>
      </c>
      <c r="B730" s="6" t="s">
        <v>50</v>
      </c>
      <c r="C730" s="6" t="s">
        <v>69</v>
      </c>
      <c r="D730" s="7" t="n">
        <v>7</v>
      </c>
      <c r="E730" s="7" t="n">
        <v>18</v>
      </c>
      <c r="F730" s="7" t="n">
        <v>5</v>
      </c>
      <c r="G730" s="7" t="n">
        <v>4</v>
      </c>
      <c r="H730" s="7" t="n">
        <v>1</v>
      </c>
      <c r="I730" s="7" t="n">
        <v>0</v>
      </c>
      <c r="J730" s="7" t="n">
        <v>1</v>
      </c>
      <c r="K730" s="7" t="n">
        <v>2</v>
      </c>
      <c r="L730" s="7" t="n">
        <v>8</v>
      </c>
      <c r="M730" s="7" t="n">
        <v>4</v>
      </c>
      <c r="N730" s="7" t="n">
        <v>4</v>
      </c>
      <c r="O730" s="7" t="n">
        <v>3</v>
      </c>
      <c r="P730" s="8" t="n">
        <f aca="false">IF(E730=0,0,G730/E730)</f>
        <v>0.222222222222222</v>
      </c>
      <c r="Q730" s="8" t="n">
        <f aca="false">IF(E730+N730=0,0,(G730+N730)/(E730+N730))</f>
        <v>0.363636363636364</v>
      </c>
      <c r="R730" s="8" t="n">
        <f aca="false">IF(E730=0,0,L730/E730)</f>
        <v>0.444444444444444</v>
      </c>
      <c r="S730" s="8" t="n">
        <f aca="false">R730+Q730</f>
        <v>0.808080808080808</v>
      </c>
      <c r="T730" s="8" t="n">
        <f aca="false">R730-P730</f>
        <v>0.222222222222222</v>
      </c>
    </row>
    <row r="731" customFormat="false" ht="14.25" hidden="false" customHeight="true" outlineLevel="0" collapsed="false">
      <c r="A731" s="6" t="n">
        <v>2022</v>
      </c>
      <c r="B731" s="6" t="s">
        <v>50</v>
      </c>
      <c r="C731" s="6" t="s">
        <v>67</v>
      </c>
      <c r="D731" s="7" t="n">
        <v>11</v>
      </c>
      <c r="E731" s="7" t="n">
        <v>24</v>
      </c>
      <c r="F731" s="7" t="n">
        <v>5</v>
      </c>
      <c r="G731" s="7" t="n">
        <v>2</v>
      </c>
      <c r="H731" s="7" t="n">
        <v>0</v>
      </c>
      <c r="I731" s="7" t="n">
        <v>0</v>
      </c>
      <c r="J731" s="7" t="n">
        <v>0</v>
      </c>
      <c r="K731" s="7" t="n">
        <v>0</v>
      </c>
      <c r="L731" s="7" t="n">
        <v>2</v>
      </c>
      <c r="M731" s="7" t="n">
        <v>1</v>
      </c>
      <c r="N731" s="7" t="n">
        <v>5</v>
      </c>
      <c r="O731" s="7" t="n">
        <v>0</v>
      </c>
      <c r="P731" s="8" t="n">
        <f aca="false">IF(E731=0,0,G731/E731)</f>
        <v>0.0833333333333333</v>
      </c>
      <c r="Q731" s="8" t="n">
        <f aca="false">IF(E731+N731=0,0,(G731+N731)/(E731+N731))</f>
        <v>0.241379310344828</v>
      </c>
      <c r="R731" s="8" t="n">
        <f aca="false">IF(E731=0,0,L731/E731)</f>
        <v>0.0833333333333333</v>
      </c>
      <c r="S731" s="8" t="n">
        <f aca="false">R731+Q731</f>
        <v>0.324712643678161</v>
      </c>
      <c r="T731" s="8" t="n">
        <f aca="false">R731-P731</f>
        <v>0</v>
      </c>
    </row>
    <row r="732" customFormat="false" ht="14.25" hidden="false" customHeight="true" outlineLevel="0" collapsed="false">
      <c r="A732" s="6" t="n">
        <v>2022</v>
      </c>
      <c r="B732" s="6" t="s">
        <v>50</v>
      </c>
      <c r="C732" s="6" t="s">
        <v>240</v>
      </c>
      <c r="D732" s="7" t="n">
        <v>6</v>
      </c>
      <c r="E732" s="7" t="n">
        <v>11</v>
      </c>
      <c r="F732" s="7" t="n">
        <v>1</v>
      </c>
      <c r="G732" s="7" t="n">
        <v>2</v>
      </c>
      <c r="H732" s="7" t="n">
        <v>0</v>
      </c>
      <c r="I732" s="7" t="n">
        <v>0</v>
      </c>
      <c r="J732" s="7" t="n">
        <v>0</v>
      </c>
      <c r="K732" s="7" t="n">
        <v>0</v>
      </c>
      <c r="L732" s="7" t="n">
        <v>2</v>
      </c>
      <c r="M732" s="7" t="n">
        <v>2</v>
      </c>
      <c r="N732" s="7" t="n">
        <v>0</v>
      </c>
      <c r="O732" s="7" t="n">
        <v>2</v>
      </c>
      <c r="P732" s="8" t="n">
        <f aca="false">IF(E732=0,0,G732/E732)</f>
        <v>0.181818181818182</v>
      </c>
      <c r="Q732" s="8" t="n">
        <f aca="false">IF(E732+N732=0,0,(G732+N732)/(E732+N732))</f>
        <v>0.181818181818182</v>
      </c>
      <c r="R732" s="8" t="n">
        <f aca="false">IF(E732=0,0,L732/E732)</f>
        <v>0.181818181818182</v>
      </c>
      <c r="S732" s="8" t="n">
        <f aca="false">R732+Q732</f>
        <v>0.363636363636364</v>
      </c>
      <c r="T732" s="8" t="n">
        <f aca="false">R732-P732</f>
        <v>0</v>
      </c>
    </row>
    <row r="733" customFormat="false" ht="14.25" hidden="false" customHeight="true" outlineLevel="0" collapsed="false">
      <c r="A733" s="6" t="n">
        <v>2022</v>
      </c>
      <c r="B733" s="6" t="s">
        <v>50</v>
      </c>
      <c r="C733" s="6" t="s">
        <v>65</v>
      </c>
      <c r="D733" s="7" t="n">
        <v>1</v>
      </c>
      <c r="E733" s="7" t="n">
        <v>1</v>
      </c>
      <c r="F733" s="7" t="n">
        <v>0</v>
      </c>
      <c r="G733" s="7" t="n">
        <v>1</v>
      </c>
      <c r="H733" s="7" t="n">
        <v>1</v>
      </c>
      <c r="I733" s="7" t="n">
        <v>0</v>
      </c>
      <c r="J733" s="7" t="n">
        <v>0</v>
      </c>
      <c r="K733" s="7" t="n">
        <v>1</v>
      </c>
      <c r="L733" s="7" t="n">
        <v>2</v>
      </c>
      <c r="M733" s="7" t="n">
        <v>2</v>
      </c>
      <c r="N733" s="7" t="n">
        <v>0</v>
      </c>
      <c r="O733" s="7" t="n">
        <v>0</v>
      </c>
      <c r="P733" s="8" t="n">
        <f aca="false">IF(E733=0,0,G733/E733)</f>
        <v>1</v>
      </c>
      <c r="Q733" s="8" t="n">
        <f aca="false">IF(E733+N733=0,0,(G733+N733)/(E733+N733))</f>
        <v>1</v>
      </c>
      <c r="R733" s="8" t="n">
        <f aca="false">IF(E733=0,0,L733/E733)</f>
        <v>2</v>
      </c>
      <c r="S733" s="8" t="n">
        <f aca="false">R733+Q733</f>
        <v>3</v>
      </c>
      <c r="T733" s="8" t="n">
        <f aca="false">R733-P733</f>
        <v>1</v>
      </c>
    </row>
    <row r="734" customFormat="false" ht="14.25" hidden="false" customHeight="true" outlineLevel="0" collapsed="false">
      <c r="A734" s="6" t="n">
        <v>2022</v>
      </c>
      <c r="B734" s="6" t="s">
        <v>50</v>
      </c>
      <c r="C734" s="6" t="s">
        <v>57</v>
      </c>
      <c r="D734" s="7" t="n">
        <v>1</v>
      </c>
      <c r="E734" s="7" t="n">
        <v>1</v>
      </c>
      <c r="F734" s="7" t="n">
        <v>0</v>
      </c>
      <c r="G734" s="7" t="n">
        <v>1</v>
      </c>
      <c r="H734" s="7" t="n">
        <v>0</v>
      </c>
      <c r="I734" s="7" t="n">
        <v>0</v>
      </c>
      <c r="J734" s="7" t="n">
        <v>0</v>
      </c>
      <c r="K734" s="7" t="n">
        <v>0</v>
      </c>
      <c r="L734" s="7" t="n">
        <v>1</v>
      </c>
      <c r="M734" s="7" t="n">
        <v>0</v>
      </c>
      <c r="N734" s="7" t="n">
        <v>0</v>
      </c>
      <c r="O734" s="7" t="n">
        <v>0</v>
      </c>
      <c r="P734" s="8" t="n">
        <f aca="false">IF(E734=0,0,G734/E734)</f>
        <v>1</v>
      </c>
      <c r="Q734" s="8" t="n">
        <f aca="false">IF(E734+N734=0,0,(G734+N734)/(E734+N734))</f>
        <v>1</v>
      </c>
      <c r="R734" s="8" t="n">
        <f aca="false">IF(E734=0,0,L734/E734)</f>
        <v>1</v>
      </c>
      <c r="S734" s="8" t="n">
        <f aca="false">R734+Q734</f>
        <v>2</v>
      </c>
      <c r="T734" s="8" t="n">
        <f aca="false">R734-P734</f>
        <v>0</v>
      </c>
    </row>
    <row r="735" customFormat="false" ht="14.25" hidden="false" customHeight="true" outlineLevel="0" collapsed="false">
      <c r="A735" s="6" t="n">
        <v>2022</v>
      </c>
      <c r="B735" s="6" t="s">
        <v>50</v>
      </c>
      <c r="C735" s="6" t="s">
        <v>367</v>
      </c>
      <c r="D735" s="7" t="n">
        <v>1</v>
      </c>
      <c r="E735" s="7" t="n">
        <v>4</v>
      </c>
      <c r="F735" s="7" t="n">
        <v>1</v>
      </c>
      <c r="G735" s="7" t="n">
        <v>0</v>
      </c>
      <c r="H735" s="7" t="n">
        <v>0</v>
      </c>
      <c r="I735" s="7" t="n">
        <v>0</v>
      </c>
      <c r="J735" s="7" t="n">
        <v>0</v>
      </c>
      <c r="K735" s="7" t="n">
        <v>0</v>
      </c>
      <c r="L735" s="7" t="n">
        <v>0</v>
      </c>
      <c r="M735" s="7" t="n">
        <v>1</v>
      </c>
      <c r="N735" s="7" t="n">
        <v>0</v>
      </c>
      <c r="O735" s="7" t="n">
        <v>0</v>
      </c>
      <c r="P735" s="8" t="n">
        <f aca="false">IF(E735=0,0,G735/E735)</f>
        <v>0</v>
      </c>
      <c r="Q735" s="8" t="n">
        <f aca="false">IF(E735+N735=0,0,(G735+N735)/(E735+N735))</f>
        <v>0</v>
      </c>
      <c r="R735" s="8" t="n">
        <f aca="false">IF(E735=0,0,L735/E735)</f>
        <v>0</v>
      </c>
      <c r="S735" s="8" t="n">
        <f aca="false">R735+Q735</f>
        <v>0</v>
      </c>
      <c r="T735" s="8" t="n">
        <f aca="false">R735-P735</f>
        <v>0</v>
      </c>
    </row>
    <row r="736" customFormat="false" ht="14.25" hidden="false" customHeight="true" outlineLevel="0" collapsed="false">
      <c r="A736" s="6" t="n">
        <v>2022</v>
      </c>
      <c r="B736" s="6" t="s">
        <v>50</v>
      </c>
      <c r="C736" s="6" t="s">
        <v>63</v>
      </c>
      <c r="D736" s="7" t="n">
        <v>1</v>
      </c>
      <c r="E736" s="7" t="n">
        <v>1</v>
      </c>
      <c r="F736" s="7" t="n">
        <v>0</v>
      </c>
      <c r="G736" s="7" t="n">
        <v>0</v>
      </c>
      <c r="H736" s="7" t="n">
        <v>0</v>
      </c>
      <c r="I736" s="7" t="n">
        <v>0</v>
      </c>
      <c r="J736" s="7" t="n">
        <v>0</v>
      </c>
      <c r="K736" s="7" t="n">
        <v>0</v>
      </c>
      <c r="L736" s="7" t="n">
        <v>0</v>
      </c>
      <c r="M736" s="7" t="n">
        <v>0</v>
      </c>
      <c r="N736" s="7" t="n">
        <v>0</v>
      </c>
      <c r="O736" s="7" t="n">
        <v>0</v>
      </c>
      <c r="P736" s="8" t="n">
        <f aca="false">IF(E736=0,0,G736/E736)</f>
        <v>0</v>
      </c>
      <c r="Q736" s="8" t="n">
        <f aca="false">IF(E736+N736=0,0,(G736+N736)/(E736+N736))</f>
        <v>0</v>
      </c>
      <c r="R736" s="8" t="n">
        <f aca="false">IF(E736=0,0,L736/E736)</f>
        <v>0</v>
      </c>
      <c r="S736" s="8" t="n">
        <f aca="false">R736+Q736</f>
        <v>0</v>
      </c>
      <c r="T736" s="8" t="n">
        <f aca="false">R736-P736</f>
        <v>0</v>
      </c>
    </row>
    <row r="737" customFormat="false" ht="14.25" hidden="false" customHeight="true" outlineLevel="0" collapsed="false">
      <c r="A737" s="6" t="n">
        <v>2022</v>
      </c>
      <c r="B737" s="6" t="s">
        <v>71</v>
      </c>
      <c r="C737" s="6" t="s">
        <v>73</v>
      </c>
      <c r="D737" s="7" t="n">
        <v>9</v>
      </c>
      <c r="E737" s="7" t="n">
        <v>28</v>
      </c>
      <c r="F737" s="7" t="n">
        <v>18</v>
      </c>
      <c r="G737" s="7" t="n">
        <v>16</v>
      </c>
      <c r="H737" s="7" t="n">
        <v>4</v>
      </c>
      <c r="I737" s="7" t="n">
        <v>0</v>
      </c>
      <c r="J737" s="7" t="n">
        <v>5</v>
      </c>
      <c r="K737" s="7" t="n">
        <v>9</v>
      </c>
      <c r="L737" s="7" t="n">
        <v>35</v>
      </c>
      <c r="M737" s="7" t="n">
        <v>17</v>
      </c>
      <c r="N737" s="7" t="n">
        <v>6</v>
      </c>
      <c r="O737" s="7" t="n">
        <v>0</v>
      </c>
      <c r="P737" s="8" t="n">
        <f aca="false">IF(E737=0,0,G737/E737)</f>
        <v>0.571428571428571</v>
      </c>
      <c r="Q737" s="8" t="n">
        <f aca="false">IF(E737+N737=0,0,(G737+N737)/(E737+N737))</f>
        <v>0.647058823529412</v>
      </c>
      <c r="R737" s="8" t="n">
        <f aca="false">IF(E737=0,0,L737/E737)</f>
        <v>1.25</v>
      </c>
      <c r="S737" s="8" t="n">
        <f aca="false">R737+Q737</f>
        <v>1.89705882352941</v>
      </c>
      <c r="T737" s="8" t="n">
        <f aca="false">R737-P737</f>
        <v>0.678571428571429</v>
      </c>
    </row>
    <row r="738" customFormat="false" ht="14.25" hidden="false" customHeight="true" outlineLevel="0" collapsed="false">
      <c r="A738" s="6" t="n">
        <v>2022</v>
      </c>
      <c r="B738" s="6" t="s">
        <v>71</v>
      </c>
      <c r="C738" s="6" t="s">
        <v>72</v>
      </c>
      <c r="D738" s="7" t="n">
        <v>7</v>
      </c>
      <c r="E738" s="7" t="n">
        <v>22</v>
      </c>
      <c r="F738" s="7" t="n">
        <v>15</v>
      </c>
      <c r="G738" s="7" t="n">
        <v>16</v>
      </c>
      <c r="H738" s="7" t="n">
        <v>2</v>
      </c>
      <c r="I738" s="7" t="n">
        <v>0</v>
      </c>
      <c r="J738" s="7" t="n">
        <v>6</v>
      </c>
      <c r="K738" s="7" t="n">
        <v>8</v>
      </c>
      <c r="L738" s="7" t="n">
        <v>36</v>
      </c>
      <c r="M738" s="7" t="n">
        <v>18</v>
      </c>
      <c r="N738" s="7" t="n">
        <v>6</v>
      </c>
      <c r="O738" s="7" t="n">
        <v>0</v>
      </c>
      <c r="P738" s="8" t="n">
        <f aca="false">IF(E738=0,0,G738/E738)</f>
        <v>0.727272727272727</v>
      </c>
      <c r="Q738" s="8" t="n">
        <f aca="false">IF(E738+N738=0,0,(G738+N738)/(E738+N738))</f>
        <v>0.785714285714286</v>
      </c>
      <c r="R738" s="8" t="n">
        <f aca="false">IF(E738=0,0,L738/E738)</f>
        <v>1.63636363636364</v>
      </c>
      <c r="S738" s="8" t="n">
        <f aca="false">R738+Q738</f>
        <v>2.42207792207792</v>
      </c>
      <c r="T738" s="8" t="n">
        <f aca="false">R738-P738</f>
        <v>0.909090909090909</v>
      </c>
    </row>
    <row r="739" customFormat="false" ht="14.25" hidden="false" customHeight="true" outlineLevel="0" collapsed="false">
      <c r="A739" s="6" t="n">
        <v>2022</v>
      </c>
      <c r="B739" s="6" t="s">
        <v>71</v>
      </c>
      <c r="C739" s="6" t="s">
        <v>85</v>
      </c>
      <c r="D739" s="7" t="n">
        <v>13</v>
      </c>
      <c r="E739" s="7" t="n">
        <v>33</v>
      </c>
      <c r="F739" s="7" t="n">
        <v>7</v>
      </c>
      <c r="G739" s="7" t="n">
        <v>14</v>
      </c>
      <c r="H739" s="7" t="n">
        <v>4</v>
      </c>
      <c r="I739" s="7" t="n">
        <v>0</v>
      </c>
      <c r="J739" s="7" t="n">
        <v>0</v>
      </c>
      <c r="K739" s="7" t="n">
        <v>4</v>
      </c>
      <c r="L739" s="7" t="n">
        <v>18</v>
      </c>
      <c r="M739" s="7" t="n">
        <v>4</v>
      </c>
      <c r="N739" s="7" t="n">
        <v>6</v>
      </c>
      <c r="O739" s="7" t="n">
        <v>0</v>
      </c>
      <c r="P739" s="8" t="n">
        <f aca="false">IF(E739=0,0,G739/E739)</f>
        <v>0.424242424242424</v>
      </c>
      <c r="Q739" s="8" t="n">
        <f aca="false">IF(E739+N739=0,0,(G739+N739)/(E739+N739))</f>
        <v>0.512820512820513</v>
      </c>
      <c r="R739" s="8" t="n">
        <f aca="false">IF(E739=0,0,L739/E739)</f>
        <v>0.545454545454545</v>
      </c>
      <c r="S739" s="8" t="n">
        <f aca="false">R739+Q739</f>
        <v>1.05827505827506</v>
      </c>
      <c r="T739" s="8" t="n">
        <f aca="false">R739-P739</f>
        <v>0.121212121212121</v>
      </c>
    </row>
    <row r="740" customFormat="false" ht="14.25" hidden="false" customHeight="true" outlineLevel="0" collapsed="false">
      <c r="A740" s="6" t="n">
        <v>2022</v>
      </c>
      <c r="B740" s="6" t="s">
        <v>71</v>
      </c>
      <c r="C740" s="6" t="s">
        <v>77</v>
      </c>
      <c r="D740" s="7" t="n">
        <v>12</v>
      </c>
      <c r="E740" s="7" t="n">
        <v>34</v>
      </c>
      <c r="F740" s="7" t="n">
        <v>9</v>
      </c>
      <c r="G740" s="7" t="n">
        <v>12</v>
      </c>
      <c r="H740" s="7" t="n">
        <v>2</v>
      </c>
      <c r="I740" s="7" t="n">
        <v>0</v>
      </c>
      <c r="J740" s="7" t="n">
        <v>3</v>
      </c>
      <c r="K740" s="7" t="n">
        <v>5</v>
      </c>
      <c r="L740" s="7" t="n">
        <v>23</v>
      </c>
      <c r="M740" s="7" t="n">
        <v>15</v>
      </c>
      <c r="N740" s="7" t="n">
        <v>1</v>
      </c>
      <c r="O740" s="7" t="n">
        <v>0</v>
      </c>
      <c r="P740" s="8" t="n">
        <f aca="false">IF(E740=0,0,G740/E740)</f>
        <v>0.352941176470588</v>
      </c>
      <c r="Q740" s="8" t="n">
        <f aca="false">IF(E740+N740=0,0,(G740+N740)/(E740+N740))</f>
        <v>0.371428571428571</v>
      </c>
      <c r="R740" s="8" t="n">
        <f aca="false">IF(E740=0,0,L740/E740)</f>
        <v>0.676470588235294</v>
      </c>
      <c r="S740" s="8" t="n">
        <f aca="false">R740+Q740</f>
        <v>1.04789915966387</v>
      </c>
      <c r="T740" s="8" t="n">
        <f aca="false">R740-P740</f>
        <v>0.323529411764706</v>
      </c>
    </row>
    <row r="741" customFormat="false" ht="14.25" hidden="false" customHeight="true" outlineLevel="0" collapsed="false">
      <c r="A741" s="6" t="n">
        <v>2022</v>
      </c>
      <c r="B741" s="6" t="s">
        <v>71</v>
      </c>
      <c r="C741" s="6" t="s">
        <v>79</v>
      </c>
      <c r="D741" s="7" t="n">
        <v>12</v>
      </c>
      <c r="E741" s="7" t="n">
        <v>35</v>
      </c>
      <c r="F741" s="7" t="n">
        <v>6</v>
      </c>
      <c r="G741" s="7" t="n">
        <v>11</v>
      </c>
      <c r="H741" s="7" t="n">
        <v>1</v>
      </c>
      <c r="I741" s="7" t="n">
        <v>0</v>
      </c>
      <c r="J741" s="7" t="n">
        <v>0</v>
      </c>
      <c r="K741" s="7" t="n">
        <v>1</v>
      </c>
      <c r="L741" s="7" t="n">
        <v>12</v>
      </c>
      <c r="M741" s="7" t="n">
        <v>6</v>
      </c>
      <c r="N741" s="7" t="n">
        <v>7</v>
      </c>
      <c r="O741" s="7" t="n">
        <v>1</v>
      </c>
      <c r="P741" s="8" t="n">
        <f aca="false">IF(E741=0,0,G741/E741)</f>
        <v>0.314285714285714</v>
      </c>
      <c r="Q741" s="8" t="n">
        <f aca="false">IF(E741+N741=0,0,(G741+N741)/(E741+N741))</f>
        <v>0.428571428571429</v>
      </c>
      <c r="R741" s="8" t="n">
        <f aca="false">IF(E741=0,0,L741/E741)</f>
        <v>0.342857142857143</v>
      </c>
      <c r="S741" s="8" t="n">
        <f aca="false">R741+Q741</f>
        <v>0.771428571428571</v>
      </c>
      <c r="T741" s="8" t="n">
        <f aca="false">R741-P741</f>
        <v>0.0285714285714286</v>
      </c>
    </row>
    <row r="742" customFormat="false" ht="14.25" hidden="false" customHeight="true" outlineLevel="0" collapsed="false">
      <c r="A742" s="6" t="n">
        <v>2022</v>
      </c>
      <c r="B742" s="6" t="s">
        <v>71</v>
      </c>
      <c r="C742" s="6" t="s">
        <v>80</v>
      </c>
      <c r="D742" s="7" t="n">
        <v>8</v>
      </c>
      <c r="E742" s="7" t="n">
        <v>28</v>
      </c>
      <c r="F742" s="7" t="n">
        <v>12</v>
      </c>
      <c r="G742" s="7" t="n">
        <v>8</v>
      </c>
      <c r="H742" s="7" t="n">
        <v>2</v>
      </c>
      <c r="I742" s="7" t="n">
        <v>0</v>
      </c>
      <c r="J742" s="7" t="n">
        <v>0</v>
      </c>
      <c r="K742" s="7" t="n">
        <v>2</v>
      </c>
      <c r="L742" s="7" t="n">
        <v>10</v>
      </c>
      <c r="M742" s="7" t="n">
        <v>3</v>
      </c>
      <c r="N742" s="7" t="n">
        <v>3</v>
      </c>
      <c r="O742" s="7" t="n">
        <v>0</v>
      </c>
      <c r="P742" s="8" t="n">
        <f aca="false">IF(E742=0,0,G742/E742)</f>
        <v>0.285714285714286</v>
      </c>
      <c r="Q742" s="8" t="n">
        <f aca="false">IF(E742+N742=0,0,(G742+N742)/(E742+N742))</f>
        <v>0.354838709677419</v>
      </c>
      <c r="R742" s="8" t="n">
        <f aca="false">IF(E742=0,0,L742/E742)</f>
        <v>0.357142857142857</v>
      </c>
      <c r="S742" s="8" t="n">
        <f aca="false">R742+Q742</f>
        <v>0.711981566820277</v>
      </c>
      <c r="T742" s="8" t="n">
        <f aca="false">R742-P742</f>
        <v>0.0714285714285715</v>
      </c>
    </row>
    <row r="743" customFormat="false" ht="14.25" hidden="false" customHeight="true" outlineLevel="0" collapsed="false">
      <c r="A743" s="6" t="n">
        <v>2022</v>
      </c>
      <c r="B743" s="6" t="s">
        <v>71</v>
      </c>
      <c r="C743" s="6" t="s">
        <v>83</v>
      </c>
      <c r="D743" s="7" t="n">
        <v>8</v>
      </c>
      <c r="E743" s="7" t="n">
        <v>22</v>
      </c>
      <c r="F743" s="7" t="n">
        <v>3</v>
      </c>
      <c r="G743" s="7" t="n">
        <v>8</v>
      </c>
      <c r="H743" s="7" t="n">
        <v>0</v>
      </c>
      <c r="I743" s="7" t="n">
        <v>0</v>
      </c>
      <c r="J743" s="7" t="n">
        <v>0</v>
      </c>
      <c r="K743" s="7" t="n">
        <v>0</v>
      </c>
      <c r="L743" s="7" t="n">
        <v>8</v>
      </c>
      <c r="M743" s="7" t="n">
        <v>2</v>
      </c>
      <c r="N743" s="7" t="n">
        <v>4</v>
      </c>
      <c r="O743" s="7" t="n">
        <v>0</v>
      </c>
      <c r="P743" s="8" t="n">
        <f aca="false">IF(E743=0,0,G743/E743)</f>
        <v>0.363636363636364</v>
      </c>
      <c r="Q743" s="8" t="n">
        <f aca="false">IF(E743+N743=0,0,(G743+N743)/(E743+N743))</f>
        <v>0.461538461538462</v>
      </c>
      <c r="R743" s="8" t="n">
        <f aca="false">IF(E743=0,0,L743/E743)</f>
        <v>0.363636363636364</v>
      </c>
      <c r="S743" s="8" t="n">
        <f aca="false">R743+Q743</f>
        <v>0.825174825174825</v>
      </c>
      <c r="T743" s="8" t="n">
        <f aca="false">R743-P743</f>
        <v>0</v>
      </c>
    </row>
    <row r="744" customFormat="false" ht="14.25" hidden="false" customHeight="true" outlineLevel="0" collapsed="false">
      <c r="A744" s="6" t="n">
        <v>2022</v>
      </c>
      <c r="B744" s="6" t="s">
        <v>71</v>
      </c>
      <c r="C744" s="6" t="s">
        <v>81</v>
      </c>
      <c r="D744" s="7" t="n">
        <v>7</v>
      </c>
      <c r="E744" s="7" t="n">
        <v>20</v>
      </c>
      <c r="F744" s="7" t="n">
        <v>4</v>
      </c>
      <c r="G744" s="7" t="n">
        <v>8</v>
      </c>
      <c r="H744" s="7" t="n">
        <v>0</v>
      </c>
      <c r="I744" s="7" t="n">
        <v>0</v>
      </c>
      <c r="J744" s="7" t="n">
        <v>2</v>
      </c>
      <c r="K744" s="7" t="n">
        <v>2</v>
      </c>
      <c r="L744" s="7" t="n">
        <v>14</v>
      </c>
      <c r="M744" s="7" t="n">
        <v>6</v>
      </c>
      <c r="N744" s="7" t="n">
        <v>3</v>
      </c>
      <c r="O744" s="7" t="n">
        <v>0</v>
      </c>
      <c r="P744" s="8" t="n">
        <f aca="false">IF(E744=0,0,G744/E744)</f>
        <v>0.4</v>
      </c>
      <c r="Q744" s="8" t="n">
        <f aca="false">IF(E744+N744=0,0,(G744+N744)/(E744+N744))</f>
        <v>0.478260869565217</v>
      </c>
      <c r="R744" s="8" t="n">
        <f aca="false">IF(E744=0,0,L744/E744)</f>
        <v>0.7</v>
      </c>
      <c r="S744" s="8" t="n">
        <f aca="false">R744+Q744</f>
        <v>1.17826086956522</v>
      </c>
      <c r="T744" s="8" t="n">
        <f aca="false">R744-P744</f>
        <v>0.3</v>
      </c>
    </row>
    <row r="745" customFormat="false" ht="14.25" hidden="false" customHeight="true" outlineLevel="0" collapsed="false">
      <c r="A745" s="6" t="n">
        <v>2022</v>
      </c>
      <c r="B745" s="6" t="s">
        <v>71</v>
      </c>
      <c r="C745" s="6" t="s">
        <v>75</v>
      </c>
      <c r="D745" s="7" t="n">
        <v>5</v>
      </c>
      <c r="E745" s="7" t="n">
        <v>18</v>
      </c>
      <c r="F745" s="7" t="n">
        <v>3</v>
      </c>
      <c r="G745" s="7" t="n">
        <v>7</v>
      </c>
      <c r="H745" s="7" t="n">
        <v>1</v>
      </c>
      <c r="I745" s="7" t="n">
        <v>0</v>
      </c>
      <c r="J745" s="7" t="n">
        <v>2</v>
      </c>
      <c r="K745" s="7" t="n">
        <v>3</v>
      </c>
      <c r="L745" s="7" t="n">
        <v>14</v>
      </c>
      <c r="M745" s="7" t="n">
        <v>8</v>
      </c>
      <c r="N745" s="7" t="n">
        <v>1</v>
      </c>
      <c r="O745" s="7" t="n">
        <v>0</v>
      </c>
      <c r="P745" s="8" t="n">
        <f aca="false">IF(E745=0,0,G745/E745)</f>
        <v>0.388888888888889</v>
      </c>
      <c r="Q745" s="8" t="n">
        <f aca="false">IF(E745+N745=0,0,(G745+N745)/(E745+N745))</f>
        <v>0.421052631578947</v>
      </c>
      <c r="R745" s="8" t="n">
        <f aca="false">IF(E745=0,0,L745/E745)</f>
        <v>0.777777777777778</v>
      </c>
      <c r="S745" s="8" t="n">
        <f aca="false">R745+Q745</f>
        <v>1.19883040935673</v>
      </c>
      <c r="T745" s="8" t="n">
        <f aca="false">R745-P745</f>
        <v>0.388888888888889</v>
      </c>
    </row>
    <row r="746" customFormat="false" ht="14.25" hidden="false" customHeight="true" outlineLevel="0" collapsed="false">
      <c r="A746" s="6" t="n">
        <v>2022</v>
      </c>
      <c r="B746" s="6" t="s">
        <v>71</v>
      </c>
      <c r="C746" s="6" t="s">
        <v>243</v>
      </c>
      <c r="D746" s="7" t="n">
        <v>5</v>
      </c>
      <c r="E746" s="7" t="n">
        <v>16</v>
      </c>
      <c r="F746" s="7" t="n">
        <v>1</v>
      </c>
      <c r="G746" s="7" t="n">
        <v>6</v>
      </c>
      <c r="H746" s="7" t="n">
        <v>0</v>
      </c>
      <c r="I746" s="7" t="n">
        <v>0</v>
      </c>
      <c r="J746" s="7" t="n">
        <v>0</v>
      </c>
      <c r="K746" s="7" t="n">
        <v>0</v>
      </c>
      <c r="L746" s="7" t="n">
        <v>6</v>
      </c>
      <c r="M746" s="7" t="n">
        <v>1</v>
      </c>
      <c r="N746" s="7" t="n">
        <v>2</v>
      </c>
      <c r="O746" s="7" t="n">
        <v>1</v>
      </c>
      <c r="P746" s="8" t="n">
        <f aca="false">IF(E746=0,0,G746/E746)</f>
        <v>0.375</v>
      </c>
      <c r="Q746" s="8" t="n">
        <f aca="false">IF(E746+N746=0,0,(G746+N746)/(E746+N746))</f>
        <v>0.444444444444444</v>
      </c>
      <c r="R746" s="8" t="n">
        <f aca="false">IF(E746=0,0,L746/E746)</f>
        <v>0.375</v>
      </c>
      <c r="S746" s="8" t="n">
        <f aca="false">R746+Q746</f>
        <v>0.819444444444444</v>
      </c>
      <c r="T746" s="8" t="n">
        <f aca="false">R746-P746</f>
        <v>0</v>
      </c>
    </row>
    <row r="747" customFormat="false" ht="14.25" hidden="false" customHeight="true" outlineLevel="0" collapsed="false">
      <c r="A747" s="6" t="n">
        <v>2022</v>
      </c>
      <c r="B747" s="6" t="s">
        <v>71</v>
      </c>
      <c r="C747" s="6" t="s">
        <v>319</v>
      </c>
      <c r="D747" s="7" t="n">
        <v>8</v>
      </c>
      <c r="E747" s="7" t="n">
        <v>20</v>
      </c>
      <c r="F747" s="7" t="n">
        <v>1</v>
      </c>
      <c r="G747" s="7" t="n">
        <v>4</v>
      </c>
      <c r="H747" s="7" t="n">
        <v>0</v>
      </c>
      <c r="I747" s="7" t="n">
        <v>0</v>
      </c>
      <c r="J747" s="7" t="n">
        <v>0</v>
      </c>
      <c r="K747" s="7" t="n">
        <v>0</v>
      </c>
      <c r="L747" s="7" t="n">
        <v>4</v>
      </c>
      <c r="M747" s="7" t="n">
        <v>2</v>
      </c>
      <c r="N747" s="7" t="n">
        <v>2</v>
      </c>
      <c r="O747" s="7" t="n">
        <v>0</v>
      </c>
      <c r="P747" s="8" t="n">
        <f aca="false">IF(E747=0,0,G747/E747)</f>
        <v>0.2</v>
      </c>
      <c r="Q747" s="8" t="n">
        <f aca="false">IF(E747+N747=0,0,(G747+N747)/(E747+N747))</f>
        <v>0.272727272727273</v>
      </c>
      <c r="R747" s="8" t="n">
        <f aca="false">IF(E747=0,0,L747/E747)</f>
        <v>0.2</v>
      </c>
      <c r="S747" s="8" t="n">
        <f aca="false">R747+Q747</f>
        <v>0.472727272727273</v>
      </c>
      <c r="T747" s="8" t="n">
        <f aca="false">R747-P747</f>
        <v>0</v>
      </c>
    </row>
    <row r="748" customFormat="false" ht="14.25" hidden="false" customHeight="true" outlineLevel="0" collapsed="false">
      <c r="A748" s="6" t="n">
        <v>2022</v>
      </c>
      <c r="B748" s="6" t="s">
        <v>71</v>
      </c>
      <c r="C748" s="6" t="s">
        <v>318</v>
      </c>
      <c r="D748" s="7" t="n">
        <v>7</v>
      </c>
      <c r="E748" s="7" t="n">
        <v>19</v>
      </c>
      <c r="F748" s="7" t="n">
        <v>2</v>
      </c>
      <c r="G748" s="7" t="n">
        <v>4</v>
      </c>
      <c r="H748" s="7" t="n">
        <v>1</v>
      </c>
      <c r="I748" s="7" t="n">
        <v>0</v>
      </c>
      <c r="J748" s="7" t="n">
        <v>0</v>
      </c>
      <c r="K748" s="7" t="n">
        <v>1</v>
      </c>
      <c r="L748" s="7" t="n">
        <v>5</v>
      </c>
      <c r="M748" s="7" t="n">
        <v>2</v>
      </c>
      <c r="N748" s="7" t="n">
        <v>2</v>
      </c>
      <c r="O748" s="7" t="n">
        <v>1</v>
      </c>
      <c r="P748" s="8" t="n">
        <f aca="false">IF(E748=0,0,G748/E748)</f>
        <v>0.210526315789474</v>
      </c>
      <c r="Q748" s="8" t="n">
        <f aca="false">IF(E748+N748=0,0,(G748+N748)/(E748+N748))</f>
        <v>0.285714285714286</v>
      </c>
      <c r="R748" s="8" t="n">
        <f aca="false">IF(E748=0,0,L748/E748)</f>
        <v>0.263157894736842</v>
      </c>
      <c r="S748" s="8" t="n">
        <f aca="false">R748+Q748</f>
        <v>0.548872180451128</v>
      </c>
      <c r="T748" s="8" t="n">
        <f aca="false">R748-P748</f>
        <v>0.0526315789473684</v>
      </c>
    </row>
    <row r="749" customFormat="false" ht="14.25" hidden="false" customHeight="true" outlineLevel="0" collapsed="false">
      <c r="A749" s="6" t="n">
        <v>2022</v>
      </c>
      <c r="B749" s="6" t="s">
        <v>71</v>
      </c>
      <c r="C749" s="6" t="s">
        <v>90</v>
      </c>
      <c r="D749" s="7" t="n">
        <v>6</v>
      </c>
      <c r="E749" s="7" t="n">
        <v>15</v>
      </c>
      <c r="F749" s="7" t="n">
        <v>2</v>
      </c>
      <c r="G749" s="7" t="n">
        <v>4</v>
      </c>
      <c r="H749" s="7" t="n">
        <v>1</v>
      </c>
      <c r="I749" s="7" t="n">
        <v>0</v>
      </c>
      <c r="J749" s="7" t="n">
        <v>0</v>
      </c>
      <c r="K749" s="7" t="n">
        <v>1</v>
      </c>
      <c r="L749" s="7" t="n">
        <v>5</v>
      </c>
      <c r="M749" s="7" t="n">
        <v>1</v>
      </c>
      <c r="N749" s="7" t="n">
        <v>2</v>
      </c>
      <c r="O749" s="7" t="n">
        <v>0</v>
      </c>
      <c r="P749" s="8" t="n">
        <f aca="false">IF(E749=0,0,G749/E749)</f>
        <v>0.266666666666667</v>
      </c>
      <c r="Q749" s="8" t="n">
        <f aca="false">IF(E749+N749=0,0,(G749+N749)/(E749+N749))</f>
        <v>0.352941176470588</v>
      </c>
      <c r="R749" s="8" t="n">
        <f aca="false">IF(E749=0,0,L749/E749)</f>
        <v>0.333333333333333</v>
      </c>
      <c r="S749" s="8" t="n">
        <f aca="false">R749+Q749</f>
        <v>0.686274509803922</v>
      </c>
      <c r="T749" s="8" t="n">
        <f aca="false">R749-P749</f>
        <v>0.0666666666666667</v>
      </c>
    </row>
    <row r="750" customFormat="false" ht="14.25" hidden="false" customHeight="true" outlineLevel="0" collapsed="false">
      <c r="A750" s="6" t="n">
        <v>2022</v>
      </c>
      <c r="B750" s="6" t="s">
        <v>71</v>
      </c>
      <c r="C750" s="6" t="s">
        <v>281</v>
      </c>
      <c r="D750" s="7" t="n">
        <v>9</v>
      </c>
      <c r="E750" s="7" t="n">
        <v>19</v>
      </c>
      <c r="F750" s="7" t="n">
        <v>5</v>
      </c>
      <c r="G750" s="7" t="n">
        <v>3</v>
      </c>
      <c r="H750" s="7" t="n">
        <v>0</v>
      </c>
      <c r="I750" s="7" t="n">
        <v>0</v>
      </c>
      <c r="J750" s="7" t="n">
        <v>0</v>
      </c>
      <c r="K750" s="7" t="n">
        <v>0</v>
      </c>
      <c r="L750" s="7" t="n">
        <v>3</v>
      </c>
      <c r="M750" s="7" t="n">
        <v>0</v>
      </c>
      <c r="N750" s="7" t="n">
        <v>4</v>
      </c>
      <c r="O750" s="7" t="n">
        <v>0</v>
      </c>
      <c r="P750" s="8" t="n">
        <f aca="false">IF(E750=0,0,G750/E750)</f>
        <v>0.157894736842105</v>
      </c>
      <c r="Q750" s="8" t="n">
        <f aca="false">IF(E750+N750=0,0,(G750+N750)/(E750+N750))</f>
        <v>0.304347826086957</v>
      </c>
      <c r="R750" s="8" t="n">
        <f aca="false">IF(E750=0,0,L750/E750)</f>
        <v>0.157894736842105</v>
      </c>
      <c r="S750" s="8" t="n">
        <f aca="false">R750+Q750</f>
        <v>0.462242562929062</v>
      </c>
      <c r="T750" s="8" t="n">
        <f aca="false">R750-P750</f>
        <v>0</v>
      </c>
    </row>
    <row r="751" customFormat="false" ht="14.25" hidden="false" customHeight="true" outlineLevel="0" collapsed="false">
      <c r="A751" s="6" t="n">
        <v>2022</v>
      </c>
      <c r="B751" s="6" t="s">
        <v>71</v>
      </c>
      <c r="C751" s="6" t="s">
        <v>87</v>
      </c>
      <c r="D751" s="7" t="n">
        <v>5</v>
      </c>
      <c r="E751" s="7" t="n">
        <v>11</v>
      </c>
      <c r="F751" s="7" t="n">
        <v>3</v>
      </c>
      <c r="G751" s="7" t="n">
        <v>2</v>
      </c>
      <c r="H751" s="7" t="n">
        <v>0</v>
      </c>
      <c r="I751" s="7" t="n">
        <v>0</v>
      </c>
      <c r="J751" s="7" t="n">
        <v>0</v>
      </c>
      <c r="K751" s="7" t="n">
        <v>0</v>
      </c>
      <c r="L751" s="7" t="n">
        <v>2</v>
      </c>
      <c r="M751" s="7" t="n">
        <v>0</v>
      </c>
      <c r="N751" s="7" t="n">
        <v>3</v>
      </c>
      <c r="O751" s="7" t="n">
        <v>0</v>
      </c>
      <c r="P751" s="8" t="n">
        <f aca="false">IF(E751=0,0,G751/E751)</f>
        <v>0.181818181818182</v>
      </c>
      <c r="Q751" s="8" t="n">
        <f aca="false">IF(E751+N751=0,0,(G751+N751)/(E751+N751))</f>
        <v>0.357142857142857</v>
      </c>
      <c r="R751" s="8" t="n">
        <f aca="false">IF(E751=0,0,L751/E751)</f>
        <v>0.181818181818182</v>
      </c>
      <c r="S751" s="8" t="n">
        <f aca="false">R751+Q751</f>
        <v>0.538961038961039</v>
      </c>
      <c r="T751" s="8" t="n">
        <f aca="false">R751-P751</f>
        <v>0</v>
      </c>
    </row>
    <row r="752" customFormat="false" ht="14.25" hidden="false" customHeight="true" outlineLevel="0" collapsed="false">
      <c r="A752" s="6" t="n">
        <v>2022</v>
      </c>
      <c r="B752" s="6" t="s">
        <v>71</v>
      </c>
      <c r="C752" s="6" t="s">
        <v>246</v>
      </c>
      <c r="D752" s="7" t="n">
        <v>5</v>
      </c>
      <c r="E752" s="7" t="n">
        <v>9</v>
      </c>
      <c r="F752" s="7" t="n">
        <v>1</v>
      </c>
      <c r="G752" s="7" t="n">
        <v>2</v>
      </c>
      <c r="H752" s="7" t="n">
        <v>0</v>
      </c>
      <c r="I752" s="7" t="n">
        <v>0</v>
      </c>
      <c r="J752" s="7" t="n">
        <v>0</v>
      </c>
      <c r="K752" s="7" t="n">
        <v>0</v>
      </c>
      <c r="L752" s="7" t="n">
        <v>2</v>
      </c>
      <c r="M752" s="7" t="n">
        <v>0</v>
      </c>
      <c r="N752" s="7" t="n">
        <v>1</v>
      </c>
      <c r="O752" s="7" t="n">
        <v>0</v>
      </c>
      <c r="P752" s="8" t="n">
        <f aca="false">IF(E752=0,0,G752/E752)</f>
        <v>0.222222222222222</v>
      </c>
      <c r="Q752" s="8" t="n">
        <f aca="false">IF(E752+N752=0,0,(G752+N752)/(E752+N752))</f>
        <v>0.3</v>
      </c>
      <c r="R752" s="8" t="n">
        <f aca="false">IF(E752=0,0,L752/E752)</f>
        <v>0.222222222222222</v>
      </c>
      <c r="S752" s="8" t="n">
        <f aca="false">R752+Q752</f>
        <v>0.522222222222222</v>
      </c>
      <c r="T752" s="8" t="n">
        <f aca="false">R752-P752</f>
        <v>0</v>
      </c>
    </row>
    <row r="753" customFormat="false" ht="14.25" hidden="false" customHeight="true" outlineLevel="0" collapsed="false">
      <c r="A753" s="6" t="n">
        <v>2022</v>
      </c>
      <c r="B753" s="6" t="s">
        <v>71</v>
      </c>
      <c r="C753" s="6" t="s">
        <v>88</v>
      </c>
      <c r="D753" s="7" t="n">
        <v>3</v>
      </c>
      <c r="E753" s="7" t="n">
        <v>6</v>
      </c>
      <c r="F753" s="7" t="n">
        <v>1</v>
      </c>
      <c r="G753" s="7" t="n">
        <v>2</v>
      </c>
      <c r="H753" s="7" t="n">
        <v>0</v>
      </c>
      <c r="I753" s="7" t="n">
        <v>0</v>
      </c>
      <c r="J753" s="7" t="n">
        <v>0</v>
      </c>
      <c r="K753" s="7" t="n">
        <v>0</v>
      </c>
      <c r="L753" s="7" t="n">
        <v>2</v>
      </c>
      <c r="M753" s="7" t="n">
        <v>1</v>
      </c>
      <c r="N753" s="7" t="n">
        <v>0</v>
      </c>
      <c r="O753" s="7" t="n">
        <v>0</v>
      </c>
      <c r="P753" s="8" t="n">
        <f aca="false">IF(E753=0,0,G753/E753)</f>
        <v>0.333333333333333</v>
      </c>
      <c r="Q753" s="8" t="n">
        <f aca="false">IF(E753+N753=0,0,(G753+N753)/(E753+N753))</f>
        <v>0.333333333333333</v>
      </c>
      <c r="R753" s="8" t="n">
        <f aca="false">IF(E753=0,0,L753/E753)</f>
        <v>0.333333333333333</v>
      </c>
      <c r="S753" s="8" t="n">
        <f aca="false">R753+Q753</f>
        <v>0.666666666666667</v>
      </c>
      <c r="T753" s="8" t="n">
        <f aca="false">R753-P753</f>
        <v>0</v>
      </c>
    </row>
    <row r="754" customFormat="false" ht="14.25" hidden="false" customHeight="true" outlineLevel="0" collapsed="false">
      <c r="A754" s="6" t="n">
        <v>2022</v>
      </c>
      <c r="B754" s="6" t="s">
        <v>71</v>
      </c>
      <c r="C754" s="6" t="s">
        <v>368</v>
      </c>
      <c r="D754" s="7" t="n">
        <v>1</v>
      </c>
      <c r="E754" s="7" t="n">
        <v>3</v>
      </c>
      <c r="F754" s="7" t="n">
        <v>0</v>
      </c>
      <c r="G754" s="7" t="n">
        <v>2</v>
      </c>
      <c r="H754" s="7" t="n">
        <v>1</v>
      </c>
      <c r="I754" s="7" t="n">
        <v>0</v>
      </c>
      <c r="J754" s="7" t="n">
        <v>0</v>
      </c>
      <c r="K754" s="7" t="n">
        <v>1</v>
      </c>
      <c r="L754" s="7" t="n">
        <v>3</v>
      </c>
      <c r="M754" s="7" t="n">
        <v>0</v>
      </c>
      <c r="N754" s="7" t="n">
        <v>0</v>
      </c>
      <c r="O754" s="7" t="n">
        <v>0</v>
      </c>
      <c r="P754" s="8" t="n">
        <f aca="false">IF(E754=0,0,G754/E754)</f>
        <v>0.666666666666667</v>
      </c>
      <c r="Q754" s="8" t="n">
        <f aca="false">IF(E754+N754=0,0,(G754+N754)/(E754+N754))</f>
        <v>0.666666666666667</v>
      </c>
      <c r="R754" s="8" t="n">
        <f aca="false">IF(E754=0,0,L754/E754)</f>
        <v>1</v>
      </c>
      <c r="S754" s="8" t="n">
        <f aca="false">R754+Q754</f>
        <v>1.66666666666667</v>
      </c>
      <c r="T754" s="8" t="n">
        <f aca="false">R754-P754</f>
        <v>0.333333333333333</v>
      </c>
    </row>
    <row r="755" customFormat="false" ht="14.25" hidden="false" customHeight="true" outlineLevel="0" collapsed="false">
      <c r="A755" s="6" t="n">
        <v>2022</v>
      </c>
      <c r="B755" s="6" t="s">
        <v>71</v>
      </c>
      <c r="C755" s="6" t="s">
        <v>92</v>
      </c>
      <c r="D755" s="7" t="n">
        <v>2</v>
      </c>
      <c r="E755" s="7" t="n">
        <v>7</v>
      </c>
      <c r="F755" s="7" t="n">
        <v>2</v>
      </c>
      <c r="G755" s="7" t="n">
        <v>1</v>
      </c>
      <c r="H755" s="7" t="n">
        <v>0</v>
      </c>
      <c r="I755" s="7" t="n">
        <v>0</v>
      </c>
      <c r="J755" s="7" t="n">
        <v>0</v>
      </c>
      <c r="K755" s="7" t="n">
        <v>0</v>
      </c>
      <c r="L755" s="7" t="n">
        <v>1</v>
      </c>
      <c r="M755" s="7" t="n">
        <v>1</v>
      </c>
      <c r="N755" s="7" t="n">
        <v>0</v>
      </c>
      <c r="O755" s="7" t="n">
        <v>0</v>
      </c>
      <c r="P755" s="8" t="n">
        <f aca="false">IF(E755=0,0,G755/E755)</f>
        <v>0.142857142857143</v>
      </c>
      <c r="Q755" s="8" t="n">
        <f aca="false">IF(E755+N755=0,0,(G755+N755)/(E755+N755))</f>
        <v>0.142857142857143</v>
      </c>
      <c r="R755" s="8" t="n">
        <f aca="false">IF(E755=0,0,L755/E755)</f>
        <v>0.142857142857143</v>
      </c>
      <c r="S755" s="8" t="n">
        <f aca="false">R755+Q755</f>
        <v>0.285714285714286</v>
      </c>
      <c r="T755" s="8" t="n">
        <f aca="false">R755-P755</f>
        <v>0</v>
      </c>
    </row>
    <row r="756" customFormat="false" ht="14.25" hidden="false" customHeight="true" outlineLevel="0" collapsed="false">
      <c r="A756" s="6" t="n">
        <v>2022</v>
      </c>
      <c r="B756" s="6" t="s">
        <v>71</v>
      </c>
      <c r="C756" s="6" t="s">
        <v>369</v>
      </c>
      <c r="D756" s="7" t="n">
        <v>1</v>
      </c>
      <c r="E756" s="7" t="n">
        <v>1</v>
      </c>
      <c r="F756" s="7" t="n">
        <v>0</v>
      </c>
      <c r="G756" s="7" t="n">
        <v>1</v>
      </c>
      <c r="H756" s="7" t="n">
        <v>0</v>
      </c>
      <c r="I756" s="7" t="n">
        <v>0</v>
      </c>
      <c r="J756" s="7" t="n">
        <v>0</v>
      </c>
      <c r="K756" s="7" t="n">
        <v>0</v>
      </c>
      <c r="L756" s="7" t="n">
        <v>1</v>
      </c>
      <c r="M756" s="7" t="n">
        <v>1</v>
      </c>
      <c r="N756" s="7" t="n">
        <v>0</v>
      </c>
      <c r="O756" s="7" t="n">
        <v>0</v>
      </c>
      <c r="P756" s="8" t="n">
        <f aca="false">IF(E756=0,0,G756/E756)</f>
        <v>1</v>
      </c>
      <c r="Q756" s="8" t="n">
        <f aca="false">IF(E756+N756=0,0,(G756+N756)/(E756+N756))</f>
        <v>1</v>
      </c>
      <c r="R756" s="8" t="n">
        <f aca="false">IF(E756=0,0,L756/E756)</f>
        <v>1</v>
      </c>
      <c r="S756" s="8" t="n">
        <f aca="false">R756+Q756</f>
        <v>2</v>
      </c>
      <c r="T756" s="8" t="n">
        <f aca="false">R756-P756</f>
        <v>0</v>
      </c>
    </row>
    <row r="757" customFormat="false" ht="14.25" hidden="false" customHeight="true" outlineLevel="0" collapsed="false">
      <c r="A757" s="6" t="n">
        <v>2022</v>
      </c>
      <c r="B757" s="6" t="s">
        <v>71</v>
      </c>
      <c r="C757" s="6" t="s">
        <v>370</v>
      </c>
      <c r="D757" s="7" t="n">
        <v>1</v>
      </c>
      <c r="E757" s="7" t="n">
        <v>2</v>
      </c>
      <c r="F757" s="7" t="n">
        <v>0</v>
      </c>
      <c r="G757" s="7" t="n">
        <v>1</v>
      </c>
      <c r="H757" s="7" t="n">
        <v>0</v>
      </c>
      <c r="I757" s="7" t="n">
        <v>0</v>
      </c>
      <c r="J757" s="7" t="n">
        <v>0</v>
      </c>
      <c r="K757" s="7" t="n">
        <v>0</v>
      </c>
      <c r="L757" s="7" t="n">
        <v>1</v>
      </c>
      <c r="M757" s="7" t="n">
        <v>0</v>
      </c>
      <c r="N757" s="7" t="n">
        <v>0</v>
      </c>
      <c r="O757" s="7" t="n">
        <v>1</v>
      </c>
      <c r="P757" s="8" t="n">
        <f aca="false">IF(E757=0,0,G757/E757)</f>
        <v>0.5</v>
      </c>
      <c r="Q757" s="8" t="n">
        <f aca="false">IF(E757+N757=0,0,(G757+N757)/(E757+N757))</f>
        <v>0.5</v>
      </c>
      <c r="R757" s="8" t="n">
        <f aca="false">IF(E757=0,0,L757/E757)</f>
        <v>0.5</v>
      </c>
      <c r="S757" s="8" t="n">
        <f aca="false">R757+Q757</f>
        <v>1</v>
      </c>
      <c r="T757" s="8" t="n">
        <f aca="false">R757-P757</f>
        <v>0</v>
      </c>
    </row>
    <row r="758" customFormat="false" ht="14.25" hidden="false" customHeight="true" outlineLevel="0" collapsed="false">
      <c r="A758" s="6" t="n">
        <v>2022</v>
      </c>
      <c r="B758" s="6" t="s">
        <v>71</v>
      </c>
      <c r="C758" s="6" t="s">
        <v>89</v>
      </c>
      <c r="D758" s="7" t="n">
        <v>1</v>
      </c>
      <c r="E758" s="7" t="n">
        <v>2</v>
      </c>
      <c r="F758" s="7" t="n">
        <v>0</v>
      </c>
      <c r="G758" s="7" t="n">
        <v>1</v>
      </c>
      <c r="H758" s="7" t="n">
        <v>0</v>
      </c>
      <c r="I758" s="7" t="n">
        <v>0</v>
      </c>
      <c r="J758" s="7" t="n">
        <v>0</v>
      </c>
      <c r="K758" s="7" t="n">
        <v>0</v>
      </c>
      <c r="L758" s="7" t="n">
        <v>1</v>
      </c>
      <c r="M758" s="7" t="n">
        <v>0</v>
      </c>
      <c r="N758" s="7" t="n">
        <v>0</v>
      </c>
      <c r="O758" s="7" t="n">
        <v>0</v>
      </c>
      <c r="P758" s="8" t="n">
        <f aca="false">IF(E758=0,0,G758/E758)</f>
        <v>0.5</v>
      </c>
      <c r="Q758" s="8" t="n">
        <f aca="false">IF(E758+N758=0,0,(G758+N758)/(E758+N758))</f>
        <v>0.5</v>
      </c>
      <c r="R758" s="8" t="n">
        <f aca="false">IF(E758=0,0,L758/E758)</f>
        <v>0.5</v>
      </c>
      <c r="S758" s="8" t="n">
        <f aca="false">R758+Q758</f>
        <v>1</v>
      </c>
      <c r="T758" s="8" t="n">
        <f aca="false">R758-P758</f>
        <v>0</v>
      </c>
    </row>
    <row r="759" customFormat="false" ht="14.25" hidden="false" customHeight="true" outlineLevel="0" collapsed="false">
      <c r="A759" s="6" t="n">
        <v>2022</v>
      </c>
      <c r="B759" s="6" t="s">
        <v>71</v>
      </c>
      <c r="C759" s="6" t="s">
        <v>371</v>
      </c>
      <c r="D759" s="7" t="n">
        <v>1</v>
      </c>
      <c r="E759" s="7" t="n">
        <v>3</v>
      </c>
      <c r="F759" s="7" t="n">
        <v>0</v>
      </c>
      <c r="G759" s="7" t="n">
        <v>1</v>
      </c>
      <c r="H759" s="7" t="n">
        <v>0</v>
      </c>
      <c r="I759" s="7" t="n">
        <v>0</v>
      </c>
      <c r="J759" s="7" t="n">
        <v>0</v>
      </c>
      <c r="K759" s="7" t="n">
        <v>0</v>
      </c>
      <c r="L759" s="7" t="n">
        <v>1</v>
      </c>
      <c r="M759" s="7" t="n">
        <v>0</v>
      </c>
      <c r="N759" s="7" t="n">
        <v>0</v>
      </c>
      <c r="O759" s="7" t="n">
        <v>0</v>
      </c>
      <c r="P759" s="8" t="n">
        <f aca="false">IF(E759=0,0,G759/E759)</f>
        <v>0.333333333333333</v>
      </c>
      <c r="Q759" s="8" t="n">
        <f aca="false">IF(E759+N759=0,0,(G759+N759)/(E759+N759))</f>
        <v>0.333333333333333</v>
      </c>
      <c r="R759" s="8" t="n">
        <f aca="false">IF(E759=0,0,L759/E759)</f>
        <v>0.333333333333333</v>
      </c>
      <c r="S759" s="8" t="n">
        <f aca="false">R759+Q759</f>
        <v>0.666666666666667</v>
      </c>
      <c r="T759" s="8" t="n">
        <f aca="false">R759-P759</f>
        <v>0</v>
      </c>
    </row>
    <row r="760" customFormat="false" ht="14.25" hidden="false" customHeight="true" outlineLevel="0" collapsed="false">
      <c r="A760" s="6" t="n">
        <v>2022</v>
      </c>
      <c r="B760" s="6" t="s">
        <v>71</v>
      </c>
      <c r="C760" s="6" t="s">
        <v>135</v>
      </c>
      <c r="D760" s="7" t="n">
        <v>1</v>
      </c>
      <c r="E760" s="7" t="n">
        <v>3</v>
      </c>
      <c r="F760" s="7" t="n">
        <v>1</v>
      </c>
      <c r="G760" s="7" t="n">
        <v>1</v>
      </c>
      <c r="H760" s="7" t="n">
        <v>0</v>
      </c>
      <c r="I760" s="7" t="n">
        <v>0</v>
      </c>
      <c r="J760" s="7" t="n">
        <v>0</v>
      </c>
      <c r="K760" s="7" t="n">
        <v>0</v>
      </c>
      <c r="L760" s="7" t="n">
        <v>1</v>
      </c>
      <c r="M760" s="7" t="n">
        <v>0</v>
      </c>
      <c r="N760" s="7" t="n">
        <v>0</v>
      </c>
      <c r="O760" s="7" t="n">
        <v>0</v>
      </c>
      <c r="P760" s="8" t="n">
        <f aca="false">IF(E760=0,0,G760/E760)</f>
        <v>0.333333333333333</v>
      </c>
      <c r="Q760" s="8" t="n">
        <f aca="false">IF(E760+N760=0,0,(G760+N760)/(E760+N760))</f>
        <v>0.333333333333333</v>
      </c>
      <c r="R760" s="8" t="n">
        <f aca="false">IF(E760=0,0,L760/E760)</f>
        <v>0.333333333333333</v>
      </c>
      <c r="S760" s="8" t="n">
        <f aca="false">R760+Q760</f>
        <v>0.666666666666667</v>
      </c>
      <c r="T760" s="8" t="n">
        <f aca="false">R760-P760</f>
        <v>0</v>
      </c>
    </row>
    <row r="761" customFormat="false" ht="14.25" hidden="false" customHeight="true" outlineLevel="0" collapsed="false">
      <c r="A761" s="6" t="n">
        <v>2022</v>
      </c>
      <c r="B761" s="6" t="s">
        <v>71</v>
      </c>
      <c r="C761" s="6" t="s">
        <v>242</v>
      </c>
      <c r="D761" s="7" t="n">
        <v>9</v>
      </c>
      <c r="E761" s="7" t="n">
        <v>26</v>
      </c>
      <c r="F761" s="7" t="n">
        <v>1</v>
      </c>
      <c r="G761" s="7" t="n">
        <v>0</v>
      </c>
      <c r="H761" s="7" t="n">
        <v>0</v>
      </c>
      <c r="I761" s="7" t="n">
        <v>0</v>
      </c>
      <c r="J761" s="7" t="n">
        <v>0</v>
      </c>
      <c r="K761" s="7" t="n">
        <v>0</v>
      </c>
      <c r="L761" s="7" t="n">
        <v>0</v>
      </c>
      <c r="M761" s="7" t="n">
        <v>2</v>
      </c>
      <c r="N761" s="7" t="n">
        <v>1</v>
      </c>
      <c r="O761" s="7" t="n">
        <v>0</v>
      </c>
      <c r="P761" s="8" t="n">
        <f aca="false">IF(E761=0,0,G761/E761)</f>
        <v>0</v>
      </c>
      <c r="Q761" s="8" t="n">
        <f aca="false">IF(E761+N761=0,0,(G761+N761)/(E761+N761))</f>
        <v>0.037037037037037</v>
      </c>
      <c r="R761" s="8" t="n">
        <f aca="false">IF(E761=0,0,L761/E761)</f>
        <v>0</v>
      </c>
      <c r="S761" s="8" t="n">
        <f aca="false">R761+Q761</f>
        <v>0.037037037037037</v>
      </c>
      <c r="T761" s="8" t="n">
        <f aca="false">R761-P761</f>
        <v>0</v>
      </c>
    </row>
    <row r="762" customFormat="false" ht="14.25" hidden="false" customHeight="true" outlineLevel="0" collapsed="false">
      <c r="A762" s="6" t="n">
        <v>2022</v>
      </c>
      <c r="B762" s="6" t="s">
        <v>71</v>
      </c>
      <c r="C762" s="6" t="s">
        <v>240</v>
      </c>
      <c r="D762" s="7" t="n">
        <v>2</v>
      </c>
      <c r="E762" s="7" t="n">
        <v>3</v>
      </c>
      <c r="F762" s="7" t="n">
        <v>1</v>
      </c>
      <c r="G762" s="7" t="n">
        <v>0</v>
      </c>
      <c r="H762" s="7" t="n">
        <v>0</v>
      </c>
      <c r="I762" s="7" t="n">
        <v>0</v>
      </c>
      <c r="J762" s="7" t="n">
        <v>0</v>
      </c>
      <c r="K762" s="7" t="n">
        <v>0</v>
      </c>
      <c r="L762" s="7" t="n">
        <v>0</v>
      </c>
      <c r="M762" s="7" t="n">
        <v>0</v>
      </c>
      <c r="N762" s="7" t="n">
        <v>0</v>
      </c>
      <c r="O762" s="7" t="n">
        <v>0</v>
      </c>
      <c r="P762" s="8" t="n">
        <f aca="false">IF(E762=0,0,G762/E762)</f>
        <v>0</v>
      </c>
      <c r="Q762" s="8" t="n">
        <f aca="false">IF(E762+N762=0,0,(G762+N762)/(E762+N762))</f>
        <v>0</v>
      </c>
      <c r="R762" s="8" t="n">
        <f aca="false">IF(E762=0,0,L762/E762)</f>
        <v>0</v>
      </c>
      <c r="S762" s="8" t="n">
        <f aca="false">R762+Q762</f>
        <v>0</v>
      </c>
      <c r="T762" s="8" t="n">
        <f aca="false">R762-P762</f>
        <v>0</v>
      </c>
    </row>
    <row r="763" customFormat="false" ht="14.25" hidden="false" customHeight="true" outlineLevel="0" collapsed="false">
      <c r="A763" s="6" t="n">
        <v>2022</v>
      </c>
      <c r="B763" s="6" t="s">
        <v>71</v>
      </c>
      <c r="C763" s="6" t="s">
        <v>372</v>
      </c>
      <c r="D763" s="7" t="n">
        <v>1</v>
      </c>
      <c r="E763" s="7" t="n">
        <v>3</v>
      </c>
      <c r="F763" s="7" t="n">
        <v>1</v>
      </c>
      <c r="G763" s="7" t="n">
        <v>0</v>
      </c>
      <c r="H763" s="7" t="n">
        <v>0</v>
      </c>
      <c r="I763" s="7" t="n">
        <v>0</v>
      </c>
      <c r="J763" s="7" t="n">
        <v>0</v>
      </c>
      <c r="K763" s="7" t="n">
        <v>0</v>
      </c>
      <c r="L763" s="7" t="n">
        <v>0</v>
      </c>
      <c r="M763" s="7" t="n">
        <v>1</v>
      </c>
      <c r="N763" s="7" t="n">
        <v>0</v>
      </c>
      <c r="O763" s="7" t="n">
        <v>0</v>
      </c>
      <c r="P763" s="8" t="n">
        <f aca="false">IF(E763=0,0,G763/E763)</f>
        <v>0</v>
      </c>
      <c r="Q763" s="8" t="n">
        <f aca="false">IF(E763+N763=0,0,(G763+N763)/(E763+N763))</f>
        <v>0</v>
      </c>
      <c r="R763" s="8" t="n">
        <f aca="false">IF(E763=0,0,L763/E763)</f>
        <v>0</v>
      </c>
      <c r="S763" s="8" t="n">
        <f aca="false">R763+Q763</f>
        <v>0</v>
      </c>
      <c r="T763" s="8" t="n">
        <f aca="false">R763-P763</f>
        <v>0</v>
      </c>
    </row>
    <row r="764" customFormat="false" ht="14.25" hidden="false" customHeight="true" outlineLevel="0" collapsed="false">
      <c r="A764" s="6" t="n">
        <v>2022</v>
      </c>
      <c r="B764" s="6" t="s">
        <v>71</v>
      </c>
      <c r="C764" s="6" t="s">
        <v>373</v>
      </c>
      <c r="D764" s="7" t="n">
        <v>1</v>
      </c>
      <c r="E764" s="7" t="n">
        <v>3</v>
      </c>
      <c r="F764" s="7" t="n">
        <v>0</v>
      </c>
      <c r="G764" s="7" t="n">
        <v>0</v>
      </c>
      <c r="H764" s="7" t="n">
        <v>0</v>
      </c>
      <c r="I764" s="7" t="n">
        <v>0</v>
      </c>
      <c r="J764" s="7" t="n">
        <v>0</v>
      </c>
      <c r="K764" s="7" t="n">
        <v>0</v>
      </c>
      <c r="L764" s="7" t="n">
        <v>0</v>
      </c>
      <c r="M764" s="7" t="n">
        <v>0</v>
      </c>
      <c r="N764" s="7" t="n">
        <v>0</v>
      </c>
      <c r="O764" s="7" t="n">
        <v>3</v>
      </c>
      <c r="P764" s="8" t="n">
        <f aca="false">IF(E764=0,0,G764/E764)</f>
        <v>0</v>
      </c>
      <c r="Q764" s="8" t="n">
        <f aca="false">IF(E764+N764=0,0,(G764+N764)/(E764+N764))</f>
        <v>0</v>
      </c>
      <c r="R764" s="8" t="n">
        <f aca="false">IF(E764=0,0,L764/E764)</f>
        <v>0</v>
      </c>
      <c r="S764" s="8" t="n">
        <f aca="false">R764+Q764</f>
        <v>0</v>
      </c>
      <c r="T764" s="8" t="n">
        <f aca="false">R764-P764</f>
        <v>0</v>
      </c>
    </row>
    <row r="765" customFormat="false" ht="14.25" hidden="false" customHeight="true" outlineLevel="0" collapsed="false">
      <c r="A765" s="6" t="n">
        <v>2022</v>
      </c>
      <c r="B765" s="6" t="s">
        <v>71</v>
      </c>
      <c r="C765" s="6" t="s">
        <v>374</v>
      </c>
      <c r="D765" s="7" t="n">
        <v>1</v>
      </c>
      <c r="E765" s="7" t="n">
        <v>2</v>
      </c>
      <c r="F765" s="7" t="n">
        <v>0</v>
      </c>
      <c r="G765" s="7" t="n">
        <v>0</v>
      </c>
      <c r="H765" s="7" t="n">
        <v>0</v>
      </c>
      <c r="I765" s="7" t="n">
        <v>0</v>
      </c>
      <c r="J765" s="7" t="n">
        <v>0</v>
      </c>
      <c r="K765" s="7" t="n">
        <v>0</v>
      </c>
      <c r="L765" s="7" t="n">
        <v>0</v>
      </c>
      <c r="M765" s="7" t="n">
        <v>0</v>
      </c>
      <c r="N765" s="7" t="n">
        <v>1</v>
      </c>
      <c r="O765" s="7" t="n">
        <v>1</v>
      </c>
      <c r="P765" s="8" t="n">
        <f aca="false">IF(E765=0,0,G765/E765)</f>
        <v>0</v>
      </c>
      <c r="Q765" s="8" t="n">
        <f aca="false">IF(E765+N765=0,0,(G765+N765)/(E765+N765))</f>
        <v>0.333333333333333</v>
      </c>
      <c r="R765" s="8" t="n">
        <f aca="false">IF(E765=0,0,L765/E765)</f>
        <v>0</v>
      </c>
      <c r="S765" s="8" t="n">
        <f aca="false">R765+Q765</f>
        <v>0.333333333333333</v>
      </c>
      <c r="T765" s="8" t="n">
        <f aca="false">R765-P765</f>
        <v>0</v>
      </c>
    </row>
    <row r="766" customFormat="false" ht="14.25" hidden="false" customHeight="true" outlineLevel="0" collapsed="false">
      <c r="A766" s="6" t="n">
        <v>2022</v>
      </c>
      <c r="B766" s="6" t="s">
        <v>71</v>
      </c>
      <c r="C766" s="6" t="s">
        <v>245</v>
      </c>
      <c r="D766" s="7" t="n">
        <v>1</v>
      </c>
      <c r="E766" s="7" t="n">
        <v>1</v>
      </c>
      <c r="F766" s="7" t="n">
        <v>0</v>
      </c>
      <c r="G766" s="7" t="n">
        <v>0</v>
      </c>
      <c r="H766" s="7" t="n">
        <v>0</v>
      </c>
      <c r="I766" s="7" t="n">
        <v>0</v>
      </c>
      <c r="J766" s="7" t="n">
        <v>0</v>
      </c>
      <c r="K766" s="7" t="n">
        <v>0</v>
      </c>
      <c r="L766" s="7" t="n">
        <v>0</v>
      </c>
      <c r="M766" s="7" t="n">
        <v>0</v>
      </c>
      <c r="N766" s="7" t="n">
        <v>0</v>
      </c>
      <c r="O766" s="7" t="n">
        <v>1</v>
      </c>
      <c r="P766" s="8" t="n">
        <f aca="false">IF(E766=0,0,G766/E766)</f>
        <v>0</v>
      </c>
      <c r="Q766" s="8" t="n">
        <f aca="false">IF(E766+N766=0,0,(G766+N766)/(E766+N766))</f>
        <v>0</v>
      </c>
      <c r="R766" s="8" t="n">
        <f aca="false">IF(E766=0,0,L766/E766)</f>
        <v>0</v>
      </c>
      <c r="S766" s="8" t="n">
        <f aca="false">R766+Q766</f>
        <v>0</v>
      </c>
      <c r="T766" s="8" t="n">
        <f aca="false">R766-P766</f>
        <v>0</v>
      </c>
    </row>
    <row r="767" customFormat="false" ht="14.25" hidden="false" customHeight="true" outlineLevel="0" collapsed="false">
      <c r="A767" s="6" t="n">
        <v>2022</v>
      </c>
      <c r="B767" s="6" t="s">
        <v>71</v>
      </c>
      <c r="C767" s="6" t="s">
        <v>375</v>
      </c>
      <c r="D767" s="7" t="n">
        <v>1</v>
      </c>
      <c r="E767" s="7" t="n">
        <v>3</v>
      </c>
      <c r="F767" s="7" t="n">
        <v>0</v>
      </c>
      <c r="G767" s="7" t="n">
        <v>0</v>
      </c>
      <c r="H767" s="7" t="n">
        <v>0</v>
      </c>
      <c r="I767" s="7" t="n">
        <v>0</v>
      </c>
      <c r="J767" s="7" t="n">
        <v>0</v>
      </c>
      <c r="K767" s="7" t="n">
        <v>0</v>
      </c>
      <c r="L767" s="7" t="n">
        <v>0</v>
      </c>
      <c r="M767" s="7" t="n">
        <v>0</v>
      </c>
      <c r="N767" s="7" t="n">
        <v>0</v>
      </c>
      <c r="O767" s="7" t="n">
        <v>0</v>
      </c>
      <c r="P767" s="8" t="n">
        <f aca="false">IF(E767=0,0,G767/E767)</f>
        <v>0</v>
      </c>
      <c r="Q767" s="8" t="n">
        <f aca="false">IF(E767+N767=0,0,(G767+N767)/(E767+N767))</f>
        <v>0</v>
      </c>
      <c r="R767" s="8" t="n">
        <f aca="false">IF(E767=0,0,L767/E767)</f>
        <v>0</v>
      </c>
      <c r="S767" s="8" t="n">
        <f aca="false">R767+Q767</f>
        <v>0</v>
      </c>
      <c r="T767" s="8" t="n">
        <f aca="false">R767-P767</f>
        <v>0</v>
      </c>
    </row>
    <row r="768" customFormat="false" ht="14.25" hidden="false" customHeight="true" outlineLevel="0" collapsed="false">
      <c r="A768" s="6" t="n">
        <v>2022</v>
      </c>
      <c r="B768" s="6" t="s">
        <v>71</v>
      </c>
      <c r="C768" s="6" t="s">
        <v>376</v>
      </c>
      <c r="D768" s="7" t="n">
        <v>1</v>
      </c>
      <c r="E768" s="7" t="n">
        <v>3</v>
      </c>
      <c r="F768" s="7" t="n">
        <v>0</v>
      </c>
      <c r="G768" s="7" t="n">
        <v>0</v>
      </c>
      <c r="H768" s="7" t="n">
        <v>0</v>
      </c>
      <c r="I768" s="7" t="n">
        <v>0</v>
      </c>
      <c r="J768" s="7" t="n">
        <v>0</v>
      </c>
      <c r="K768" s="7" t="n">
        <v>0</v>
      </c>
      <c r="L768" s="7" t="n">
        <v>0</v>
      </c>
      <c r="M768" s="7" t="n">
        <v>0</v>
      </c>
      <c r="N768" s="7" t="n">
        <v>0</v>
      </c>
      <c r="O768" s="7" t="n">
        <v>0</v>
      </c>
      <c r="P768" s="8" t="n">
        <f aca="false">IF(E768=0,0,G768/E768)</f>
        <v>0</v>
      </c>
      <c r="Q768" s="8" t="n">
        <f aca="false">IF(E768+N768=0,0,(G768+N768)/(E768+N768))</f>
        <v>0</v>
      </c>
      <c r="R768" s="8" t="n">
        <f aca="false">IF(E768=0,0,L768/E768)</f>
        <v>0</v>
      </c>
      <c r="S768" s="8" t="n">
        <f aca="false">R768+Q768</f>
        <v>0</v>
      </c>
      <c r="T768" s="8" t="n">
        <f aca="false">R768-P768</f>
        <v>0</v>
      </c>
    </row>
    <row r="769" customFormat="false" ht="14.25" hidden="false" customHeight="true" outlineLevel="0" collapsed="false">
      <c r="A769" s="6" t="n">
        <v>2022</v>
      </c>
      <c r="B769" s="6" t="s">
        <v>71</v>
      </c>
      <c r="C769" s="6" t="s">
        <v>377</v>
      </c>
      <c r="D769" s="7" t="n">
        <v>1</v>
      </c>
      <c r="E769" s="7" t="n">
        <v>2</v>
      </c>
      <c r="F769" s="7" t="n">
        <v>0</v>
      </c>
      <c r="G769" s="7" t="n">
        <v>0</v>
      </c>
      <c r="H769" s="7" t="n">
        <v>0</v>
      </c>
      <c r="I769" s="7" t="n">
        <v>0</v>
      </c>
      <c r="J769" s="7" t="n">
        <v>0</v>
      </c>
      <c r="K769" s="7" t="n">
        <v>0</v>
      </c>
      <c r="L769" s="7" t="n">
        <v>0</v>
      </c>
      <c r="M769" s="7" t="n">
        <v>0</v>
      </c>
      <c r="N769" s="7" t="n">
        <v>0</v>
      </c>
      <c r="O769" s="7" t="n">
        <v>0</v>
      </c>
      <c r="P769" s="8" t="n">
        <f aca="false">IF(E769=0,0,G769/E769)</f>
        <v>0</v>
      </c>
      <c r="Q769" s="8" t="n">
        <f aca="false">IF(E769+N769=0,0,(G769+N769)/(E769+N769))</f>
        <v>0</v>
      </c>
      <c r="R769" s="8" t="n">
        <f aca="false">IF(E769=0,0,L769/E769)</f>
        <v>0</v>
      </c>
      <c r="S769" s="8" t="n">
        <f aca="false">R769+Q769</f>
        <v>0</v>
      </c>
      <c r="T769" s="8" t="n">
        <f aca="false">R769-P769</f>
        <v>0</v>
      </c>
    </row>
    <row r="770" customFormat="false" ht="14.25" hidden="false" customHeight="true" outlineLevel="0" collapsed="false">
      <c r="A770" s="6" t="n">
        <v>2022</v>
      </c>
      <c r="B770" s="6" t="s">
        <v>71</v>
      </c>
      <c r="C770" s="6" t="s">
        <v>378</v>
      </c>
      <c r="D770" s="7" t="n">
        <v>1</v>
      </c>
      <c r="E770" s="7" t="n">
        <v>1</v>
      </c>
      <c r="F770" s="7" t="n">
        <v>0</v>
      </c>
      <c r="G770" s="7" t="n">
        <v>0</v>
      </c>
      <c r="H770" s="7" t="n">
        <v>0</v>
      </c>
      <c r="I770" s="7" t="n">
        <v>0</v>
      </c>
      <c r="J770" s="7" t="n">
        <v>0</v>
      </c>
      <c r="K770" s="7" t="n">
        <v>0</v>
      </c>
      <c r="L770" s="7" t="n">
        <v>0</v>
      </c>
      <c r="M770" s="7" t="n">
        <v>0</v>
      </c>
      <c r="N770" s="7" t="n">
        <v>0</v>
      </c>
      <c r="O770" s="7" t="n">
        <v>0</v>
      </c>
      <c r="P770" s="8" t="n">
        <f aca="false">IF(E770=0,0,G770/E770)</f>
        <v>0</v>
      </c>
      <c r="Q770" s="8" t="n">
        <f aca="false">IF(E770+N770=0,0,(G770+N770)/(E770+N770))</f>
        <v>0</v>
      </c>
      <c r="R770" s="8" t="n">
        <f aca="false">IF(E770=0,0,L770/E770)</f>
        <v>0</v>
      </c>
      <c r="S770" s="8" t="n">
        <f aca="false">R770+Q770</f>
        <v>0</v>
      </c>
      <c r="T770" s="8" t="n">
        <f aca="false">R770-P770</f>
        <v>0</v>
      </c>
    </row>
    <row r="771" customFormat="false" ht="14.25" hidden="false" customHeight="true" outlineLevel="0" collapsed="false">
      <c r="A771" s="6" t="n">
        <v>2022</v>
      </c>
      <c r="B771" s="6" t="s">
        <v>97</v>
      </c>
      <c r="C771" s="6" t="s">
        <v>325</v>
      </c>
      <c r="D771" s="7" t="n">
        <v>10</v>
      </c>
      <c r="E771" s="7" t="n">
        <v>30</v>
      </c>
      <c r="F771" s="7" t="n">
        <v>7</v>
      </c>
      <c r="G771" s="7" t="n">
        <v>14</v>
      </c>
      <c r="H771" s="7" t="n">
        <v>3</v>
      </c>
      <c r="I771" s="7" t="n">
        <v>0</v>
      </c>
      <c r="J771" s="7" t="n">
        <v>2</v>
      </c>
      <c r="K771" s="7" t="n">
        <v>5</v>
      </c>
      <c r="L771" s="7" t="n">
        <v>23</v>
      </c>
      <c r="M771" s="7" t="n">
        <v>8</v>
      </c>
      <c r="N771" s="7" t="n">
        <v>2</v>
      </c>
      <c r="O771" s="7" t="n">
        <v>1</v>
      </c>
      <c r="P771" s="8" t="n">
        <f aca="false">IF(E771=0,0,G771/E771)</f>
        <v>0.466666666666667</v>
      </c>
      <c r="Q771" s="8" t="n">
        <f aca="false">IF(E771+N771=0,0,(G771+N771)/(E771+N771))</f>
        <v>0.5</v>
      </c>
      <c r="R771" s="8" t="n">
        <f aca="false">IF(E771=0,0,L771/E771)</f>
        <v>0.766666666666667</v>
      </c>
      <c r="S771" s="8" t="n">
        <f aca="false">R771+Q771</f>
        <v>1.26666666666667</v>
      </c>
      <c r="T771" s="8" t="n">
        <f aca="false">R771-P771</f>
        <v>0.3</v>
      </c>
    </row>
    <row r="772" customFormat="false" ht="14.25" hidden="false" customHeight="true" outlineLevel="0" collapsed="false">
      <c r="A772" s="6" t="n">
        <v>2022</v>
      </c>
      <c r="B772" s="6" t="s">
        <v>97</v>
      </c>
      <c r="C772" s="6" t="s">
        <v>102</v>
      </c>
      <c r="D772" s="7" t="n">
        <v>12</v>
      </c>
      <c r="E772" s="7" t="n">
        <v>33</v>
      </c>
      <c r="F772" s="7" t="n">
        <v>2</v>
      </c>
      <c r="G772" s="7" t="n">
        <v>10</v>
      </c>
      <c r="H772" s="7" t="n">
        <v>1</v>
      </c>
      <c r="I772" s="7" t="n">
        <v>0</v>
      </c>
      <c r="J772" s="7" t="n">
        <v>0</v>
      </c>
      <c r="K772" s="7" t="n">
        <v>1</v>
      </c>
      <c r="L772" s="7" t="n">
        <v>11</v>
      </c>
      <c r="M772" s="7" t="n">
        <v>2</v>
      </c>
      <c r="N772" s="7" t="n">
        <v>3</v>
      </c>
      <c r="O772" s="7" t="n">
        <v>0</v>
      </c>
      <c r="P772" s="8" t="n">
        <f aca="false">IF(E772=0,0,G772/E772)</f>
        <v>0.303030303030303</v>
      </c>
      <c r="Q772" s="8" t="n">
        <f aca="false">IF(E772+N772=0,0,(G772+N772)/(E772+N772))</f>
        <v>0.361111111111111</v>
      </c>
      <c r="R772" s="8" t="n">
        <f aca="false">IF(E772=0,0,L772/E772)</f>
        <v>0.333333333333333</v>
      </c>
      <c r="S772" s="8" t="n">
        <f aca="false">R772+Q772</f>
        <v>0.694444444444444</v>
      </c>
      <c r="T772" s="8" t="n">
        <f aca="false">R772-P772</f>
        <v>0.0303030303030303</v>
      </c>
    </row>
    <row r="773" customFormat="false" ht="14.25" hidden="false" customHeight="true" outlineLevel="0" collapsed="false">
      <c r="A773" s="6" t="n">
        <v>2022</v>
      </c>
      <c r="B773" s="6" t="s">
        <v>97</v>
      </c>
      <c r="C773" s="6" t="s">
        <v>253</v>
      </c>
      <c r="D773" s="7" t="n">
        <v>11</v>
      </c>
      <c r="E773" s="7" t="n">
        <v>35</v>
      </c>
      <c r="F773" s="7" t="n">
        <v>6</v>
      </c>
      <c r="G773" s="7" t="n">
        <v>9</v>
      </c>
      <c r="H773" s="7" t="n">
        <v>0</v>
      </c>
      <c r="I773" s="7" t="n">
        <v>0</v>
      </c>
      <c r="J773" s="7" t="n">
        <v>3</v>
      </c>
      <c r="K773" s="7" t="n">
        <v>3</v>
      </c>
      <c r="L773" s="7" t="n">
        <v>18</v>
      </c>
      <c r="M773" s="7" t="n">
        <v>7</v>
      </c>
      <c r="N773" s="7" t="n">
        <v>1</v>
      </c>
      <c r="O773" s="7" t="n">
        <v>1</v>
      </c>
      <c r="P773" s="8" t="n">
        <f aca="false">IF(E773=0,0,G773/E773)</f>
        <v>0.257142857142857</v>
      </c>
      <c r="Q773" s="8" t="n">
        <f aca="false">IF(E773+N773=0,0,(G773+N773)/(E773+N773))</f>
        <v>0.277777777777778</v>
      </c>
      <c r="R773" s="8" t="n">
        <f aca="false">IF(E773=0,0,L773/E773)</f>
        <v>0.514285714285714</v>
      </c>
      <c r="S773" s="8" t="n">
        <f aca="false">R773+Q773</f>
        <v>0.792063492063492</v>
      </c>
      <c r="T773" s="8" t="n">
        <f aca="false">R773-P773</f>
        <v>0.257142857142857</v>
      </c>
    </row>
    <row r="774" customFormat="false" ht="14.25" hidden="false" customHeight="true" outlineLevel="0" collapsed="false">
      <c r="A774" s="6" t="n">
        <v>2022</v>
      </c>
      <c r="B774" s="6" t="s">
        <v>97</v>
      </c>
      <c r="C774" s="6" t="s">
        <v>99</v>
      </c>
      <c r="D774" s="7" t="n">
        <v>10</v>
      </c>
      <c r="E774" s="7" t="n">
        <v>34</v>
      </c>
      <c r="F774" s="7" t="n">
        <v>9</v>
      </c>
      <c r="G774" s="7" t="n">
        <v>9</v>
      </c>
      <c r="H774" s="7" t="n">
        <v>1</v>
      </c>
      <c r="I774" s="7" t="n">
        <v>0</v>
      </c>
      <c r="J774" s="7" t="n">
        <v>0</v>
      </c>
      <c r="K774" s="7" t="n">
        <v>1</v>
      </c>
      <c r="L774" s="7" t="n">
        <v>10</v>
      </c>
      <c r="M774" s="7" t="n">
        <v>2</v>
      </c>
      <c r="N774" s="7" t="n">
        <v>5</v>
      </c>
      <c r="O774" s="7" t="n">
        <v>2</v>
      </c>
      <c r="P774" s="8" t="n">
        <f aca="false">IF(E774=0,0,G774/E774)</f>
        <v>0.264705882352941</v>
      </c>
      <c r="Q774" s="8" t="n">
        <f aca="false">IF(E774+N774=0,0,(G774+N774)/(E774+N774))</f>
        <v>0.358974358974359</v>
      </c>
      <c r="R774" s="8" t="n">
        <f aca="false">IF(E774=0,0,L774/E774)</f>
        <v>0.294117647058824</v>
      </c>
      <c r="S774" s="8" t="n">
        <f aca="false">R774+Q774</f>
        <v>0.653092006033183</v>
      </c>
      <c r="T774" s="8" t="n">
        <f aca="false">R774-P774</f>
        <v>0.0294117647058824</v>
      </c>
    </row>
    <row r="775" customFormat="false" ht="14.25" hidden="false" customHeight="true" outlineLevel="0" collapsed="false">
      <c r="A775" s="6" t="n">
        <v>2022</v>
      </c>
      <c r="B775" s="6" t="s">
        <v>97</v>
      </c>
      <c r="C775" s="6" t="s">
        <v>288</v>
      </c>
      <c r="D775" s="7" t="n">
        <v>10</v>
      </c>
      <c r="E775" s="7" t="n">
        <v>30</v>
      </c>
      <c r="F775" s="7" t="n">
        <v>6</v>
      </c>
      <c r="G775" s="7" t="n">
        <v>8</v>
      </c>
      <c r="H775" s="7" t="n">
        <v>5</v>
      </c>
      <c r="I775" s="7" t="n">
        <v>0</v>
      </c>
      <c r="J775" s="7" t="n">
        <v>0</v>
      </c>
      <c r="K775" s="7" t="n">
        <v>5</v>
      </c>
      <c r="L775" s="7" t="n">
        <v>13</v>
      </c>
      <c r="M775" s="7" t="n">
        <v>1</v>
      </c>
      <c r="N775" s="7" t="n">
        <v>6</v>
      </c>
      <c r="O775" s="7" t="n">
        <v>1</v>
      </c>
      <c r="P775" s="8" t="n">
        <f aca="false">IF(E775=0,0,G775/E775)</f>
        <v>0.266666666666667</v>
      </c>
      <c r="Q775" s="8" t="n">
        <f aca="false">IF(E775+N775=0,0,(G775+N775)/(E775+N775))</f>
        <v>0.388888888888889</v>
      </c>
      <c r="R775" s="8" t="n">
        <f aca="false">IF(E775=0,0,L775/E775)</f>
        <v>0.433333333333333</v>
      </c>
      <c r="S775" s="8" t="n">
        <f aca="false">R775+Q775</f>
        <v>0.822222222222222</v>
      </c>
      <c r="T775" s="8" t="n">
        <f aca="false">R775-P775</f>
        <v>0.166666666666667</v>
      </c>
    </row>
    <row r="776" customFormat="false" ht="14.25" hidden="false" customHeight="true" outlineLevel="0" collapsed="false">
      <c r="A776" s="6" t="n">
        <v>2022</v>
      </c>
      <c r="B776" s="6" t="s">
        <v>97</v>
      </c>
      <c r="C776" s="6" t="s">
        <v>254</v>
      </c>
      <c r="D776" s="7" t="n">
        <v>10</v>
      </c>
      <c r="E776" s="7" t="n">
        <v>31</v>
      </c>
      <c r="F776" s="7" t="n">
        <v>3</v>
      </c>
      <c r="G776" s="7" t="n">
        <v>8</v>
      </c>
      <c r="H776" s="7" t="n">
        <v>1</v>
      </c>
      <c r="I776" s="7" t="n">
        <v>0</v>
      </c>
      <c r="J776" s="7" t="n">
        <v>0</v>
      </c>
      <c r="K776" s="7" t="n">
        <v>1</v>
      </c>
      <c r="L776" s="7" t="n">
        <v>9</v>
      </c>
      <c r="M776" s="7" t="n">
        <v>2</v>
      </c>
      <c r="N776" s="7" t="n">
        <v>0</v>
      </c>
      <c r="O776" s="7" t="n">
        <v>5</v>
      </c>
      <c r="P776" s="8" t="n">
        <f aca="false">IF(E776=0,0,G776/E776)</f>
        <v>0.258064516129032</v>
      </c>
      <c r="Q776" s="8" t="n">
        <f aca="false">IF(E776+N776=0,0,(G776+N776)/(E776+N776))</f>
        <v>0.258064516129032</v>
      </c>
      <c r="R776" s="8" t="n">
        <f aca="false">IF(E776=0,0,L776/E776)</f>
        <v>0.290322580645161</v>
      </c>
      <c r="S776" s="8" t="n">
        <f aca="false">R776+Q776</f>
        <v>0.548387096774194</v>
      </c>
      <c r="T776" s="8" t="n">
        <f aca="false">R776-P776</f>
        <v>0.0322580645161291</v>
      </c>
    </row>
    <row r="777" customFormat="false" ht="14.25" hidden="false" customHeight="true" outlineLevel="0" collapsed="false">
      <c r="A777" s="6" t="n">
        <v>2022</v>
      </c>
      <c r="B777" s="6" t="s">
        <v>97</v>
      </c>
      <c r="C777" s="6" t="s">
        <v>108</v>
      </c>
      <c r="D777" s="7" t="n">
        <v>12</v>
      </c>
      <c r="E777" s="7" t="n">
        <v>29</v>
      </c>
      <c r="F777" s="7" t="n">
        <v>2</v>
      </c>
      <c r="G777" s="7" t="n">
        <v>7</v>
      </c>
      <c r="H777" s="7" t="n">
        <v>0</v>
      </c>
      <c r="I777" s="7" t="n">
        <v>0</v>
      </c>
      <c r="J777" s="7" t="n">
        <v>0</v>
      </c>
      <c r="K777" s="7" t="n">
        <v>0</v>
      </c>
      <c r="L777" s="7" t="n">
        <v>7</v>
      </c>
      <c r="M777" s="7" t="n">
        <v>6</v>
      </c>
      <c r="N777" s="7" t="n">
        <v>6</v>
      </c>
      <c r="O777" s="7" t="n">
        <v>2</v>
      </c>
      <c r="P777" s="8" t="n">
        <f aca="false">IF(E777=0,0,G777/E777)</f>
        <v>0.241379310344828</v>
      </c>
      <c r="Q777" s="8" t="n">
        <f aca="false">IF(E777+N777=0,0,(G777+N777)/(E777+N777))</f>
        <v>0.371428571428571</v>
      </c>
      <c r="R777" s="8" t="n">
        <f aca="false">IF(E777=0,0,L777/E777)</f>
        <v>0.241379310344828</v>
      </c>
      <c r="S777" s="8" t="n">
        <f aca="false">R777+Q777</f>
        <v>0.612807881773399</v>
      </c>
      <c r="T777" s="8" t="n">
        <f aca="false">R777-P777</f>
        <v>0</v>
      </c>
    </row>
    <row r="778" customFormat="false" ht="14.25" hidden="false" customHeight="true" outlineLevel="0" collapsed="false">
      <c r="A778" s="6" t="n">
        <v>2022</v>
      </c>
      <c r="B778" s="6" t="s">
        <v>97</v>
      </c>
      <c r="C778" s="6" t="s">
        <v>277</v>
      </c>
      <c r="D778" s="7" t="n">
        <v>11</v>
      </c>
      <c r="E778" s="7" t="n">
        <v>26</v>
      </c>
      <c r="F778" s="7" t="n">
        <v>0</v>
      </c>
      <c r="G778" s="7" t="n">
        <v>7</v>
      </c>
      <c r="H778" s="7" t="n">
        <v>0</v>
      </c>
      <c r="I778" s="7" t="n">
        <v>0</v>
      </c>
      <c r="J778" s="7" t="n">
        <v>0</v>
      </c>
      <c r="K778" s="7" t="n">
        <v>0</v>
      </c>
      <c r="L778" s="7" t="n">
        <v>7</v>
      </c>
      <c r="M778" s="7" t="n">
        <v>2</v>
      </c>
      <c r="N778" s="7" t="n">
        <v>1</v>
      </c>
      <c r="O778" s="7" t="n">
        <v>4</v>
      </c>
      <c r="P778" s="8" t="n">
        <f aca="false">IF(E778=0,0,G778/E778)</f>
        <v>0.269230769230769</v>
      </c>
      <c r="Q778" s="8" t="n">
        <f aca="false">IF(E778+N778=0,0,(G778+N778)/(E778+N778))</f>
        <v>0.296296296296296</v>
      </c>
      <c r="R778" s="8" t="n">
        <f aca="false">IF(E778=0,0,L778/E778)</f>
        <v>0.269230769230769</v>
      </c>
      <c r="S778" s="8" t="n">
        <f aca="false">R778+Q778</f>
        <v>0.565527065527065</v>
      </c>
      <c r="T778" s="8" t="n">
        <f aca="false">R778-P778</f>
        <v>0</v>
      </c>
    </row>
    <row r="779" customFormat="false" ht="14.25" hidden="false" customHeight="true" outlineLevel="0" collapsed="false">
      <c r="A779" s="6" t="n">
        <v>2022</v>
      </c>
      <c r="B779" s="6" t="s">
        <v>97</v>
      </c>
      <c r="C779" s="6" t="s">
        <v>286</v>
      </c>
      <c r="D779" s="7" t="n">
        <v>8</v>
      </c>
      <c r="E779" s="7" t="n">
        <v>18</v>
      </c>
      <c r="F779" s="7" t="n">
        <v>0</v>
      </c>
      <c r="G779" s="7" t="n">
        <v>5</v>
      </c>
      <c r="H779" s="7" t="n">
        <v>1</v>
      </c>
      <c r="I779" s="7" t="n">
        <v>0</v>
      </c>
      <c r="J779" s="7" t="n">
        <v>0</v>
      </c>
      <c r="K779" s="7" t="n">
        <v>1</v>
      </c>
      <c r="L779" s="7" t="n">
        <v>6</v>
      </c>
      <c r="M779" s="7" t="n">
        <v>1</v>
      </c>
      <c r="N779" s="7" t="n">
        <v>0</v>
      </c>
      <c r="O779" s="7" t="n">
        <v>1</v>
      </c>
      <c r="P779" s="8" t="n">
        <f aca="false">IF(E779=0,0,G779/E779)</f>
        <v>0.277777777777778</v>
      </c>
      <c r="Q779" s="8" t="n">
        <f aca="false">IF(E779+N779=0,0,(G779+N779)/(E779+N779))</f>
        <v>0.277777777777778</v>
      </c>
      <c r="R779" s="8" t="n">
        <f aca="false">IF(E779=0,0,L779/E779)</f>
        <v>0.333333333333333</v>
      </c>
      <c r="S779" s="8" t="n">
        <f aca="false">R779+Q779</f>
        <v>0.611111111111111</v>
      </c>
      <c r="T779" s="8" t="n">
        <f aca="false">R779-P779</f>
        <v>0.0555555555555555</v>
      </c>
    </row>
    <row r="780" customFormat="false" ht="14.25" hidden="false" customHeight="true" outlineLevel="0" collapsed="false">
      <c r="A780" s="6" t="n">
        <v>2022</v>
      </c>
      <c r="B780" s="6" t="s">
        <v>97</v>
      </c>
      <c r="C780" s="6" t="s">
        <v>379</v>
      </c>
      <c r="D780" s="7" t="n">
        <v>2</v>
      </c>
      <c r="E780" s="7" t="n">
        <v>7</v>
      </c>
      <c r="F780" s="7" t="n">
        <v>1</v>
      </c>
      <c r="G780" s="7" t="n">
        <v>5</v>
      </c>
      <c r="H780" s="7" t="n">
        <v>0</v>
      </c>
      <c r="I780" s="7" t="n">
        <v>0</v>
      </c>
      <c r="J780" s="7" t="n">
        <v>0</v>
      </c>
      <c r="K780" s="7" t="n">
        <v>0</v>
      </c>
      <c r="L780" s="7" t="n">
        <v>5</v>
      </c>
      <c r="M780" s="7" t="n">
        <v>1</v>
      </c>
      <c r="N780" s="7" t="n">
        <v>0</v>
      </c>
      <c r="O780" s="7" t="n">
        <v>1</v>
      </c>
      <c r="P780" s="8" t="n">
        <f aca="false">IF(E780=0,0,G780/E780)</f>
        <v>0.714285714285714</v>
      </c>
      <c r="Q780" s="8" t="n">
        <f aca="false">IF(E780+N780=0,0,(G780+N780)/(E780+N780))</f>
        <v>0.714285714285714</v>
      </c>
      <c r="R780" s="8" t="n">
        <f aca="false">IF(E780=0,0,L780/E780)</f>
        <v>0.714285714285714</v>
      </c>
      <c r="S780" s="8" t="n">
        <f aca="false">R780+Q780</f>
        <v>1.42857142857143</v>
      </c>
      <c r="T780" s="8" t="n">
        <f aca="false">R780-P780</f>
        <v>0</v>
      </c>
    </row>
    <row r="781" customFormat="false" ht="14.25" hidden="false" customHeight="true" outlineLevel="0" collapsed="false">
      <c r="A781" s="6" t="n">
        <v>2022</v>
      </c>
      <c r="B781" s="6" t="s">
        <v>97</v>
      </c>
      <c r="C781" s="6" t="s">
        <v>285</v>
      </c>
      <c r="D781" s="7" t="n">
        <v>2</v>
      </c>
      <c r="E781" s="7" t="n">
        <v>6</v>
      </c>
      <c r="F781" s="7" t="n">
        <v>0</v>
      </c>
      <c r="G781" s="7" t="n">
        <v>3</v>
      </c>
      <c r="H781" s="7" t="n">
        <v>0</v>
      </c>
      <c r="I781" s="7" t="n">
        <v>0</v>
      </c>
      <c r="J781" s="7" t="n">
        <v>0</v>
      </c>
      <c r="K781" s="7" t="n">
        <v>0</v>
      </c>
      <c r="L781" s="7" t="n">
        <v>3</v>
      </c>
      <c r="M781" s="7" t="n">
        <v>1</v>
      </c>
      <c r="N781" s="7" t="n">
        <v>0</v>
      </c>
      <c r="O781" s="7" t="n">
        <v>0</v>
      </c>
      <c r="P781" s="8" t="n">
        <f aca="false">IF(E781=0,0,G781/E781)</f>
        <v>0.5</v>
      </c>
      <c r="Q781" s="8" t="n">
        <f aca="false">IF(E781+N781=0,0,(G781+N781)/(E781+N781))</f>
        <v>0.5</v>
      </c>
      <c r="R781" s="8" t="n">
        <f aca="false">IF(E781=0,0,L781/E781)</f>
        <v>0.5</v>
      </c>
      <c r="S781" s="8" t="n">
        <f aca="false">R781+Q781</f>
        <v>1</v>
      </c>
      <c r="T781" s="8" t="n">
        <f aca="false">R781-P781</f>
        <v>0</v>
      </c>
    </row>
    <row r="782" customFormat="false" ht="14.25" hidden="false" customHeight="true" outlineLevel="0" collapsed="false">
      <c r="A782" s="6" t="n">
        <v>2022</v>
      </c>
      <c r="B782" s="6" t="s">
        <v>97</v>
      </c>
      <c r="C782" s="6" t="s">
        <v>326</v>
      </c>
      <c r="D782" s="7" t="n">
        <v>6</v>
      </c>
      <c r="E782" s="7" t="n">
        <v>16</v>
      </c>
      <c r="F782" s="7" t="n">
        <v>0</v>
      </c>
      <c r="G782" s="7" t="n">
        <v>2</v>
      </c>
      <c r="H782" s="7" t="n">
        <v>0</v>
      </c>
      <c r="I782" s="7" t="n">
        <v>0</v>
      </c>
      <c r="J782" s="7" t="n">
        <v>0</v>
      </c>
      <c r="K782" s="7" t="n">
        <v>0</v>
      </c>
      <c r="L782" s="7" t="n">
        <v>2</v>
      </c>
      <c r="M782" s="7" t="n">
        <v>1</v>
      </c>
      <c r="N782" s="7" t="n">
        <v>1</v>
      </c>
      <c r="O782" s="7" t="n">
        <v>1</v>
      </c>
      <c r="P782" s="8" t="n">
        <f aca="false">IF(E782=0,0,G782/E782)</f>
        <v>0.125</v>
      </c>
      <c r="Q782" s="8" t="n">
        <f aca="false">IF(E782+N782=0,0,(G782+N782)/(E782+N782))</f>
        <v>0.176470588235294</v>
      </c>
      <c r="R782" s="8" t="n">
        <f aca="false">IF(E782=0,0,L782/E782)</f>
        <v>0.125</v>
      </c>
      <c r="S782" s="8" t="n">
        <f aca="false">R782+Q782</f>
        <v>0.301470588235294</v>
      </c>
      <c r="T782" s="8" t="n">
        <f aca="false">R782-P782</f>
        <v>0</v>
      </c>
    </row>
    <row r="783" customFormat="false" ht="14.25" hidden="false" customHeight="true" outlineLevel="0" collapsed="false">
      <c r="A783" s="6" t="n">
        <v>2022</v>
      </c>
      <c r="B783" s="6" t="s">
        <v>97</v>
      </c>
      <c r="C783" s="6" t="s">
        <v>380</v>
      </c>
      <c r="D783" s="7" t="n">
        <v>2</v>
      </c>
      <c r="E783" s="7" t="n">
        <v>5</v>
      </c>
      <c r="F783" s="7" t="n">
        <v>1</v>
      </c>
      <c r="G783" s="7" t="n">
        <v>2</v>
      </c>
      <c r="H783" s="7" t="n">
        <v>1</v>
      </c>
      <c r="I783" s="7" t="n">
        <v>0</v>
      </c>
      <c r="J783" s="7" t="n">
        <v>0</v>
      </c>
      <c r="K783" s="7" t="n">
        <v>1</v>
      </c>
      <c r="L783" s="7" t="n">
        <v>3</v>
      </c>
      <c r="M783" s="7" t="n">
        <v>0</v>
      </c>
      <c r="N783" s="7" t="n">
        <v>0</v>
      </c>
      <c r="O783" s="7" t="n">
        <v>1</v>
      </c>
      <c r="P783" s="8" t="n">
        <f aca="false">IF(E783=0,0,G783/E783)</f>
        <v>0.4</v>
      </c>
      <c r="Q783" s="8" t="n">
        <f aca="false">IF(E783+N783=0,0,(G783+N783)/(E783+N783))</f>
        <v>0.4</v>
      </c>
      <c r="R783" s="8" t="n">
        <f aca="false">IF(E783=0,0,L783/E783)</f>
        <v>0.6</v>
      </c>
      <c r="S783" s="8" t="n">
        <f aca="false">R783+Q783</f>
        <v>1</v>
      </c>
      <c r="T783" s="8" t="n">
        <f aca="false">R783-P783</f>
        <v>0.2</v>
      </c>
    </row>
    <row r="784" customFormat="false" ht="14.25" hidden="false" customHeight="true" outlineLevel="0" collapsed="false">
      <c r="A784" s="6" t="n">
        <v>2022</v>
      </c>
      <c r="B784" s="6" t="s">
        <v>97</v>
      </c>
      <c r="C784" s="6" t="s">
        <v>381</v>
      </c>
      <c r="D784" s="7" t="n">
        <v>4</v>
      </c>
      <c r="E784" s="7" t="n">
        <v>11</v>
      </c>
      <c r="F784" s="7" t="n">
        <v>0</v>
      </c>
      <c r="G784" s="7" t="n">
        <v>1</v>
      </c>
      <c r="H784" s="7" t="n">
        <v>0</v>
      </c>
      <c r="I784" s="7" t="n">
        <v>0</v>
      </c>
      <c r="J784" s="7" t="n">
        <v>0</v>
      </c>
      <c r="K784" s="7" t="n">
        <v>0</v>
      </c>
      <c r="L784" s="7" t="n">
        <v>1</v>
      </c>
      <c r="M784" s="7" t="n">
        <v>0</v>
      </c>
      <c r="N784" s="7" t="n">
        <v>0</v>
      </c>
      <c r="O784" s="7" t="n">
        <v>0</v>
      </c>
      <c r="P784" s="8" t="n">
        <f aca="false">IF(E784=0,0,G784/E784)</f>
        <v>0.0909090909090909</v>
      </c>
      <c r="Q784" s="8" t="n">
        <f aca="false">IF(E784+N784=0,0,(G784+N784)/(E784+N784))</f>
        <v>0.0909090909090909</v>
      </c>
      <c r="R784" s="8" t="n">
        <f aca="false">IF(E784=0,0,L784/E784)</f>
        <v>0.0909090909090909</v>
      </c>
      <c r="S784" s="8" t="n">
        <f aca="false">R784+Q784</f>
        <v>0.181818181818182</v>
      </c>
      <c r="T784" s="8" t="n">
        <f aca="false">R784-P784</f>
        <v>0</v>
      </c>
    </row>
    <row r="785" customFormat="false" ht="14.25" hidden="false" customHeight="true" outlineLevel="0" collapsed="false">
      <c r="A785" s="6" t="n">
        <v>2022</v>
      </c>
      <c r="B785" s="6" t="s">
        <v>97</v>
      </c>
      <c r="C785" s="6" t="s">
        <v>109</v>
      </c>
      <c r="D785" s="7" t="n">
        <v>5</v>
      </c>
      <c r="E785" s="7" t="n">
        <v>14</v>
      </c>
      <c r="F785" s="7" t="n">
        <v>1</v>
      </c>
      <c r="G785" s="7" t="n">
        <v>1</v>
      </c>
      <c r="H785" s="7" t="n">
        <v>0</v>
      </c>
      <c r="I785" s="7" t="n">
        <v>0</v>
      </c>
      <c r="J785" s="7" t="n">
        <v>0</v>
      </c>
      <c r="K785" s="7" t="n">
        <v>0</v>
      </c>
      <c r="L785" s="7" t="n">
        <v>1</v>
      </c>
      <c r="M785" s="7" t="n">
        <v>0</v>
      </c>
      <c r="N785" s="7" t="n">
        <v>0</v>
      </c>
      <c r="O785" s="7" t="n">
        <v>0</v>
      </c>
      <c r="P785" s="8" t="n">
        <f aca="false">IF(E785=0,0,G785/E785)</f>
        <v>0.0714285714285714</v>
      </c>
      <c r="Q785" s="8" t="n">
        <f aca="false">IF(E785+N785=0,0,(G785+N785)/(E785+N785))</f>
        <v>0.0714285714285714</v>
      </c>
      <c r="R785" s="8" t="n">
        <f aca="false">IF(E785=0,0,L785/E785)</f>
        <v>0.0714285714285714</v>
      </c>
      <c r="S785" s="8" t="n">
        <f aca="false">R785+Q785</f>
        <v>0.142857142857143</v>
      </c>
      <c r="T785" s="8" t="n">
        <f aca="false">R785-P785</f>
        <v>0</v>
      </c>
    </row>
    <row r="786" customFormat="false" ht="14.25" hidden="false" customHeight="true" outlineLevel="0" collapsed="false">
      <c r="A786" s="6" t="n">
        <v>2022</v>
      </c>
      <c r="B786" s="6" t="s">
        <v>97</v>
      </c>
      <c r="C786" s="6" t="s">
        <v>382</v>
      </c>
      <c r="D786" s="7" t="n">
        <v>1</v>
      </c>
      <c r="E786" s="7" t="n">
        <v>3</v>
      </c>
      <c r="F786" s="7" t="n">
        <v>0</v>
      </c>
      <c r="G786" s="7" t="n">
        <v>1</v>
      </c>
      <c r="H786" s="7" t="n">
        <v>0</v>
      </c>
      <c r="I786" s="7" t="n">
        <v>0</v>
      </c>
      <c r="J786" s="7" t="n">
        <v>0</v>
      </c>
      <c r="K786" s="7" t="n">
        <v>0</v>
      </c>
      <c r="L786" s="7" t="n">
        <v>1</v>
      </c>
      <c r="M786" s="7" t="n">
        <v>0</v>
      </c>
      <c r="N786" s="7" t="n">
        <v>0</v>
      </c>
      <c r="O786" s="7" t="n">
        <v>0</v>
      </c>
      <c r="P786" s="8" t="n">
        <f aca="false">IF(E786=0,0,G786/E786)</f>
        <v>0.333333333333333</v>
      </c>
      <c r="Q786" s="8" t="n">
        <f aca="false">IF(E786+N786=0,0,(G786+N786)/(E786+N786))</f>
        <v>0.333333333333333</v>
      </c>
      <c r="R786" s="8" t="n">
        <f aca="false">IF(E786=0,0,L786/E786)</f>
        <v>0.333333333333333</v>
      </c>
      <c r="S786" s="8" t="n">
        <f aca="false">R786+Q786</f>
        <v>0.666666666666667</v>
      </c>
      <c r="T786" s="8" t="n">
        <f aca="false">R786-P786</f>
        <v>0</v>
      </c>
    </row>
    <row r="787" customFormat="false" ht="14.25" hidden="false" customHeight="true" outlineLevel="0" collapsed="false">
      <c r="A787" s="6" t="n">
        <v>2022</v>
      </c>
      <c r="B787" s="6" t="s">
        <v>97</v>
      </c>
      <c r="C787" s="6" t="s">
        <v>289</v>
      </c>
      <c r="D787" s="7" t="n">
        <v>3</v>
      </c>
      <c r="E787" s="7" t="n">
        <v>7</v>
      </c>
      <c r="F787" s="7" t="n">
        <v>1</v>
      </c>
      <c r="G787" s="7" t="n">
        <v>0</v>
      </c>
      <c r="H787" s="7" t="n">
        <v>0</v>
      </c>
      <c r="I787" s="7" t="n">
        <v>0</v>
      </c>
      <c r="J787" s="7" t="n">
        <v>0</v>
      </c>
      <c r="K787" s="7" t="n">
        <v>0</v>
      </c>
      <c r="L787" s="7" t="n">
        <v>0</v>
      </c>
      <c r="M787" s="7" t="n">
        <v>0</v>
      </c>
      <c r="N787" s="7" t="n">
        <v>1</v>
      </c>
      <c r="O787" s="7" t="n">
        <v>0</v>
      </c>
      <c r="P787" s="8" t="n">
        <f aca="false">IF(E787=0,0,G787/E787)</f>
        <v>0</v>
      </c>
      <c r="Q787" s="8" t="n">
        <f aca="false">IF(E787+N787=0,0,(G787+N787)/(E787+N787))</f>
        <v>0.125</v>
      </c>
      <c r="R787" s="8" t="n">
        <f aca="false">IF(E787=0,0,L787/E787)</f>
        <v>0</v>
      </c>
      <c r="S787" s="8" t="n">
        <f aca="false">R787+Q787</f>
        <v>0.125</v>
      </c>
      <c r="T787" s="8" t="n">
        <f aca="false">R787-P787</f>
        <v>0</v>
      </c>
    </row>
    <row r="788" customFormat="false" ht="14.25" hidden="false" customHeight="true" outlineLevel="0" collapsed="false">
      <c r="A788" s="6" t="n">
        <v>2022</v>
      </c>
      <c r="B788" s="6" t="s">
        <v>97</v>
      </c>
      <c r="C788" s="6" t="s">
        <v>120</v>
      </c>
      <c r="D788" s="7" t="n">
        <v>2</v>
      </c>
      <c r="E788" s="7" t="n">
        <v>4</v>
      </c>
      <c r="F788" s="7" t="n">
        <v>0</v>
      </c>
      <c r="G788" s="7" t="n">
        <v>0</v>
      </c>
      <c r="H788" s="7" t="n">
        <v>0</v>
      </c>
      <c r="I788" s="7" t="n">
        <v>0</v>
      </c>
      <c r="J788" s="7" t="n">
        <v>0</v>
      </c>
      <c r="K788" s="7" t="n">
        <v>0</v>
      </c>
      <c r="L788" s="7" t="n">
        <v>0</v>
      </c>
      <c r="M788" s="7" t="n">
        <v>0</v>
      </c>
      <c r="N788" s="7" t="n">
        <v>0</v>
      </c>
      <c r="O788" s="7" t="n">
        <v>0</v>
      </c>
      <c r="P788" s="8" t="n">
        <f aca="false">IF(E788=0,0,G788/E788)</f>
        <v>0</v>
      </c>
      <c r="Q788" s="8" t="n">
        <f aca="false">IF(E788+N788=0,0,(G788+N788)/(E788+N788))</f>
        <v>0</v>
      </c>
      <c r="R788" s="8" t="n">
        <f aca="false">IF(E788=0,0,L788/E788)</f>
        <v>0</v>
      </c>
      <c r="S788" s="8" t="n">
        <f aca="false">R788+Q788</f>
        <v>0</v>
      </c>
      <c r="T788" s="8" t="n">
        <f aca="false">R788-P788</f>
        <v>0</v>
      </c>
    </row>
    <row r="789" customFormat="false" ht="14.25" hidden="false" customHeight="true" outlineLevel="0" collapsed="false">
      <c r="A789" s="6" t="n">
        <v>2022</v>
      </c>
      <c r="B789" s="6" t="s">
        <v>97</v>
      </c>
      <c r="C789" s="6" t="s">
        <v>171</v>
      </c>
      <c r="D789" s="7" t="n">
        <v>1</v>
      </c>
      <c r="E789" s="7" t="n">
        <v>2</v>
      </c>
      <c r="F789" s="7" t="n">
        <v>0</v>
      </c>
      <c r="G789" s="7" t="n">
        <v>0</v>
      </c>
      <c r="H789" s="7" t="n">
        <v>0</v>
      </c>
      <c r="I789" s="7" t="n">
        <v>0</v>
      </c>
      <c r="J789" s="7" t="n">
        <v>0</v>
      </c>
      <c r="K789" s="7" t="n">
        <v>0</v>
      </c>
      <c r="L789" s="7" t="n">
        <v>0</v>
      </c>
      <c r="M789" s="7" t="n">
        <v>1</v>
      </c>
      <c r="N789" s="7" t="n">
        <v>0</v>
      </c>
      <c r="O789" s="7" t="n">
        <v>0</v>
      </c>
      <c r="P789" s="8" t="n">
        <f aca="false">IF(E789=0,0,G789/E789)</f>
        <v>0</v>
      </c>
      <c r="Q789" s="8" t="n">
        <f aca="false">IF(E789+N789=0,0,(G789+N789)/(E789+N789))</f>
        <v>0</v>
      </c>
      <c r="R789" s="8" t="n">
        <f aca="false">IF(E789=0,0,L789/E789)</f>
        <v>0</v>
      </c>
      <c r="S789" s="8" t="n">
        <f aca="false">R789+Q789</f>
        <v>0</v>
      </c>
      <c r="T789" s="8" t="n">
        <f aca="false">R789-P789</f>
        <v>0</v>
      </c>
    </row>
    <row r="790" customFormat="false" ht="14.25" hidden="false" customHeight="true" outlineLevel="0" collapsed="false">
      <c r="A790" s="6" t="n">
        <v>2022</v>
      </c>
      <c r="B790" s="6" t="s">
        <v>97</v>
      </c>
      <c r="C790" s="6" t="s">
        <v>383</v>
      </c>
      <c r="D790" s="7" t="n">
        <v>1</v>
      </c>
      <c r="E790" s="7" t="n">
        <v>2</v>
      </c>
      <c r="F790" s="7" t="n">
        <v>0</v>
      </c>
      <c r="G790" s="7" t="n">
        <v>0</v>
      </c>
      <c r="H790" s="7" t="n">
        <v>0</v>
      </c>
      <c r="I790" s="7" t="n">
        <v>0</v>
      </c>
      <c r="J790" s="7" t="n">
        <v>0</v>
      </c>
      <c r="K790" s="7" t="n">
        <v>0</v>
      </c>
      <c r="L790" s="7" t="n">
        <v>0</v>
      </c>
      <c r="M790" s="7" t="n">
        <v>0</v>
      </c>
      <c r="N790" s="7" t="n">
        <v>0</v>
      </c>
      <c r="O790" s="7" t="n">
        <v>1</v>
      </c>
      <c r="P790" s="8" t="n">
        <f aca="false">IF(E790=0,0,G790/E790)</f>
        <v>0</v>
      </c>
      <c r="Q790" s="8" t="n">
        <f aca="false">IF(E790+N790=0,0,(G790+N790)/(E790+N790))</f>
        <v>0</v>
      </c>
      <c r="R790" s="8" t="n">
        <f aca="false">IF(E790=0,0,L790/E790)</f>
        <v>0</v>
      </c>
      <c r="S790" s="8" t="n">
        <f aca="false">R790+Q790</f>
        <v>0</v>
      </c>
      <c r="T790" s="8" t="n">
        <f aca="false">R790-P790</f>
        <v>0</v>
      </c>
    </row>
    <row r="791" customFormat="false" ht="14.25" hidden="false" customHeight="true" outlineLevel="0" collapsed="false">
      <c r="A791" s="6" t="n">
        <v>2022</v>
      </c>
      <c r="B791" s="6" t="s">
        <v>97</v>
      </c>
      <c r="C791" s="6" t="s">
        <v>384</v>
      </c>
      <c r="D791" s="7" t="n">
        <v>1</v>
      </c>
      <c r="E791" s="7" t="n">
        <v>2</v>
      </c>
      <c r="F791" s="7" t="n">
        <v>0</v>
      </c>
      <c r="G791" s="7" t="n">
        <v>0</v>
      </c>
      <c r="H791" s="7" t="n">
        <v>0</v>
      </c>
      <c r="I791" s="7" t="n">
        <v>0</v>
      </c>
      <c r="J791" s="7" t="n">
        <v>0</v>
      </c>
      <c r="K791" s="7" t="n">
        <v>0</v>
      </c>
      <c r="L791" s="7" t="n">
        <v>0</v>
      </c>
      <c r="M791" s="7" t="n">
        <v>0</v>
      </c>
      <c r="N791" s="7" t="n">
        <v>0</v>
      </c>
      <c r="O791" s="7" t="n">
        <v>0</v>
      </c>
      <c r="P791" s="8" t="n">
        <f aca="false">IF(E791=0,0,G791/E791)</f>
        <v>0</v>
      </c>
      <c r="Q791" s="8" t="n">
        <f aca="false">IF(E791+N791=0,0,(G791+N791)/(E791+N791))</f>
        <v>0</v>
      </c>
      <c r="R791" s="8" t="n">
        <f aca="false">IF(E791=0,0,L791/E791)</f>
        <v>0</v>
      </c>
      <c r="S791" s="8" t="n">
        <f aca="false">R791+Q791</f>
        <v>0</v>
      </c>
      <c r="T791" s="8" t="n">
        <f aca="false">R791-P791</f>
        <v>0</v>
      </c>
    </row>
    <row r="792" customFormat="false" ht="14.25" hidden="false" customHeight="true" outlineLevel="0" collapsed="false">
      <c r="A792" s="6" t="n">
        <v>2022</v>
      </c>
      <c r="B792" s="6" t="s">
        <v>97</v>
      </c>
      <c r="C792" s="6" t="s">
        <v>385</v>
      </c>
      <c r="D792" s="7" t="n">
        <v>1</v>
      </c>
      <c r="E792" s="7" t="n">
        <v>2</v>
      </c>
      <c r="F792" s="7" t="n">
        <v>0</v>
      </c>
      <c r="G792" s="7" t="n">
        <v>0</v>
      </c>
      <c r="H792" s="7" t="n">
        <v>0</v>
      </c>
      <c r="I792" s="7" t="n">
        <v>0</v>
      </c>
      <c r="J792" s="7" t="n">
        <v>0</v>
      </c>
      <c r="K792" s="7" t="n">
        <v>0</v>
      </c>
      <c r="L792" s="7" t="n">
        <v>0</v>
      </c>
      <c r="M792" s="7" t="n">
        <v>0</v>
      </c>
      <c r="N792" s="7" t="n">
        <v>0</v>
      </c>
      <c r="O792" s="7" t="n">
        <v>0</v>
      </c>
      <c r="P792" s="8" t="n">
        <f aca="false">IF(E792=0,0,G792/E792)</f>
        <v>0</v>
      </c>
      <c r="Q792" s="8" t="n">
        <f aca="false">IF(E792+N792=0,0,(G792+N792)/(E792+N792))</f>
        <v>0</v>
      </c>
      <c r="R792" s="8" t="n">
        <f aca="false">IF(E792=0,0,L792/E792)</f>
        <v>0</v>
      </c>
      <c r="S792" s="8" t="n">
        <f aca="false">R792+Q792</f>
        <v>0</v>
      </c>
      <c r="T792" s="8" t="n">
        <f aca="false">R792-P792</f>
        <v>0</v>
      </c>
    </row>
    <row r="793" customFormat="false" ht="14.25" hidden="false" customHeight="true" outlineLevel="0" collapsed="false">
      <c r="A793" s="6" t="n">
        <v>2022</v>
      </c>
      <c r="B793" s="6" t="s">
        <v>97</v>
      </c>
      <c r="C793" s="6" t="s">
        <v>366</v>
      </c>
      <c r="D793" s="7" t="n">
        <v>1</v>
      </c>
      <c r="E793" s="7" t="n">
        <v>2</v>
      </c>
      <c r="F793" s="7" t="n">
        <v>0</v>
      </c>
      <c r="G793" s="7" t="n">
        <v>0</v>
      </c>
      <c r="H793" s="7" t="n">
        <v>0</v>
      </c>
      <c r="I793" s="7" t="n">
        <v>0</v>
      </c>
      <c r="J793" s="7" t="n">
        <v>0</v>
      </c>
      <c r="K793" s="7" t="n">
        <v>0</v>
      </c>
      <c r="L793" s="7" t="n">
        <v>0</v>
      </c>
      <c r="M793" s="7" t="n">
        <v>0</v>
      </c>
      <c r="N793" s="7" t="n">
        <v>0</v>
      </c>
      <c r="O793" s="7" t="n">
        <v>0</v>
      </c>
      <c r="P793" s="8" t="n">
        <f aca="false">IF(E793=0,0,G793/E793)</f>
        <v>0</v>
      </c>
      <c r="Q793" s="8" t="n">
        <f aca="false">IF(E793+N793=0,0,(G793+N793)/(E793+N793))</f>
        <v>0</v>
      </c>
      <c r="R793" s="8" t="n">
        <f aca="false">IF(E793=0,0,L793/E793)</f>
        <v>0</v>
      </c>
      <c r="S793" s="8" t="n">
        <f aca="false">R793+Q793</f>
        <v>0</v>
      </c>
      <c r="T793" s="8" t="n">
        <f aca="false">R793-P793</f>
        <v>0</v>
      </c>
    </row>
    <row r="794" customFormat="false" ht="14.25" hidden="false" customHeight="true" outlineLevel="0" collapsed="false">
      <c r="A794" s="6" t="n">
        <v>2022</v>
      </c>
      <c r="B794" s="6" t="s">
        <v>121</v>
      </c>
      <c r="C794" s="6" t="s">
        <v>125</v>
      </c>
      <c r="D794" s="7" t="n">
        <v>12</v>
      </c>
      <c r="E794" s="7" t="n">
        <v>37</v>
      </c>
      <c r="F794" s="7" t="n">
        <v>9</v>
      </c>
      <c r="G794" s="7" t="n">
        <v>14</v>
      </c>
      <c r="H794" s="7" t="n">
        <v>1</v>
      </c>
      <c r="I794" s="7" t="n">
        <v>0</v>
      </c>
      <c r="J794" s="7" t="n">
        <v>0</v>
      </c>
      <c r="K794" s="7" t="n">
        <v>1</v>
      </c>
      <c r="L794" s="7" t="n">
        <v>15</v>
      </c>
      <c r="M794" s="7" t="n">
        <v>2</v>
      </c>
      <c r="N794" s="7" t="n">
        <v>2</v>
      </c>
      <c r="O794" s="7" t="n">
        <v>0</v>
      </c>
      <c r="P794" s="8" t="n">
        <f aca="false">IF(E794=0,0,G794/E794)</f>
        <v>0.378378378378378</v>
      </c>
      <c r="Q794" s="8" t="n">
        <f aca="false">IF(E794+N794=0,0,(G794+N794)/(E794+N794))</f>
        <v>0.41025641025641</v>
      </c>
      <c r="R794" s="8" t="n">
        <f aca="false">IF(E794=0,0,L794/E794)</f>
        <v>0.405405405405405</v>
      </c>
      <c r="S794" s="8" t="n">
        <f aca="false">R794+Q794</f>
        <v>0.815661815661816</v>
      </c>
      <c r="T794" s="8" t="n">
        <f aca="false">R794-P794</f>
        <v>0.027027027027027</v>
      </c>
    </row>
    <row r="795" customFormat="false" ht="14.25" hidden="false" customHeight="true" outlineLevel="0" collapsed="false">
      <c r="A795" s="6" t="n">
        <v>2022</v>
      </c>
      <c r="B795" s="6" t="s">
        <v>121</v>
      </c>
      <c r="C795" s="6" t="s">
        <v>144</v>
      </c>
      <c r="D795" s="7" t="n">
        <v>12</v>
      </c>
      <c r="E795" s="7" t="n">
        <v>32</v>
      </c>
      <c r="F795" s="7" t="n">
        <v>7</v>
      </c>
      <c r="G795" s="7" t="n">
        <v>9</v>
      </c>
      <c r="H795" s="7" t="n">
        <v>0</v>
      </c>
      <c r="I795" s="7" t="n">
        <v>0</v>
      </c>
      <c r="J795" s="7" t="n">
        <v>0</v>
      </c>
      <c r="K795" s="7" t="n">
        <v>0</v>
      </c>
      <c r="L795" s="7" t="n">
        <v>9</v>
      </c>
      <c r="M795" s="7" t="n">
        <v>6</v>
      </c>
      <c r="N795" s="7" t="n">
        <v>6</v>
      </c>
      <c r="O795" s="7" t="n">
        <v>2</v>
      </c>
      <c r="P795" s="8" t="n">
        <f aca="false">IF(E795=0,0,G795/E795)</f>
        <v>0.28125</v>
      </c>
      <c r="Q795" s="8" t="n">
        <f aca="false">IF(E795+N795=0,0,(G795+N795)/(E795+N795))</f>
        <v>0.394736842105263</v>
      </c>
      <c r="R795" s="8" t="n">
        <f aca="false">IF(E795=0,0,L795/E795)</f>
        <v>0.28125</v>
      </c>
      <c r="S795" s="8" t="n">
        <f aca="false">R795+Q795</f>
        <v>0.675986842105263</v>
      </c>
      <c r="T795" s="8" t="n">
        <f aca="false">R795-P795</f>
        <v>0</v>
      </c>
    </row>
    <row r="796" customFormat="false" ht="14.25" hidden="false" customHeight="true" outlineLevel="0" collapsed="false">
      <c r="A796" s="6" t="n">
        <v>2022</v>
      </c>
      <c r="B796" s="6" t="s">
        <v>121</v>
      </c>
      <c r="C796" s="6" t="s">
        <v>136</v>
      </c>
      <c r="D796" s="7" t="n">
        <v>8</v>
      </c>
      <c r="E796" s="7" t="n">
        <v>23</v>
      </c>
      <c r="F796" s="7" t="n">
        <v>7</v>
      </c>
      <c r="G796" s="7" t="n">
        <v>8</v>
      </c>
      <c r="H796" s="7" t="n">
        <v>4</v>
      </c>
      <c r="I796" s="7" t="n">
        <v>0</v>
      </c>
      <c r="J796" s="7" t="n">
        <v>0</v>
      </c>
      <c r="K796" s="7" t="n">
        <v>4</v>
      </c>
      <c r="L796" s="7" t="n">
        <v>12</v>
      </c>
      <c r="M796" s="7" t="n">
        <v>3</v>
      </c>
      <c r="N796" s="7" t="n">
        <v>1</v>
      </c>
      <c r="O796" s="7" t="n">
        <v>0</v>
      </c>
      <c r="P796" s="8" t="n">
        <f aca="false">IF(E796=0,0,G796/E796)</f>
        <v>0.347826086956522</v>
      </c>
      <c r="Q796" s="8" t="n">
        <f aca="false">IF(E796+N796=0,0,(G796+N796)/(E796+N796))</f>
        <v>0.375</v>
      </c>
      <c r="R796" s="8" t="n">
        <f aca="false">IF(E796=0,0,L796/E796)</f>
        <v>0.521739130434783</v>
      </c>
      <c r="S796" s="8" t="n">
        <f aca="false">R796+Q796</f>
        <v>0.896739130434783</v>
      </c>
      <c r="T796" s="8" t="n">
        <f aca="false">R796-P796</f>
        <v>0.173913043478261</v>
      </c>
    </row>
    <row r="797" customFormat="false" ht="14.25" hidden="false" customHeight="true" outlineLevel="0" collapsed="false">
      <c r="A797" s="6" t="n">
        <v>2022</v>
      </c>
      <c r="B797" s="6" t="s">
        <v>121</v>
      </c>
      <c r="C797" s="6" t="s">
        <v>129</v>
      </c>
      <c r="D797" s="7" t="n">
        <v>12</v>
      </c>
      <c r="E797" s="7" t="n">
        <v>32</v>
      </c>
      <c r="F797" s="7" t="n">
        <v>4</v>
      </c>
      <c r="G797" s="7" t="n">
        <v>6</v>
      </c>
      <c r="H797" s="7" t="n">
        <v>1</v>
      </c>
      <c r="I797" s="7" t="n">
        <v>0</v>
      </c>
      <c r="J797" s="7" t="n">
        <v>0</v>
      </c>
      <c r="K797" s="7" t="n">
        <v>1</v>
      </c>
      <c r="L797" s="7" t="n">
        <v>7</v>
      </c>
      <c r="M797" s="7" t="n">
        <v>5</v>
      </c>
      <c r="N797" s="7" t="n">
        <v>4</v>
      </c>
      <c r="O797" s="7" t="n">
        <v>0</v>
      </c>
      <c r="P797" s="8" t="n">
        <f aca="false">IF(E797=0,0,G797/E797)</f>
        <v>0.1875</v>
      </c>
      <c r="Q797" s="8" t="n">
        <f aca="false">IF(E797+N797=0,0,(G797+N797)/(E797+N797))</f>
        <v>0.277777777777778</v>
      </c>
      <c r="R797" s="8" t="n">
        <f aca="false">IF(E797=0,0,L797/E797)</f>
        <v>0.21875</v>
      </c>
      <c r="S797" s="8" t="n">
        <f aca="false">R797+Q797</f>
        <v>0.496527777777778</v>
      </c>
      <c r="T797" s="8" t="n">
        <f aca="false">R797-P797</f>
        <v>0.03125</v>
      </c>
    </row>
    <row r="798" customFormat="false" ht="14.25" hidden="false" customHeight="true" outlineLevel="0" collapsed="false">
      <c r="A798" s="6" t="n">
        <v>2022</v>
      </c>
      <c r="B798" s="6" t="s">
        <v>121</v>
      </c>
      <c r="C798" s="6" t="s">
        <v>123</v>
      </c>
      <c r="D798" s="7" t="n">
        <v>5</v>
      </c>
      <c r="E798" s="7" t="n">
        <v>16</v>
      </c>
      <c r="F798" s="7" t="n">
        <v>6</v>
      </c>
      <c r="G798" s="7" t="n">
        <v>6</v>
      </c>
      <c r="H798" s="7" t="n">
        <v>0</v>
      </c>
      <c r="I798" s="7" t="n">
        <v>0</v>
      </c>
      <c r="J798" s="7" t="n">
        <v>2</v>
      </c>
      <c r="K798" s="7" t="n">
        <v>2</v>
      </c>
      <c r="L798" s="7" t="n">
        <v>12</v>
      </c>
      <c r="M798" s="7" t="n">
        <v>3</v>
      </c>
      <c r="N798" s="7" t="n">
        <v>1</v>
      </c>
      <c r="O798" s="7" t="n">
        <v>0</v>
      </c>
      <c r="P798" s="8" t="n">
        <f aca="false">IF(E798=0,0,G798/E798)</f>
        <v>0.375</v>
      </c>
      <c r="Q798" s="8" t="n">
        <f aca="false">IF(E798+N798=0,0,(G798+N798)/(E798+N798))</f>
        <v>0.411764705882353</v>
      </c>
      <c r="R798" s="8" t="n">
        <f aca="false">IF(E798=0,0,L798/E798)</f>
        <v>0.75</v>
      </c>
      <c r="S798" s="8" t="n">
        <f aca="false">R798+Q798</f>
        <v>1.16176470588235</v>
      </c>
      <c r="T798" s="8" t="n">
        <f aca="false">R798-P798</f>
        <v>0.375</v>
      </c>
    </row>
    <row r="799" customFormat="false" ht="14.25" hidden="false" customHeight="true" outlineLevel="0" collapsed="false">
      <c r="A799" s="6" t="n">
        <v>2022</v>
      </c>
      <c r="B799" s="6" t="s">
        <v>121</v>
      </c>
      <c r="C799" s="6" t="s">
        <v>130</v>
      </c>
      <c r="D799" s="7" t="n">
        <v>12</v>
      </c>
      <c r="E799" s="7" t="n">
        <v>34</v>
      </c>
      <c r="F799" s="7" t="n">
        <v>5</v>
      </c>
      <c r="G799" s="7" t="n">
        <v>5</v>
      </c>
      <c r="H799" s="7" t="n">
        <v>1</v>
      </c>
      <c r="I799" s="7" t="n">
        <v>0</v>
      </c>
      <c r="J799" s="7" t="n">
        <v>0</v>
      </c>
      <c r="K799" s="7" t="n">
        <v>1</v>
      </c>
      <c r="L799" s="7" t="n">
        <v>6</v>
      </c>
      <c r="M799" s="7" t="n">
        <v>7</v>
      </c>
      <c r="N799" s="7" t="n">
        <v>3</v>
      </c>
      <c r="O799" s="7" t="n">
        <v>0</v>
      </c>
      <c r="P799" s="8" t="n">
        <f aca="false">IF(E799=0,0,G799/E799)</f>
        <v>0.147058823529412</v>
      </c>
      <c r="Q799" s="8" t="n">
        <f aca="false">IF(E799+N799=0,0,(G799+N799)/(E799+N799))</f>
        <v>0.216216216216216</v>
      </c>
      <c r="R799" s="8" t="n">
        <f aca="false">IF(E799=0,0,L799/E799)</f>
        <v>0.176470588235294</v>
      </c>
      <c r="S799" s="8" t="n">
        <f aca="false">R799+Q799</f>
        <v>0.39268680445151</v>
      </c>
      <c r="T799" s="8" t="n">
        <f aca="false">R799-P799</f>
        <v>0.0294117647058824</v>
      </c>
    </row>
    <row r="800" customFormat="false" ht="14.25" hidden="false" customHeight="true" outlineLevel="0" collapsed="false">
      <c r="A800" s="6" t="n">
        <v>2022</v>
      </c>
      <c r="B800" s="6" t="s">
        <v>121</v>
      </c>
      <c r="C800" s="6" t="s">
        <v>138</v>
      </c>
      <c r="D800" s="7" t="n">
        <v>5</v>
      </c>
      <c r="E800" s="7" t="n">
        <v>13</v>
      </c>
      <c r="F800" s="7" t="n">
        <v>1</v>
      </c>
      <c r="G800" s="7" t="n">
        <v>5</v>
      </c>
      <c r="H800" s="7" t="n">
        <v>1</v>
      </c>
      <c r="I800" s="7" t="n">
        <v>0</v>
      </c>
      <c r="J800" s="7" t="n">
        <v>0</v>
      </c>
      <c r="K800" s="7" t="n">
        <v>1</v>
      </c>
      <c r="L800" s="7" t="n">
        <v>6</v>
      </c>
      <c r="M800" s="7" t="n">
        <v>3</v>
      </c>
      <c r="N800" s="7" t="n">
        <v>2</v>
      </c>
      <c r="O800" s="7" t="n">
        <v>1</v>
      </c>
      <c r="P800" s="8" t="n">
        <f aca="false">IF(E800=0,0,G800/E800)</f>
        <v>0.384615384615385</v>
      </c>
      <c r="Q800" s="8" t="n">
        <f aca="false">IF(E800+N800=0,0,(G800+N800)/(E800+N800))</f>
        <v>0.466666666666667</v>
      </c>
      <c r="R800" s="8" t="n">
        <f aca="false">IF(E800=0,0,L800/E800)</f>
        <v>0.461538461538462</v>
      </c>
      <c r="S800" s="8" t="n">
        <f aca="false">R800+Q800</f>
        <v>0.928205128205128</v>
      </c>
      <c r="T800" s="8" t="n">
        <f aca="false">R800-P800</f>
        <v>0.0769230769230769</v>
      </c>
    </row>
    <row r="801" customFormat="false" ht="14.25" hidden="false" customHeight="true" outlineLevel="0" collapsed="false">
      <c r="A801" s="6" t="n">
        <v>2022</v>
      </c>
      <c r="B801" s="6" t="s">
        <v>121</v>
      </c>
      <c r="C801" s="6" t="s">
        <v>126</v>
      </c>
      <c r="D801" s="7" t="n">
        <v>4</v>
      </c>
      <c r="E801" s="7" t="n">
        <v>10</v>
      </c>
      <c r="F801" s="7" t="n">
        <v>5</v>
      </c>
      <c r="G801" s="7" t="n">
        <v>5</v>
      </c>
      <c r="H801" s="7" t="n">
        <v>0</v>
      </c>
      <c r="I801" s="7" t="n">
        <v>0</v>
      </c>
      <c r="J801" s="7" t="n">
        <v>3</v>
      </c>
      <c r="K801" s="7" t="n">
        <v>3</v>
      </c>
      <c r="L801" s="7" t="n">
        <v>14</v>
      </c>
      <c r="M801" s="7" t="n">
        <v>7</v>
      </c>
      <c r="N801" s="7" t="n">
        <v>3</v>
      </c>
      <c r="O801" s="7" t="n">
        <v>0</v>
      </c>
      <c r="P801" s="8" t="n">
        <f aca="false">IF(E801=0,0,G801/E801)</f>
        <v>0.5</v>
      </c>
      <c r="Q801" s="8" t="n">
        <f aca="false">IF(E801+N801=0,0,(G801+N801)/(E801+N801))</f>
        <v>0.615384615384615</v>
      </c>
      <c r="R801" s="8" t="n">
        <f aca="false">IF(E801=0,0,L801/E801)</f>
        <v>1.4</v>
      </c>
      <c r="S801" s="8" t="n">
        <f aca="false">R801+Q801</f>
        <v>2.01538461538462</v>
      </c>
      <c r="T801" s="8" t="n">
        <f aca="false">R801-P801</f>
        <v>0.9</v>
      </c>
    </row>
    <row r="802" customFormat="false" ht="14.25" hidden="false" customHeight="true" outlineLevel="0" collapsed="false">
      <c r="A802" s="6" t="n">
        <v>2022</v>
      </c>
      <c r="B802" s="6" t="s">
        <v>121</v>
      </c>
      <c r="C802" s="6" t="s">
        <v>128</v>
      </c>
      <c r="D802" s="7" t="n">
        <v>8</v>
      </c>
      <c r="E802" s="7" t="n">
        <v>15</v>
      </c>
      <c r="F802" s="7" t="n">
        <v>2</v>
      </c>
      <c r="G802" s="7" t="n">
        <v>4</v>
      </c>
      <c r="H802" s="7" t="n">
        <v>0</v>
      </c>
      <c r="I802" s="7" t="n">
        <v>0</v>
      </c>
      <c r="J802" s="7" t="n">
        <v>0</v>
      </c>
      <c r="K802" s="7" t="n">
        <v>0</v>
      </c>
      <c r="L802" s="7" t="n">
        <v>4</v>
      </c>
      <c r="M802" s="7" t="n">
        <v>1</v>
      </c>
      <c r="N802" s="7" t="n">
        <v>2</v>
      </c>
      <c r="O802" s="7" t="n">
        <v>0</v>
      </c>
      <c r="P802" s="8" t="n">
        <f aca="false">IF(E802=0,0,G802/E802)</f>
        <v>0.266666666666667</v>
      </c>
      <c r="Q802" s="8" t="n">
        <f aca="false">IF(E802+N802=0,0,(G802+N802)/(E802+N802))</f>
        <v>0.352941176470588</v>
      </c>
      <c r="R802" s="8" t="n">
        <f aca="false">IF(E802=0,0,L802/E802)</f>
        <v>0.266666666666667</v>
      </c>
      <c r="S802" s="8" t="n">
        <f aca="false">R802+Q802</f>
        <v>0.619607843137255</v>
      </c>
      <c r="T802" s="8" t="n">
        <f aca="false">R802-P802</f>
        <v>0</v>
      </c>
    </row>
    <row r="803" customFormat="false" ht="14.25" hidden="false" customHeight="true" outlineLevel="0" collapsed="false">
      <c r="A803" s="6" t="n">
        <v>2022</v>
      </c>
      <c r="B803" s="6" t="s">
        <v>121</v>
      </c>
      <c r="C803" s="6" t="s">
        <v>133</v>
      </c>
      <c r="D803" s="7" t="n">
        <v>5</v>
      </c>
      <c r="E803" s="7" t="n">
        <v>8</v>
      </c>
      <c r="F803" s="7" t="n">
        <v>1</v>
      </c>
      <c r="G803" s="7" t="n">
        <v>3</v>
      </c>
      <c r="H803" s="7" t="n">
        <v>0</v>
      </c>
      <c r="I803" s="7" t="n">
        <v>0</v>
      </c>
      <c r="J803" s="7" t="n">
        <v>0</v>
      </c>
      <c r="K803" s="7" t="n">
        <v>0</v>
      </c>
      <c r="L803" s="7" t="n">
        <v>3</v>
      </c>
      <c r="M803" s="7" t="n">
        <v>1</v>
      </c>
      <c r="N803" s="7" t="n">
        <v>3</v>
      </c>
      <c r="O803" s="7" t="n">
        <v>0</v>
      </c>
      <c r="P803" s="8" t="n">
        <f aca="false">IF(E803=0,0,G803/E803)</f>
        <v>0.375</v>
      </c>
      <c r="Q803" s="8" t="n">
        <f aca="false">IF(E803+N803=0,0,(G803+N803)/(E803+N803))</f>
        <v>0.545454545454545</v>
      </c>
      <c r="R803" s="8" t="n">
        <f aca="false">IF(E803=0,0,L803/E803)</f>
        <v>0.375</v>
      </c>
      <c r="S803" s="8" t="n">
        <f aca="false">R803+Q803</f>
        <v>0.920454545454545</v>
      </c>
      <c r="T803" s="8" t="n">
        <f aca="false">R803-P803</f>
        <v>0</v>
      </c>
    </row>
    <row r="804" customFormat="false" ht="14.25" hidden="false" customHeight="true" outlineLevel="0" collapsed="false">
      <c r="A804" s="6" t="n">
        <v>2022</v>
      </c>
      <c r="B804" s="6" t="s">
        <v>121</v>
      </c>
      <c r="C804" s="6" t="s">
        <v>122</v>
      </c>
      <c r="D804" s="7" t="n">
        <v>4</v>
      </c>
      <c r="E804" s="7" t="n">
        <v>9</v>
      </c>
      <c r="F804" s="7" t="n">
        <v>3</v>
      </c>
      <c r="G804" s="7" t="n">
        <v>3</v>
      </c>
      <c r="H804" s="7" t="n">
        <v>1</v>
      </c>
      <c r="I804" s="7" t="n">
        <v>1</v>
      </c>
      <c r="J804" s="7" t="n">
        <v>0</v>
      </c>
      <c r="K804" s="7" t="n">
        <v>2</v>
      </c>
      <c r="L804" s="7" t="n">
        <v>6</v>
      </c>
      <c r="M804" s="7" t="n">
        <v>2</v>
      </c>
      <c r="N804" s="7" t="n">
        <v>4</v>
      </c>
      <c r="O804" s="7" t="n">
        <v>2</v>
      </c>
      <c r="P804" s="8" t="n">
        <f aca="false">IF(E804=0,0,G804/E804)</f>
        <v>0.333333333333333</v>
      </c>
      <c r="Q804" s="8" t="n">
        <f aca="false">IF(E804+N804=0,0,(G804+N804)/(E804+N804))</f>
        <v>0.538461538461538</v>
      </c>
      <c r="R804" s="8" t="n">
        <f aca="false">IF(E804=0,0,L804/E804)</f>
        <v>0.666666666666667</v>
      </c>
      <c r="S804" s="8" t="n">
        <f aca="false">R804+Q804</f>
        <v>1.20512820512821</v>
      </c>
      <c r="T804" s="8" t="n">
        <f aca="false">R804-P804</f>
        <v>0.333333333333333</v>
      </c>
    </row>
    <row r="805" customFormat="false" ht="14.25" hidden="false" customHeight="true" outlineLevel="0" collapsed="false">
      <c r="A805" s="6" t="n">
        <v>2022</v>
      </c>
      <c r="B805" s="6" t="s">
        <v>121</v>
      </c>
      <c r="C805" s="6" t="s">
        <v>143</v>
      </c>
      <c r="D805" s="7" t="n">
        <v>2</v>
      </c>
      <c r="E805" s="7" t="n">
        <v>7</v>
      </c>
      <c r="F805" s="7" t="n">
        <v>3</v>
      </c>
      <c r="G805" s="7" t="n">
        <v>3</v>
      </c>
      <c r="H805" s="7" t="n">
        <v>2</v>
      </c>
      <c r="I805" s="7" t="n">
        <v>0</v>
      </c>
      <c r="J805" s="7" t="n">
        <v>1</v>
      </c>
      <c r="K805" s="7" t="n">
        <v>3</v>
      </c>
      <c r="L805" s="7" t="n">
        <v>8</v>
      </c>
      <c r="M805" s="7" t="n">
        <v>3</v>
      </c>
      <c r="N805" s="7" t="n">
        <v>0</v>
      </c>
      <c r="O805" s="7" t="n">
        <v>1</v>
      </c>
      <c r="P805" s="8" t="n">
        <f aca="false">IF(E805=0,0,G805/E805)</f>
        <v>0.428571428571429</v>
      </c>
      <c r="Q805" s="8" t="n">
        <f aca="false">IF(E805+N805=0,0,(G805+N805)/(E805+N805))</f>
        <v>0.428571428571429</v>
      </c>
      <c r="R805" s="8" t="n">
        <f aca="false">IF(E805=0,0,L805/E805)</f>
        <v>1.14285714285714</v>
      </c>
      <c r="S805" s="8" t="n">
        <f aca="false">R805+Q805</f>
        <v>1.57142857142857</v>
      </c>
      <c r="T805" s="8" t="n">
        <f aca="false">R805-P805</f>
        <v>0.714285714285714</v>
      </c>
    </row>
    <row r="806" customFormat="false" ht="14.25" hidden="false" customHeight="true" outlineLevel="0" collapsed="false">
      <c r="A806" s="6" t="n">
        <v>2022</v>
      </c>
      <c r="B806" s="6" t="s">
        <v>121</v>
      </c>
      <c r="C806" s="6" t="s">
        <v>131</v>
      </c>
      <c r="D806" s="7" t="n">
        <v>2</v>
      </c>
      <c r="E806" s="7" t="n">
        <v>5</v>
      </c>
      <c r="F806" s="7" t="n">
        <v>1</v>
      </c>
      <c r="G806" s="7" t="n">
        <v>3</v>
      </c>
      <c r="H806" s="7" t="n">
        <v>1</v>
      </c>
      <c r="I806" s="7" t="n">
        <v>0</v>
      </c>
      <c r="J806" s="7" t="n">
        <v>0</v>
      </c>
      <c r="K806" s="7" t="n">
        <v>1</v>
      </c>
      <c r="L806" s="7" t="n">
        <v>4</v>
      </c>
      <c r="M806" s="7" t="n">
        <v>2</v>
      </c>
      <c r="N806" s="7" t="n">
        <v>1</v>
      </c>
      <c r="O806" s="7" t="n">
        <v>0</v>
      </c>
      <c r="P806" s="8" t="n">
        <f aca="false">IF(E806=0,0,G806/E806)</f>
        <v>0.6</v>
      </c>
      <c r="Q806" s="8" t="n">
        <f aca="false">IF(E806+N806=0,0,(G806+N806)/(E806+N806))</f>
        <v>0.666666666666667</v>
      </c>
      <c r="R806" s="8" t="n">
        <f aca="false">IF(E806=0,0,L806/E806)</f>
        <v>0.8</v>
      </c>
      <c r="S806" s="8" t="n">
        <f aca="false">R806+Q806</f>
        <v>1.46666666666667</v>
      </c>
      <c r="T806" s="8" t="n">
        <f aca="false">R806-P806</f>
        <v>0.2</v>
      </c>
    </row>
    <row r="807" customFormat="false" ht="14.25" hidden="false" customHeight="true" outlineLevel="0" collapsed="false">
      <c r="A807" s="6" t="n">
        <v>2022</v>
      </c>
      <c r="B807" s="6" t="s">
        <v>121</v>
      </c>
      <c r="C807" s="6" t="s">
        <v>145</v>
      </c>
      <c r="D807" s="7" t="n">
        <v>11</v>
      </c>
      <c r="E807" s="7" t="n">
        <v>19</v>
      </c>
      <c r="F807" s="7" t="n">
        <v>0</v>
      </c>
      <c r="G807" s="7" t="n">
        <v>2</v>
      </c>
      <c r="H807" s="7" t="n">
        <v>0</v>
      </c>
      <c r="I807" s="7" t="n">
        <v>0</v>
      </c>
      <c r="J807" s="7" t="n">
        <v>0</v>
      </c>
      <c r="K807" s="7" t="n">
        <v>0</v>
      </c>
      <c r="L807" s="7" t="n">
        <v>2</v>
      </c>
      <c r="M807" s="7" t="n">
        <v>2</v>
      </c>
      <c r="N807" s="7" t="n">
        <v>7</v>
      </c>
      <c r="O807" s="7" t="n">
        <v>2</v>
      </c>
      <c r="P807" s="8" t="n">
        <f aca="false">IF(E807=0,0,G807/E807)</f>
        <v>0.105263157894737</v>
      </c>
      <c r="Q807" s="8" t="n">
        <f aca="false">IF(E807+N807=0,0,(G807+N807)/(E807+N807))</f>
        <v>0.346153846153846</v>
      </c>
      <c r="R807" s="8" t="n">
        <f aca="false">IF(E807=0,0,L807/E807)</f>
        <v>0.105263157894737</v>
      </c>
      <c r="S807" s="8" t="n">
        <f aca="false">R807+Q807</f>
        <v>0.451417004048583</v>
      </c>
      <c r="T807" s="8" t="n">
        <f aca="false">R807-P807</f>
        <v>0</v>
      </c>
    </row>
    <row r="808" customFormat="false" ht="14.25" hidden="false" customHeight="true" outlineLevel="0" collapsed="false">
      <c r="A808" s="6" t="n">
        <v>2022</v>
      </c>
      <c r="B808" s="6" t="s">
        <v>121</v>
      </c>
      <c r="C808" s="6" t="s">
        <v>298</v>
      </c>
      <c r="D808" s="7" t="n">
        <v>5</v>
      </c>
      <c r="E808" s="7" t="n">
        <v>8</v>
      </c>
      <c r="F808" s="7" t="n">
        <v>1</v>
      </c>
      <c r="G808" s="7" t="n">
        <v>2</v>
      </c>
      <c r="H808" s="7" t="n">
        <v>0</v>
      </c>
      <c r="I808" s="7" t="n">
        <v>0</v>
      </c>
      <c r="J808" s="7" t="n">
        <v>0</v>
      </c>
      <c r="K808" s="7" t="n">
        <v>0</v>
      </c>
      <c r="L808" s="7" t="n">
        <v>2</v>
      </c>
      <c r="M808" s="7" t="n">
        <v>0</v>
      </c>
      <c r="N808" s="7" t="n">
        <v>0</v>
      </c>
      <c r="O808" s="7" t="n">
        <v>0</v>
      </c>
      <c r="P808" s="8" t="n">
        <f aca="false">IF(E808=0,0,G808/E808)</f>
        <v>0.25</v>
      </c>
      <c r="Q808" s="8" t="n">
        <f aca="false">IF(E808+N808=0,0,(G808+N808)/(E808+N808))</f>
        <v>0.25</v>
      </c>
      <c r="R808" s="8" t="n">
        <f aca="false">IF(E808=0,0,L808/E808)</f>
        <v>0.25</v>
      </c>
      <c r="S808" s="8" t="n">
        <f aca="false">R808+Q808</f>
        <v>0.5</v>
      </c>
      <c r="T808" s="8" t="n">
        <f aca="false">R808-P808</f>
        <v>0</v>
      </c>
    </row>
    <row r="809" customFormat="false" ht="14.25" hidden="false" customHeight="true" outlineLevel="0" collapsed="false">
      <c r="A809" s="6" t="n">
        <v>2022</v>
      </c>
      <c r="B809" s="6" t="s">
        <v>121</v>
      </c>
      <c r="C809" s="6" t="s">
        <v>137</v>
      </c>
      <c r="D809" s="7" t="n">
        <v>6</v>
      </c>
      <c r="E809" s="7" t="n">
        <v>19</v>
      </c>
      <c r="F809" s="7" t="n">
        <v>2</v>
      </c>
      <c r="G809" s="7" t="n">
        <v>1</v>
      </c>
      <c r="H809" s="7" t="n">
        <v>1</v>
      </c>
      <c r="I809" s="7" t="n">
        <v>0</v>
      </c>
      <c r="J809" s="7" t="n">
        <v>0</v>
      </c>
      <c r="K809" s="7" t="n">
        <v>1</v>
      </c>
      <c r="L809" s="7" t="n">
        <v>2</v>
      </c>
      <c r="M809" s="7" t="n">
        <v>2</v>
      </c>
      <c r="N809" s="7" t="n">
        <v>0</v>
      </c>
      <c r="O809" s="7" t="n">
        <v>1</v>
      </c>
      <c r="P809" s="8" t="n">
        <f aca="false">IF(E809=0,0,G809/E809)</f>
        <v>0.0526315789473684</v>
      </c>
      <c r="Q809" s="8" t="n">
        <f aca="false">IF(E809+N809=0,0,(G809+N809)/(E809+N809))</f>
        <v>0.0526315789473684</v>
      </c>
      <c r="R809" s="8" t="n">
        <f aca="false">IF(E809=0,0,L809/E809)</f>
        <v>0.105263157894737</v>
      </c>
      <c r="S809" s="8" t="n">
        <f aca="false">R809+Q809</f>
        <v>0.157894736842105</v>
      </c>
      <c r="T809" s="8" t="n">
        <f aca="false">R809-P809</f>
        <v>0.0526315789473684</v>
      </c>
    </row>
    <row r="810" customFormat="false" ht="14.25" hidden="false" customHeight="true" outlineLevel="0" collapsed="false">
      <c r="A810" s="6" t="n">
        <v>2022</v>
      </c>
      <c r="B810" s="6" t="s">
        <v>121</v>
      </c>
      <c r="C810" s="6" t="s">
        <v>135</v>
      </c>
      <c r="D810" s="7" t="n">
        <v>6</v>
      </c>
      <c r="E810" s="7" t="n">
        <v>14</v>
      </c>
      <c r="F810" s="7" t="n">
        <v>1</v>
      </c>
      <c r="G810" s="7" t="n">
        <v>1</v>
      </c>
      <c r="H810" s="7" t="n">
        <v>0</v>
      </c>
      <c r="I810" s="7" t="n">
        <v>0</v>
      </c>
      <c r="J810" s="7" t="n">
        <v>0</v>
      </c>
      <c r="K810" s="7" t="n">
        <v>0</v>
      </c>
      <c r="L810" s="7" t="n">
        <v>1</v>
      </c>
      <c r="M810" s="7" t="n">
        <v>0</v>
      </c>
      <c r="N810" s="7" t="n">
        <v>1</v>
      </c>
      <c r="O810" s="7" t="n">
        <v>0</v>
      </c>
      <c r="P810" s="8" t="n">
        <f aca="false">IF(E810=0,0,G810/E810)</f>
        <v>0.0714285714285714</v>
      </c>
      <c r="Q810" s="8" t="n">
        <f aca="false">IF(E810+N810=0,0,(G810+N810)/(E810+N810))</f>
        <v>0.133333333333333</v>
      </c>
      <c r="R810" s="8" t="n">
        <f aca="false">IF(E810=0,0,L810/E810)</f>
        <v>0.0714285714285714</v>
      </c>
      <c r="S810" s="8" t="n">
        <f aca="false">R810+Q810</f>
        <v>0.204761904761905</v>
      </c>
      <c r="T810" s="8" t="n">
        <f aca="false">R810-P810</f>
        <v>0</v>
      </c>
    </row>
    <row r="811" customFormat="false" ht="14.25" hidden="false" customHeight="true" outlineLevel="0" collapsed="false">
      <c r="A811" s="6" t="n">
        <v>2022</v>
      </c>
      <c r="B811" s="6" t="s">
        <v>121</v>
      </c>
      <c r="C811" s="6" t="s">
        <v>140</v>
      </c>
      <c r="D811" s="7" t="n">
        <v>5</v>
      </c>
      <c r="E811" s="7" t="n">
        <v>10</v>
      </c>
      <c r="F811" s="7" t="n">
        <v>1</v>
      </c>
      <c r="G811" s="7" t="n">
        <v>1</v>
      </c>
      <c r="H811" s="7" t="n">
        <v>0</v>
      </c>
      <c r="I811" s="7" t="n">
        <v>0</v>
      </c>
      <c r="J811" s="7" t="n">
        <v>0</v>
      </c>
      <c r="K811" s="7" t="n">
        <v>0</v>
      </c>
      <c r="L811" s="7" t="n">
        <v>1</v>
      </c>
      <c r="M811" s="7" t="n">
        <v>1</v>
      </c>
      <c r="N811" s="7" t="n">
        <v>3</v>
      </c>
      <c r="O811" s="7" t="n">
        <v>0</v>
      </c>
      <c r="P811" s="8" t="n">
        <f aca="false">IF(E811=0,0,G811/E811)</f>
        <v>0.1</v>
      </c>
      <c r="Q811" s="8" t="n">
        <f aca="false">IF(E811+N811=0,0,(G811+N811)/(E811+N811))</f>
        <v>0.307692307692308</v>
      </c>
      <c r="R811" s="8" t="n">
        <f aca="false">IF(E811=0,0,L811/E811)</f>
        <v>0.1</v>
      </c>
      <c r="S811" s="8" t="n">
        <f aca="false">R811+Q811</f>
        <v>0.407692307692308</v>
      </c>
      <c r="T811" s="8" t="n">
        <f aca="false">R811-P811</f>
        <v>0</v>
      </c>
    </row>
    <row r="812" customFormat="false" ht="14.25" hidden="false" customHeight="true" outlineLevel="0" collapsed="false">
      <c r="A812" s="6" t="n">
        <v>2022</v>
      </c>
      <c r="B812" s="6" t="s">
        <v>121</v>
      </c>
      <c r="C812" s="6" t="s">
        <v>271</v>
      </c>
      <c r="D812" s="7" t="n">
        <v>4</v>
      </c>
      <c r="E812" s="7" t="n">
        <v>5</v>
      </c>
      <c r="F812" s="7" t="n">
        <v>1</v>
      </c>
      <c r="G812" s="7" t="n">
        <v>1</v>
      </c>
      <c r="H812" s="7" t="n">
        <v>0</v>
      </c>
      <c r="I812" s="7" t="n">
        <v>0</v>
      </c>
      <c r="J812" s="7" t="n">
        <v>0</v>
      </c>
      <c r="K812" s="7" t="n">
        <v>0</v>
      </c>
      <c r="L812" s="7" t="n">
        <v>1</v>
      </c>
      <c r="M812" s="7" t="n">
        <v>0</v>
      </c>
      <c r="N812" s="7" t="n">
        <v>1</v>
      </c>
      <c r="O812" s="7" t="n">
        <v>0</v>
      </c>
      <c r="P812" s="8" t="n">
        <f aca="false">IF(E812=0,0,G812/E812)</f>
        <v>0.2</v>
      </c>
      <c r="Q812" s="8" t="n">
        <f aca="false">IF(E812+N812=0,0,(G812+N812)/(E812+N812))</f>
        <v>0.333333333333333</v>
      </c>
      <c r="R812" s="8" t="n">
        <f aca="false">IF(E812=0,0,L812/E812)</f>
        <v>0.2</v>
      </c>
      <c r="S812" s="8" t="n">
        <f aca="false">R812+Q812</f>
        <v>0.533333333333333</v>
      </c>
      <c r="T812" s="8" t="n">
        <f aca="false">R812-P812</f>
        <v>0</v>
      </c>
    </row>
    <row r="813" customFormat="false" ht="14.25" hidden="false" customHeight="true" outlineLevel="0" collapsed="false">
      <c r="A813" s="6" t="n">
        <v>2022</v>
      </c>
      <c r="B813" s="6" t="s">
        <v>121</v>
      </c>
      <c r="C813" s="6" t="s">
        <v>146</v>
      </c>
      <c r="D813" s="7" t="n">
        <v>2</v>
      </c>
      <c r="E813" s="7" t="n">
        <v>5</v>
      </c>
      <c r="F813" s="7" t="n">
        <v>0</v>
      </c>
      <c r="G813" s="7" t="n">
        <v>1</v>
      </c>
      <c r="H813" s="7" t="n">
        <v>0</v>
      </c>
      <c r="I813" s="7" t="n">
        <v>0</v>
      </c>
      <c r="J813" s="7" t="n">
        <v>0</v>
      </c>
      <c r="K813" s="7" t="n">
        <v>0</v>
      </c>
      <c r="L813" s="7" t="n">
        <v>1</v>
      </c>
      <c r="M813" s="7" t="n">
        <v>0</v>
      </c>
      <c r="N813" s="7" t="n">
        <v>0</v>
      </c>
      <c r="O813" s="7" t="n">
        <v>0</v>
      </c>
      <c r="P813" s="8" t="n">
        <f aca="false">IF(E813=0,0,G813/E813)</f>
        <v>0.2</v>
      </c>
      <c r="Q813" s="8" t="n">
        <f aca="false">IF(E813+N813=0,0,(G813+N813)/(E813+N813))</f>
        <v>0.2</v>
      </c>
      <c r="R813" s="8" t="n">
        <f aca="false">IF(E813=0,0,L813/E813)</f>
        <v>0.2</v>
      </c>
      <c r="S813" s="8" t="n">
        <f aca="false">R813+Q813</f>
        <v>0.4</v>
      </c>
      <c r="T813" s="8" t="n">
        <f aca="false">R813-P813</f>
        <v>0</v>
      </c>
    </row>
    <row r="814" customFormat="false" ht="14.25" hidden="false" customHeight="true" outlineLevel="0" collapsed="false">
      <c r="A814" s="6" t="n">
        <v>2022</v>
      </c>
      <c r="B814" s="6" t="s">
        <v>121</v>
      </c>
      <c r="C814" s="6" t="s">
        <v>301</v>
      </c>
      <c r="D814" s="7" t="n">
        <v>1</v>
      </c>
      <c r="E814" s="7" t="n">
        <v>2</v>
      </c>
      <c r="F814" s="7" t="n">
        <v>0</v>
      </c>
      <c r="G814" s="7" t="n">
        <v>1</v>
      </c>
      <c r="H814" s="7" t="n">
        <v>0</v>
      </c>
      <c r="I814" s="7" t="n">
        <v>0</v>
      </c>
      <c r="J814" s="7" t="n">
        <v>0</v>
      </c>
      <c r="K814" s="7" t="n">
        <v>0</v>
      </c>
      <c r="L814" s="7" t="n">
        <v>1</v>
      </c>
      <c r="M814" s="7" t="n">
        <v>0</v>
      </c>
      <c r="N814" s="7" t="n">
        <v>0</v>
      </c>
      <c r="O814" s="7" t="n">
        <v>0</v>
      </c>
      <c r="P814" s="8" t="n">
        <f aca="false">IF(E814=0,0,G814/E814)</f>
        <v>0.5</v>
      </c>
      <c r="Q814" s="8" t="n">
        <f aca="false">IF(E814+N814=0,0,(G814+N814)/(E814+N814))</f>
        <v>0.5</v>
      </c>
      <c r="R814" s="8" t="n">
        <f aca="false">IF(E814=0,0,L814/E814)</f>
        <v>0.5</v>
      </c>
      <c r="S814" s="8" t="n">
        <f aca="false">R814+Q814</f>
        <v>1</v>
      </c>
      <c r="T814" s="8" t="n">
        <f aca="false">R814-P814</f>
        <v>0</v>
      </c>
    </row>
    <row r="815" customFormat="false" ht="14.25" hidden="false" customHeight="true" outlineLevel="0" collapsed="false">
      <c r="A815" s="6" t="n">
        <v>2022</v>
      </c>
      <c r="B815" s="6" t="s">
        <v>121</v>
      </c>
      <c r="C815" s="6" t="s">
        <v>386</v>
      </c>
      <c r="D815" s="7" t="n">
        <v>2</v>
      </c>
      <c r="E815" s="7" t="n">
        <v>5</v>
      </c>
      <c r="F815" s="7" t="n">
        <v>0</v>
      </c>
      <c r="G815" s="7" t="n">
        <v>0</v>
      </c>
      <c r="H815" s="7" t="n">
        <v>0</v>
      </c>
      <c r="I815" s="7" t="n">
        <v>0</v>
      </c>
      <c r="J815" s="7" t="n">
        <v>0</v>
      </c>
      <c r="K815" s="7" t="n">
        <v>0</v>
      </c>
      <c r="L815" s="7" t="n">
        <v>0</v>
      </c>
      <c r="M815" s="7" t="n">
        <v>1</v>
      </c>
      <c r="N815" s="7" t="n">
        <v>0</v>
      </c>
      <c r="O815" s="7" t="n">
        <v>0</v>
      </c>
      <c r="P815" s="8" t="n">
        <f aca="false">IF(E815=0,0,G815/E815)</f>
        <v>0</v>
      </c>
      <c r="Q815" s="8" t="n">
        <f aca="false">IF(E815+N815=0,0,(G815+N815)/(E815+N815))</f>
        <v>0</v>
      </c>
      <c r="R815" s="8" t="n">
        <f aca="false">IF(E815=0,0,L815/E815)</f>
        <v>0</v>
      </c>
      <c r="S815" s="8" t="n">
        <f aca="false">R815+Q815</f>
        <v>0</v>
      </c>
      <c r="T815" s="8" t="n">
        <f aca="false">R815-P815</f>
        <v>0</v>
      </c>
    </row>
    <row r="816" customFormat="false" ht="14.25" hidden="false" customHeight="true" outlineLevel="0" collapsed="false">
      <c r="A816" s="6" t="n">
        <v>2022</v>
      </c>
      <c r="B816" s="6" t="s">
        <v>121</v>
      </c>
      <c r="C816" s="6" t="s">
        <v>142</v>
      </c>
      <c r="D816" s="7" t="n">
        <v>2</v>
      </c>
      <c r="E816" s="7" t="n">
        <v>3</v>
      </c>
      <c r="F816" s="7" t="n">
        <v>0</v>
      </c>
      <c r="G816" s="7" t="n">
        <v>0</v>
      </c>
      <c r="H816" s="7" t="n">
        <v>0</v>
      </c>
      <c r="I816" s="7" t="n">
        <v>0</v>
      </c>
      <c r="J816" s="7" t="n">
        <v>0</v>
      </c>
      <c r="K816" s="7" t="n">
        <v>0</v>
      </c>
      <c r="L816" s="7" t="n">
        <v>0</v>
      </c>
      <c r="M816" s="7" t="n">
        <v>0</v>
      </c>
      <c r="N816" s="7" t="n">
        <v>1</v>
      </c>
      <c r="O816" s="7" t="n">
        <v>0</v>
      </c>
      <c r="P816" s="8" t="n">
        <f aca="false">IF(E816=0,0,G816/E816)</f>
        <v>0</v>
      </c>
      <c r="Q816" s="8" t="n">
        <f aca="false">IF(E816+N816=0,0,(G816+N816)/(E816+N816))</f>
        <v>0.25</v>
      </c>
      <c r="R816" s="8" t="n">
        <f aca="false">IF(E816=0,0,L816/E816)</f>
        <v>0</v>
      </c>
      <c r="S816" s="8" t="n">
        <f aca="false">R816+Q816</f>
        <v>0.25</v>
      </c>
      <c r="T816" s="8" t="n">
        <f aca="false">R816-P816</f>
        <v>0</v>
      </c>
    </row>
    <row r="817" customFormat="false" ht="14.25" hidden="false" customHeight="true" outlineLevel="0" collapsed="false">
      <c r="A817" s="6" t="n">
        <v>2022</v>
      </c>
      <c r="B817" s="6" t="s">
        <v>121</v>
      </c>
      <c r="C817" s="6" t="s">
        <v>132</v>
      </c>
      <c r="D817" s="7" t="n">
        <v>2</v>
      </c>
      <c r="E817" s="7" t="n">
        <v>2</v>
      </c>
      <c r="F817" s="7" t="n">
        <v>0</v>
      </c>
      <c r="G817" s="7" t="n">
        <v>0</v>
      </c>
      <c r="H817" s="7" t="n">
        <v>0</v>
      </c>
      <c r="I817" s="7" t="n">
        <v>0</v>
      </c>
      <c r="J817" s="7" t="n">
        <v>0</v>
      </c>
      <c r="K817" s="7" t="n">
        <v>0</v>
      </c>
      <c r="L817" s="7" t="n">
        <v>0</v>
      </c>
      <c r="M817" s="7" t="n">
        <v>0</v>
      </c>
      <c r="N817" s="7" t="n">
        <v>0</v>
      </c>
      <c r="O817" s="7" t="n">
        <v>0</v>
      </c>
      <c r="P817" s="8" t="n">
        <f aca="false">IF(E817=0,0,G817/E817)</f>
        <v>0</v>
      </c>
      <c r="Q817" s="8" t="n">
        <f aca="false">IF(E817+N817=0,0,(G817+N817)/(E817+N817))</f>
        <v>0</v>
      </c>
      <c r="R817" s="8" t="n">
        <f aca="false">IF(E817=0,0,L817/E817)</f>
        <v>0</v>
      </c>
      <c r="S817" s="8" t="n">
        <f aca="false">R817+Q817</f>
        <v>0</v>
      </c>
      <c r="T817" s="8" t="n">
        <f aca="false">R817-P817</f>
        <v>0</v>
      </c>
    </row>
    <row r="818" customFormat="false" ht="14.25" hidden="false" customHeight="true" outlineLevel="0" collapsed="false">
      <c r="A818" s="6" t="n">
        <v>2022</v>
      </c>
      <c r="B818" s="6" t="s">
        <v>121</v>
      </c>
      <c r="C818" s="6" t="s">
        <v>342</v>
      </c>
      <c r="D818" s="7" t="n">
        <v>1</v>
      </c>
      <c r="E818" s="7" t="n">
        <v>4</v>
      </c>
      <c r="F818" s="7" t="n">
        <v>0</v>
      </c>
      <c r="G818" s="7" t="n">
        <v>0</v>
      </c>
      <c r="H818" s="7" t="n">
        <v>0</v>
      </c>
      <c r="I818" s="7" t="n">
        <v>0</v>
      </c>
      <c r="J818" s="7" t="n">
        <v>0</v>
      </c>
      <c r="K818" s="7" t="n">
        <v>0</v>
      </c>
      <c r="L818" s="7" t="n">
        <v>0</v>
      </c>
      <c r="M818" s="7" t="n">
        <v>0</v>
      </c>
      <c r="N818" s="7" t="n">
        <v>0</v>
      </c>
      <c r="O818" s="7" t="n">
        <v>0</v>
      </c>
      <c r="P818" s="8" t="n">
        <f aca="false">IF(E818=0,0,G818/E818)</f>
        <v>0</v>
      </c>
      <c r="Q818" s="8" t="n">
        <f aca="false">IF(E818+N818=0,0,(G818+N818)/(E818+N818))</f>
        <v>0</v>
      </c>
      <c r="R818" s="8" t="n">
        <f aca="false">IF(E818=0,0,L818/E818)</f>
        <v>0</v>
      </c>
      <c r="S818" s="8" t="n">
        <f aca="false">R818+Q818</f>
        <v>0</v>
      </c>
      <c r="T818" s="8" t="n">
        <f aca="false">R818-P818</f>
        <v>0</v>
      </c>
    </row>
    <row r="819" customFormat="false" ht="14.25" hidden="false" customHeight="true" outlineLevel="0" collapsed="false">
      <c r="A819" s="6" t="n">
        <v>2022</v>
      </c>
      <c r="B819" s="6" t="s">
        <v>121</v>
      </c>
      <c r="C819" s="6" t="s">
        <v>387</v>
      </c>
      <c r="D819" s="7" t="n">
        <v>1</v>
      </c>
      <c r="E819" s="7" t="n">
        <v>2</v>
      </c>
      <c r="F819" s="7" t="n">
        <v>0</v>
      </c>
      <c r="G819" s="7" t="n">
        <v>0</v>
      </c>
      <c r="H819" s="7" t="n">
        <v>0</v>
      </c>
      <c r="I819" s="7" t="n">
        <v>0</v>
      </c>
      <c r="J819" s="7" t="n">
        <v>0</v>
      </c>
      <c r="K819" s="7" t="n">
        <v>0</v>
      </c>
      <c r="L819" s="7" t="n">
        <v>0</v>
      </c>
      <c r="M819" s="7" t="n">
        <v>0</v>
      </c>
      <c r="N819" s="7" t="n">
        <v>0</v>
      </c>
      <c r="O819" s="7" t="n">
        <v>0</v>
      </c>
      <c r="P819" s="8" t="n">
        <f aca="false">IF(E819=0,0,G819/E819)</f>
        <v>0</v>
      </c>
      <c r="Q819" s="8" t="n">
        <f aca="false">IF(E819+N819=0,0,(G819+N819)/(E819+N819))</f>
        <v>0</v>
      </c>
      <c r="R819" s="8" t="n">
        <f aca="false">IF(E819=0,0,L819/E819)</f>
        <v>0</v>
      </c>
      <c r="S819" s="8" t="n">
        <f aca="false">R819+Q819</f>
        <v>0</v>
      </c>
      <c r="T819" s="8" t="n">
        <f aca="false">R819-P819</f>
        <v>0</v>
      </c>
    </row>
    <row r="820" customFormat="false" ht="14.25" hidden="false" customHeight="true" outlineLevel="0" collapsed="false">
      <c r="A820" s="6" t="n">
        <v>2022</v>
      </c>
      <c r="B820" s="6" t="s">
        <v>121</v>
      </c>
      <c r="C820" s="6" t="s">
        <v>388</v>
      </c>
      <c r="D820" s="7" t="n">
        <v>1</v>
      </c>
      <c r="E820" s="7" t="n">
        <v>1</v>
      </c>
      <c r="F820" s="7" t="n">
        <v>0</v>
      </c>
      <c r="G820" s="7" t="n">
        <v>0</v>
      </c>
      <c r="H820" s="7" t="n">
        <v>0</v>
      </c>
      <c r="I820" s="7" t="n">
        <v>0</v>
      </c>
      <c r="J820" s="7" t="n">
        <v>0</v>
      </c>
      <c r="K820" s="7" t="n">
        <v>0</v>
      </c>
      <c r="L820" s="7" t="n">
        <v>0</v>
      </c>
      <c r="M820" s="7" t="n">
        <v>0</v>
      </c>
      <c r="N820" s="7" t="n">
        <v>0</v>
      </c>
      <c r="O820" s="7" t="n">
        <v>0</v>
      </c>
      <c r="P820" s="8" t="n">
        <f aca="false">IF(E820=0,0,G820/E820)</f>
        <v>0</v>
      </c>
      <c r="Q820" s="8" t="n">
        <f aca="false">IF(E820+N820=0,0,(G820+N820)/(E820+N820))</f>
        <v>0</v>
      </c>
      <c r="R820" s="8" t="n">
        <f aca="false">IF(E820=0,0,L820/E820)</f>
        <v>0</v>
      </c>
      <c r="S820" s="8" t="n">
        <f aca="false">R820+Q820</f>
        <v>0</v>
      </c>
      <c r="T820" s="8" t="n">
        <f aca="false">R820-P820</f>
        <v>0</v>
      </c>
    </row>
    <row r="821" customFormat="false" ht="14.25" hidden="false" customHeight="true" outlineLevel="0" collapsed="false">
      <c r="A821" s="6" t="n">
        <v>2022</v>
      </c>
      <c r="B821" s="6" t="s">
        <v>147</v>
      </c>
      <c r="C821" s="6" t="s">
        <v>149</v>
      </c>
      <c r="D821" s="7" t="n">
        <v>12</v>
      </c>
      <c r="E821" s="7" t="n">
        <v>42</v>
      </c>
      <c r="F821" s="7" t="n">
        <v>16</v>
      </c>
      <c r="G821" s="7" t="n">
        <v>20</v>
      </c>
      <c r="H821" s="7" t="n">
        <v>2</v>
      </c>
      <c r="I821" s="7" t="n">
        <v>0</v>
      </c>
      <c r="J821" s="7" t="n">
        <v>4</v>
      </c>
      <c r="K821" s="7" t="n">
        <v>6</v>
      </c>
      <c r="L821" s="7" t="n">
        <v>34</v>
      </c>
      <c r="M821" s="7" t="n">
        <v>19</v>
      </c>
      <c r="N821" s="7" t="n">
        <v>2</v>
      </c>
      <c r="O821" s="7" t="n">
        <v>2</v>
      </c>
      <c r="P821" s="8" t="n">
        <f aca="false">IF(E821=0,0,G821/E821)</f>
        <v>0.476190476190476</v>
      </c>
      <c r="Q821" s="8" t="n">
        <f aca="false">IF(E821+N821=0,0,(G821+N821)/(E821+N821))</f>
        <v>0.5</v>
      </c>
      <c r="R821" s="8" t="n">
        <f aca="false">IF(E821=0,0,L821/E821)</f>
        <v>0.80952380952381</v>
      </c>
      <c r="S821" s="8" t="n">
        <f aca="false">R821+Q821</f>
        <v>1.30952380952381</v>
      </c>
      <c r="T821" s="8" t="n">
        <f aca="false">R821-P821</f>
        <v>0.333333333333333</v>
      </c>
    </row>
    <row r="822" customFormat="false" ht="14.25" hidden="false" customHeight="true" outlineLevel="0" collapsed="false">
      <c r="A822" s="6" t="n">
        <v>2022</v>
      </c>
      <c r="B822" s="6" t="s">
        <v>147</v>
      </c>
      <c r="C822" s="6" t="s">
        <v>151</v>
      </c>
      <c r="D822" s="7" t="n">
        <v>14</v>
      </c>
      <c r="E822" s="7" t="n">
        <v>38</v>
      </c>
      <c r="F822" s="7" t="n">
        <v>16</v>
      </c>
      <c r="G822" s="7" t="n">
        <v>18</v>
      </c>
      <c r="H822" s="7" t="n">
        <v>2</v>
      </c>
      <c r="I822" s="7" t="n">
        <v>0</v>
      </c>
      <c r="J822" s="7" t="n">
        <v>5</v>
      </c>
      <c r="K822" s="7" t="n">
        <v>7</v>
      </c>
      <c r="L822" s="7" t="n">
        <v>35</v>
      </c>
      <c r="M822" s="7" t="n">
        <v>9</v>
      </c>
      <c r="N822" s="7" t="n">
        <v>14</v>
      </c>
      <c r="O822" s="7" t="n">
        <v>0</v>
      </c>
      <c r="P822" s="8" t="n">
        <f aca="false">IF(E822=0,0,G822/E822)</f>
        <v>0.473684210526316</v>
      </c>
      <c r="Q822" s="8" t="n">
        <f aca="false">IF(E822+N822=0,0,(G822+N822)/(E822+N822))</f>
        <v>0.615384615384615</v>
      </c>
      <c r="R822" s="8" t="n">
        <f aca="false">IF(E822=0,0,L822/E822)</f>
        <v>0.921052631578947</v>
      </c>
      <c r="S822" s="8" t="n">
        <f aca="false">R822+Q822</f>
        <v>1.53643724696356</v>
      </c>
      <c r="T822" s="8" t="n">
        <f aca="false">R822-P822</f>
        <v>0.447368421052632</v>
      </c>
    </row>
    <row r="823" customFormat="false" ht="14.25" hidden="false" customHeight="true" outlineLevel="0" collapsed="false">
      <c r="A823" s="6" t="n">
        <v>2022</v>
      </c>
      <c r="B823" s="6" t="s">
        <v>147</v>
      </c>
      <c r="C823" s="6" t="s">
        <v>154</v>
      </c>
      <c r="D823" s="7" t="n">
        <v>14</v>
      </c>
      <c r="E823" s="7" t="n">
        <v>45</v>
      </c>
      <c r="F823" s="7" t="n">
        <v>13</v>
      </c>
      <c r="G823" s="7" t="n">
        <v>17</v>
      </c>
      <c r="H823" s="7" t="n">
        <v>6</v>
      </c>
      <c r="I823" s="7" t="n">
        <v>0</v>
      </c>
      <c r="J823" s="7" t="n">
        <v>1</v>
      </c>
      <c r="K823" s="7" t="n">
        <v>7</v>
      </c>
      <c r="L823" s="7" t="n">
        <v>26</v>
      </c>
      <c r="M823" s="7" t="n">
        <v>10</v>
      </c>
      <c r="N823" s="7" t="n">
        <v>4</v>
      </c>
      <c r="O823" s="7" t="n">
        <v>4</v>
      </c>
      <c r="P823" s="8" t="n">
        <f aca="false">IF(E823=0,0,G823/E823)</f>
        <v>0.377777777777778</v>
      </c>
      <c r="Q823" s="8" t="n">
        <f aca="false">IF(E823+N823=0,0,(G823+N823)/(E823+N823))</f>
        <v>0.428571428571429</v>
      </c>
      <c r="R823" s="8" t="n">
        <f aca="false">IF(E823=0,0,L823/E823)</f>
        <v>0.577777777777778</v>
      </c>
      <c r="S823" s="8" t="n">
        <f aca="false">R823+Q823</f>
        <v>1.00634920634921</v>
      </c>
      <c r="T823" s="8" t="n">
        <f aca="false">R823-P823</f>
        <v>0.2</v>
      </c>
    </row>
    <row r="824" customFormat="false" ht="14.25" hidden="false" customHeight="true" outlineLevel="0" collapsed="false">
      <c r="A824" s="6" t="n">
        <v>2022</v>
      </c>
      <c r="B824" s="6" t="s">
        <v>147</v>
      </c>
      <c r="C824" s="6" t="s">
        <v>150</v>
      </c>
      <c r="D824" s="7" t="n">
        <v>14</v>
      </c>
      <c r="E824" s="7" t="n">
        <v>45</v>
      </c>
      <c r="F824" s="7" t="n">
        <v>9</v>
      </c>
      <c r="G824" s="7" t="n">
        <v>15</v>
      </c>
      <c r="H824" s="7" t="n">
        <v>4</v>
      </c>
      <c r="I824" s="7" t="n">
        <v>0</v>
      </c>
      <c r="J824" s="7" t="n">
        <v>0</v>
      </c>
      <c r="K824" s="7" t="n">
        <v>4</v>
      </c>
      <c r="L824" s="7" t="n">
        <v>19</v>
      </c>
      <c r="M824" s="7" t="n">
        <v>9</v>
      </c>
      <c r="N824" s="7" t="n">
        <v>4</v>
      </c>
      <c r="O824" s="7" t="n">
        <v>2</v>
      </c>
      <c r="P824" s="8" t="n">
        <f aca="false">IF(E824=0,0,G824/E824)</f>
        <v>0.333333333333333</v>
      </c>
      <c r="Q824" s="8" t="n">
        <f aca="false">IF(E824+N824=0,0,(G824+N824)/(E824+N824))</f>
        <v>0.387755102040816</v>
      </c>
      <c r="R824" s="8" t="n">
        <f aca="false">IF(E824=0,0,L824/E824)</f>
        <v>0.422222222222222</v>
      </c>
      <c r="S824" s="8" t="n">
        <f aca="false">R824+Q824</f>
        <v>0.809977324263039</v>
      </c>
      <c r="T824" s="8" t="n">
        <f aca="false">R824-P824</f>
        <v>0.0888888888888889</v>
      </c>
    </row>
    <row r="825" customFormat="false" ht="14.25" hidden="false" customHeight="true" outlineLevel="0" collapsed="false">
      <c r="A825" s="6" t="n">
        <v>2022</v>
      </c>
      <c r="B825" s="6" t="s">
        <v>147</v>
      </c>
      <c r="C825" s="6" t="s">
        <v>155</v>
      </c>
      <c r="D825" s="7" t="n">
        <v>14</v>
      </c>
      <c r="E825" s="7" t="n">
        <v>38</v>
      </c>
      <c r="F825" s="7" t="n">
        <v>9</v>
      </c>
      <c r="G825" s="7" t="n">
        <v>12</v>
      </c>
      <c r="H825" s="7" t="n">
        <v>3</v>
      </c>
      <c r="I825" s="7" t="n">
        <v>0</v>
      </c>
      <c r="J825" s="7" t="n">
        <v>1</v>
      </c>
      <c r="K825" s="7" t="n">
        <v>4</v>
      </c>
      <c r="L825" s="7" t="n">
        <v>18</v>
      </c>
      <c r="M825" s="7" t="n">
        <v>9</v>
      </c>
      <c r="N825" s="7" t="n">
        <v>9</v>
      </c>
      <c r="O825" s="7" t="n">
        <v>5</v>
      </c>
      <c r="P825" s="8" t="n">
        <f aca="false">IF(E825=0,0,G825/E825)</f>
        <v>0.315789473684211</v>
      </c>
      <c r="Q825" s="8" t="n">
        <f aca="false">IF(E825+N825=0,0,(G825+N825)/(E825+N825))</f>
        <v>0.446808510638298</v>
      </c>
      <c r="R825" s="8" t="n">
        <f aca="false">IF(E825=0,0,L825/E825)</f>
        <v>0.473684210526316</v>
      </c>
      <c r="S825" s="8" t="n">
        <f aca="false">R825+Q825</f>
        <v>0.920492721164614</v>
      </c>
      <c r="T825" s="8" t="n">
        <f aca="false">R825-P825</f>
        <v>0.157894736842105</v>
      </c>
    </row>
    <row r="826" customFormat="false" ht="14.25" hidden="false" customHeight="true" outlineLevel="0" collapsed="false">
      <c r="A826" s="6" t="n">
        <v>2022</v>
      </c>
      <c r="B826" s="6" t="s">
        <v>147</v>
      </c>
      <c r="C826" s="6" t="s">
        <v>152</v>
      </c>
      <c r="D826" s="7" t="n">
        <v>11</v>
      </c>
      <c r="E826" s="7" t="n">
        <v>33</v>
      </c>
      <c r="F826" s="7" t="n">
        <v>7</v>
      </c>
      <c r="G826" s="7" t="n">
        <v>9</v>
      </c>
      <c r="H826" s="7" t="n">
        <v>3</v>
      </c>
      <c r="I826" s="7" t="n">
        <v>0</v>
      </c>
      <c r="J826" s="7" t="n">
        <v>0</v>
      </c>
      <c r="K826" s="7" t="n">
        <v>3</v>
      </c>
      <c r="L826" s="7" t="n">
        <v>12</v>
      </c>
      <c r="M826" s="7" t="n">
        <v>6</v>
      </c>
      <c r="N826" s="7" t="n">
        <v>6</v>
      </c>
      <c r="O826" s="7" t="n">
        <v>1</v>
      </c>
      <c r="P826" s="8" t="n">
        <f aca="false">IF(E826=0,0,G826/E826)</f>
        <v>0.272727272727273</v>
      </c>
      <c r="Q826" s="8" t="n">
        <f aca="false">IF(E826+N826=0,0,(G826+N826)/(E826+N826))</f>
        <v>0.384615384615385</v>
      </c>
      <c r="R826" s="8" t="n">
        <f aca="false">IF(E826=0,0,L826/E826)</f>
        <v>0.363636363636364</v>
      </c>
      <c r="S826" s="8" t="n">
        <f aca="false">R826+Q826</f>
        <v>0.748251748251748</v>
      </c>
      <c r="T826" s="8" t="n">
        <f aca="false">R826-P826</f>
        <v>0.0909090909090909</v>
      </c>
    </row>
    <row r="827" customFormat="false" ht="14.25" hidden="false" customHeight="true" outlineLevel="0" collapsed="false">
      <c r="A827" s="6" t="n">
        <v>2022</v>
      </c>
      <c r="B827" s="6" t="s">
        <v>147</v>
      </c>
      <c r="C827" s="6" t="s">
        <v>162</v>
      </c>
      <c r="D827" s="7" t="n">
        <v>10</v>
      </c>
      <c r="E827" s="7" t="n">
        <v>24</v>
      </c>
      <c r="F827" s="7" t="n">
        <v>3</v>
      </c>
      <c r="G827" s="7" t="n">
        <v>8</v>
      </c>
      <c r="H827" s="7" t="n">
        <v>0</v>
      </c>
      <c r="I827" s="7" t="n">
        <v>0</v>
      </c>
      <c r="J827" s="7" t="n">
        <v>0</v>
      </c>
      <c r="K827" s="7" t="n">
        <v>0</v>
      </c>
      <c r="L827" s="7" t="n">
        <v>8</v>
      </c>
      <c r="M827" s="7" t="n">
        <v>4</v>
      </c>
      <c r="N827" s="7" t="n">
        <v>7</v>
      </c>
      <c r="O827" s="7" t="n">
        <v>1</v>
      </c>
      <c r="P827" s="8" t="n">
        <f aca="false">IF(E827=0,0,G827/E827)</f>
        <v>0.333333333333333</v>
      </c>
      <c r="Q827" s="8" t="n">
        <f aca="false">IF(E827+N827=0,0,(G827+N827)/(E827+N827))</f>
        <v>0.483870967741936</v>
      </c>
      <c r="R827" s="8" t="n">
        <f aca="false">IF(E827=0,0,L827/E827)</f>
        <v>0.333333333333333</v>
      </c>
      <c r="S827" s="8" t="n">
        <f aca="false">R827+Q827</f>
        <v>0.817204301075269</v>
      </c>
      <c r="T827" s="8" t="n">
        <f aca="false">R827-P827</f>
        <v>0</v>
      </c>
    </row>
    <row r="828" customFormat="false" ht="14.25" hidden="false" customHeight="true" outlineLevel="0" collapsed="false">
      <c r="A828" s="6" t="n">
        <v>2022</v>
      </c>
      <c r="B828" s="6" t="s">
        <v>147</v>
      </c>
      <c r="C828" s="6" t="s">
        <v>148</v>
      </c>
      <c r="D828" s="7" t="n">
        <v>14</v>
      </c>
      <c r="E828" s="7" t="n">
        <v>41</v>
      </c>
      <c r="F828" s="7" t="n">
        <v>10</v>
      </c>
      <c r="G828" s="7" t="n">
        <v>7</v>
      </c>
      <c r="H828" s="7" t="n">
        <v>3</v>
      </c>
      <c r="I828" s="7" t="n">
        <v>0</v>
      </c>
      <c r="J828" s="7" t="n">
        <v>1</v>
      </c>
      <c r="K828" s="7" t="n">
        <v>4</v>
      </c>
      <c r="L828" s="7" t="n">
        <v>13</v>
      </c>
      <c r="M828" s="7" t="n">
        <v>8</v>
      </c>
      <c r="N828" s="7" t="n">
        <v>11</v>
      </c>
      <c r="O828" s="7" t="n">
        <v>0</v>
      </c>
      <c r="P828" s="8" t="n">
        <f aca="false">IF(E828=0,0,G828/E828)</f>
        <v>0.170731707317073</v>
      </c>
      <c r="Q828" s="8" t="n">
        <f aca="false">IF(E828+N828=0,0,(G828+N828)/(E828+N828))</f>
        <v>0.346153846153846</v>
      </c>
      <c r="R828" s="8" t="n">
        <f aca="false">IF(E828=0,0,L828/E828)</f>
        <v>0.317073170731707</v>
      </c>
      <c r="S828" s="8" t="n">
        <f aca="false">R828+Q828</f>
        <v>0.663227016885553</v>
      </c>
      <c r="T828" s="8" t="n">
        <f aca="false">R828-P828</f>
        <v>0.146341463414634</v>
      </c>
    </row>
    <row r="829" customFormat="false" ht="14.25" hidden="false" customHeight="true" outlineLevel="0" collapsed="false">
      <c r="A829" s="6" t="n">
        <v>2022</v>
      </c>
      <c r="B829" s="6" t="s">
        <v>147</v>
      </c>
      <c r="C829" s="6" t="s">
        <v>389</v>
      </c>
      <c r="D829" s="7" t="n">
        <v>2</v>
      </c>
      <c r="E829" s="7" t="n">
        <v>7</v>
      </c>
      <c r="F829" s="7" t="n">
        <v>2</v>
      </c>
      <c r="G829" s="7" t="n">
        <v>4</v>
      </c>
      <c r="H829" s="7" t="n">
        <v>0</v>
      </c>
      <c r="I829" s="7" t="n">
        <v>0</v>
      </c>
      <c r="J829" s="7" t="n">
        <v>0</v>
      </c>
      <c r="K829" s="7" t="n">
        <v>0</v>
      </c>
      <c r="L829" s="7" t="n">
        <v>4</v>
      </c>
      <c r="M829" s="7" t="n">
        <v>0</v>
      </c>
      <c r="N829" s="7" t="n">
        <v>0</v>
      </c>
      <c r="O829" s="7" t="n">
        <v>0</v>
      </c>
      <c r="P829" s="8" t="n">
        <f aca="false">IF(E829=0,0,G829/E829)</f>
        <v>0.571428571428571</v>
      </c>
      <c r="Q829" s="8" t="n">
        <f aca="false">IF(E829+N829=0,0,(G829+N829)/(E829+N829))</f>
        <v>0.571428571428571</v>
      </c>
      <c r="R829" s="8" t="n">
        <f aca="false">IF(E829=0,0,L829/E829)</f>
        <v>0.571428571428571</v>
      </c>
      <c r="S829" s="8" t="n">
        <f aca="false">R829+Q829</f>
        <v>1.14285714285714</v>
      </c>
      <c r="T829" s="8" t="n">
        <f aca="false">R829-P829</f>
        <v>0</v>
      </c>
    </row>
    <row r="830" customFormat="false" ht="14.25" hidden="false" customHeight="true" outlineLevel="0" collapsed="false">
      <c r="A830" s="6" t="n">
        <v>2022</v>
      </c>
      <c r="B830" s="6" t="s">
        <v>147</v>
      </c>
      <c r="C830" s="6" t="s">
        <v>344</v>
      </c>
      <c r="D830" s="7" t="n">
        <v>3</v>
      </c>
      <c r="E830" s="7" t="n">
        <v>9</v>
      </c>
      <c r="F830" s="7" t="n">
        <v>1</v>
      </c>
      <c r="G830" s="7" t="n">
        <v>3</v>
      </c>
      <c r="H830" s="7" t="n">
        <v>0</v>
      </c>
      <c r="I830" s="7" t="n">
        <v>0</v>
      </c>
      <c r="J830" s="7" t="n">
        <v>0</v>
      </c>
      <c r="K830" s="7" t="n">
        <v>0</v>
      </c>
      <c r="L830" s="7" t="n">
        <v>3</v>
      </c>
      <c r="M830" s="7" t="n">
        <v>1</v>
      </c>
      <c r="N830" s="7" t="n">
        <v>0</v>
      </c>
      <c r="O830" s="7" t="n">
        <v>0</v>
      </c>
      <c r="P830" s="8" t="n">
        <f aca="false">IF(E830=0,0,G830/E830)</f>
        <v>0.333333333333333</v>
      </c>
      <c r="Q830" s="8" t="n">
        <f aca="false">IF(E830+N830=0,0,(G830+N830)/(E830+N830))</f>
        <v>0.333333333333333</v>
      </c>
      <c r="R830" s="8" t="n">
        <f aca="false">IF(E830=0,0,L830/E830)</f>
        <v>0.333333333333333</v>
      </c>
      <c r="S830" s="8" t="n">
        <f aca="false">R830+Q830</f>
        <v>0.666666666666667</v>
      </c>
      <c r="T830" s="8" t="n">
        <f aca="false">R830-P830</f>
        <v>0</v>
      </c>
    </row>
    <row r="831" customFormat="false" ht="14.25" hidden="false" customHeight="true" outlineLevel="0" collapsed="false">
      <c r="A831" s="6" t="n">
        <v>2022</v>
      </c>
      <c r="B831" s="6" t="s">
        <v>147</v>
      </c>
      <c r="C831" s="6" t="s">
        <v>302</v>
      </c>
      <c r="D831" s="7" t="n">
        <v>7</v>
      </c>
      <c r="E831" s="7" t="n">
        <v>21</v>
      </c>
      <c r="F831" s="7" t="n">
        <v>6</v>
      </c>
      <c r="G831" s="7" t="n">
        <v>2</v>
      </c>
      <c r="H831" s="7" t="n">
        <v>0</v>
      </c>
      <c r="I831" s="7" t="n">
        <v>0</v>
      </c>
      <c r="J831" s="7" t="n">
        <v>1</v>
      </c>
      <c r="K831" s="7" t="n">
        <v>1</v>
      </c>
      <c r="L831" s="7" t="n">
        <v>5</v>
      </c>
      <c r="M831" s="7" t="n">
        <v>3</v>
      </c>
      <c r="N831" s="7" t="n">
        <v>7</v>
      </c>
      <c r="O831" s="7" t="n">
        <v>0</v>
      </c>
      <c r="P831" s="8" t="n">
        <f aca="false">IF(E831=0,0,G831/E831)</f>
        <v>0.0952380952380952</v>
      </c>
      <c r="Q831" s="8" t="n">
        <f aca="false">IF(E831+N831=0,0,(G831+N831)/(E831+N831))</f>
        <v>0.321428571428571</v>
      </c>
      <c r="R831" s="8" t="n">
        <f aca="false">IF(E831=0,0,L831/E831)</f>
        <v>0.238095238095238</v>
      </c>
      <c r="S831" s="8" t="n">
        <f aca="false">R831+Q831</f>
        <v>0.55952380952381</v>
      </c>
      <c r="T831" s="8" t="n">
        <f aca="false">R831-P831</f>
        <v>0.142857142857143</v>
      </c>
    </row>
    <row r="832" customFormat="false" ht="14.25" hidden="false" customHeight="true" outlineLevel="0" collapsed="false">
      <c r="A832" s="6" t="n">
        <v>2022</v>
      </c>
      <c r="B832" s="6" t="s">
        <v>147</v>
      </c>
      <c r="C832" s="6" t="s">
        <v>160</v>
      </c>
      <c r="D832" s="7" t="n">
        <v>5</v>
      </c>
      <c r="E832" s="7" t="n">
        <v>15</v>
      </c>
      <c r="F832" s="7" t="n">
        <v>2</v>
      </c>
      <c r="G832" s="7" t="n">
        <v>2</v>
      </c>
      <c r="H832" s="7" t="n">
        <v>0</v>
      </c>
      <c r="I832" s="7" t="n">
        <v>0</v>
      </c>
      <c r="J832" s="7" t="n">
        <v>0</v>
      </c>
      <c r="K832" s="7" t="n">
        <v>0</v>
      </c>
      <c r="L832" s="7" t="n">
        <v>2</v>
      </c>
      <c r="M832" s="7" t="n">
        <v>2</v>
      </c>
      <c r="N832" s="7" t="n">
        <v>2</v>
      </c>
      <c r="O832" s="7" t="n">
        <v>2</v>
      </c>
      <c r="P832" s="8" t="n">
        <f aca="false">IF(E832=0,0,G832/E832)</f>
        <v>0.133333333333333</v>
      </c>
      <c r="Q832" s="8" t="n">
        <f aca="false">IF(E832+N832=0,0,(G832+N832)/(E832+N832))</f>
        <v>0.235294117647059</v>
      </c>
      <c r="R832" s="8" t="n">
        <f aca="false">IF(E832=0,0,L832/E832)</f>
        <v>0.133333333333333</v>
      </c>
      <c r="S832" s="8" t="n">
        <f aca="false">R832+Q832</f>
        <v>0.368627450980392</v>
      </c>
      <c r="T832" s="8" t="n">
        <f aca="false">R832-P832</f>
        <v>0</v>
      </c>
    </row>
    <row r="833" customFormat="false" ht="14.25" hidden="false" customHeight="true" outlineLevel="0" collapsed="false">
      <c r="A833" s="6" t="n">
        <v>2022</v>
      </c>
      <c r="B833" s="6" t="s">
        <v>147</v>
      </c>
      <c r="C833" s="6" t="s">
        <v>390</v>
      </c>
      <c r="D833" s="7" t="n">
        <v>3</v>
      </c>
      <c r="E833" s="7" t="n">
        <v>10</v>
      </c>
      <c r="F833" s="7" t="n">
        <v>1</v>
      </c>
      <c r="G833" s="7" t="n">
        <v>2</v>
      </c>
      <c r="H833" s="7" t="n">
        <v>1</v>
      </c>
      <c r="I833" s="7" t="n">
        <v>0</v>
      </c>
      <c r="J833" s="7" t="n">
        <v>0</v>
      </c>
      <c r="K833" s="7" t="n">
        <v>1</v>
      </c>
      <c r="L833" s="7" t="n">
        <v>3</v>
      </c>
      <c r="M833" s="7" t="n">
        <v>2</v>
      </c>
      <c r="N833" s="7" t="n">
        <v>0</v>
      </c>
      <c r="O833" s="7" t="n">
        <v>0</v>
      </c>
      <c r="P833" s="8" t="n">
        <f aca="false">IF(E833=0,0,G833/E833)</f>
        <v>0.2</v>
      </c>
      <c r="Q833" s="8" t="n">
        <f aca="false">IF(E833+N833=0,0,(G833+N833)/(E833+N833))</f>
        <v>0.2</v>
      </c>
      <c r="R833" s="8" t="n">
        <f aca="false">IF(E833=0,0,L833/E833)</f>
        <v>0.3</v>
      </c>
      <c r="S833" s="8" t="n">
        <f aca="false">R833+Q833</f>
        <v>0.5</v>
      </c>
      <c r="T833" s="8" t="n">
        <f aca="false">R833-P833</f>
        <v>0.1</v>
      </c>
    </row>
    <row r="834" customFormat="false" ht="14.25" hidden="false" customHeight="true" outlineLevel="0" collapsed="false">
      <c r="A834" s="6" t="n">
        <v>2022</v>
      </c>
      <c r="B834" s="6" t="s">
        <v>147</v>
      </c>
      <c r="C834" s="6" t="s">
        <v>343</v>
      </c>
      <c r="D834" s="7" t="n">
        <v>6</v>
      </c>
      <c r="E834" s="7" t="n">
        <v>17</v>
      </c>
      <c r="F834" s="7" t="n">
        <v>0</v>
      </c>
      <c r="G834" s="7" t="n">
        <v>1</v>
      </c>
      <c r="H834" s="7" t="n">
        <v>0</v>
      </c>
      <c r="I834" s="7" t="n">
        <v>0</v>
      </c>
      <c r="J834" s="7" t="n">
        <v>0</v>
      </c>
      <c r="K834" s="7" t="n">
        <v>0</v>
      </c>
      <c r="L834" s="7" t="n">
        <v>1</v>
      </c>
      <c r="M834" s="7" t="n">
        <v>0</v>
      </c>
      <c r="N834" s="7" t="n">
        <v>1</v>
      </c>
      <c r="O834" s="7" t="n">
        <v>3</v>
      </c>
      <c r="P834" s="8" t="n">
        <f aca="false">IF(E834=0,0,G834/E834)</f>
        <v>0.0588235294117647</v>
      </c>
      <c r="Q834" s="8" t="n">
        <f aca="false">IF(E834+N834=0,0,(G834+N834)/(E834+N834))</f>
        <v>0.111111111111111</v>
      </c>
      <c r="R834" s="8" t="n">
        <f aca="false">IF(E834=0,0,L834/E834)</f>
        <v>0.0588235294117647</v>
      </c>
      <c r="S834" s="8" t="n">
        <f aca="false">R834+Q834</f>
        <v>0.169934640522876</v>
      </c>
      <c r="T834" s="8" t="n">
        <f aca="false">R834-P834</f>
        <v>0</v>
      </c>
    </row>
    <row r="835" customFormat="false" ht="14.25" hidden="false" customHeight="true" outlineLevel="0" collapsed="false">
      <c r="A835" s="6" t="n">
        <v>2022</v>
      </c>
      <c r="B835" s="6" t="s">
        <v>147</v>
      </c>
      <c r="C835" s="6" t="s">
        <v>391</v>
      </c>
      <c r="D835" s="7" t="n">
        <v>2</v>
      </c>
      <c r="E835" s="7" t="n">
        <v>6</v>
      </c>
      <c r="F835" s="7" t="n">
        <v>0</v>
      </c>
      <c r="G835" s="7" t="n">
        <v>1</v>
      </c>
      <c r="H835" s="7" t="n">
        <v>0</v>
      </c>
      <c r="I835" s="7" t="n">
        <v>0</v>
      </c>
      <c r="J835" s="7" t="n">
        <v>0</v>
      </c>
      <c r="K835" s="7" t="n">
        <v>0</v>
      </c>
      <c r="L835" s="7" t="n">
        <v>1</v>
      </c>
      <c r="M835" s="7" t="n">
        <v>2</v>
      </c>
      <c r="N835" s="7" t="n">
        <v>0</v>
      </c>
      <c r="O835" s="7" t="n">
        <v>0</v>
      </c>
      <c r="P835" s="8" t="n">
        <f aca="false">IF(E835=0,0,G835/E835)</f>
        <v>0.166666666666667</v>
      </c>
      <c r="Q835" s="8" t="n">
        <f aca="false">IF(E835+N835=0,0,(G835+N835)/(E835+N835))</f>
        <v>0.166666666666667</v>
      </c>
      <c r="R835" s="8" t="n">
        <f aca="false">IF(E835=0,0,L835/E835)</f>
        <v>0.166666666666667</v>
      </c>
      <c r="S835" s="8" t="n">
        <f aca="false">R835+Q835</f>
        <v>0.333333333333333</v>
      </c>
      <c r="T835" s="8" t="n">
        <f aca="false">R835-P835</f>
        <v>0</v>
      </c>
    </row>
    <row r="836" customFormat="false" ht="14.25" hidden="false" customHeight="true" outlineLevel="0" collapsed="false">
      <c r="A836" s="6" t="n">
        <v>2022</v>
      </c>
      <c r="B836" s="6" t="s">
        <v>147</v>
      </c>
      <c r="C836" s="6" t="s">
        <v>295</v>
      </c>
      <c r="D836" s="7" t="n">
        <v>1</v>
      </c>
      <c r="E836" s="7" t="n">
        <v>3</v>
      </c>
      <c r="F836" s="7" t="n">
        <v>0</v>
      </c>
      <c r="G836" s="7" t="n">
        <v>1</v>
      </c>
      <c r="H836" s="7" t="n">
        <v>0</v>
      </c>
      <c r="I836" s="7" t="n">
        <v>0</v>
      </c>
      <c r="J836" s="7" t="n">
        <v>0</v>
      </c>
      <c r="K836" s="7" t="n">
        <v>0</v>
      </c>
      <c r="L836" s="7" t="n">
        <v>1</v>
      </c>
      <c r="M836" s="7" t="n">
        <v>0</v>
      </c>
      <c r="N836" s="7" t="n">
        <v>0</v>
      </c>
      <c r="O836" s="7" t="n">
        <v>0</v>
      </c>
      <c r="P836" s="8" t="n">
        <f aca="false">IF(E836=0,0,G836/E836)</f>
        <v>0.333333333333333</v>
      </c>
      <c r="Q836" s="8" t="n">
        <f aca="false">IF(E836+N836=0,0,(G836+N836)/(E836+N836))</f>
        <v>0.333333333333333</v>
      </c>
      <c r="R836" s="8" t="n">
        <f aca="false">IF(E836=0,0,L836/E836)</f>
        <v>0.333333333333333</v>
      </c>
      <c r="S836" s="8" t="n">
        <f aca="false">R836+Q836</f>
        <v>0.666666666666667</v>
      </c>
      <c r="T836" s="8" t="n">
        <f aca="false">R836-P836</f>
        <v>0</v>
      </c>
    </row>
    <row r="837" customFormat="false" ht="14.25" hidden="false" customHeight="true" outlineLevel="0" collapsed="false">
      <c r="A837" s="6" t="n">
        <v>2022</v>
      </c>
      <c r="B837" s="6" t="s">
        <v>147</v>
      </c>
      <c r="C837" s="6" t="s">
        <v>392</v>
      </c>
      <c r="D837" s="7" t="n">
        <v>2</v>
      </c>
      <c r="E837" s="7" t="n">
        <v>5</v>
      </c>
      <c r="F837" s="7" t="n">
        <v>0</v>
      </c>
      <c r="G837" s="7" t="n">
        <v>0</v>
      </c>
      <c r="H837" s="7" t="n">
        <v>0</v>
      </c>
      <c r="I837" s="7" t="n">
        <v>0</v>
      </c>
      <c r="J837" s="7" t="n">
        <v>0</v>
      </c>
      <c r="K837" s="7" t="n">
        <v>0</v>
      </c>
      <c r="L837" s="7" t="n">
        <v>0</v>
      </c>
      <c r="M837" s="7" t="n">
        <v>0</v>
      </c>
      <c r="N837" s="7" t="n">
        <v>0</v>
      </c>
      <c r="O837" s="7" t="n">
        <v>1</v>
      </c>
      <c r="P837" s="8" t="n">
        <f aca="false">IF(E837=0,0,G837/E837)</f>
        <v>0</v>
      </c>
      <c r="Q837" s="8" t="n">
        <f aca="false">IF(E837+N837=0,0,(G837+N837)/(E837+N837))</f>
        <v>0</v>
      </c>
      <c r="R837" s="8" t="n">
        <f aca="false">IF(E837=0,0,L837/E837)</f>
        <v>0</v>
      </c>
      <c r="S837" s="8" t="n">
        <f aca="false">R837+Q837</f>
        <v>0</v>
      </c>
      <c r="T837" s="8" t="n">
        <f aca="false">R837-P837</f>
        <v>0</v>
      </c>
    </row>
    <row r="838" customFormat="false" ht="14.25" hidden="false" customHeight="true" outlineLevel="0" collapsed="false">
      <c r="A838" s="6" t="n">
        <v>2022</v>
      </c>
      <c r="B838" s="6" t="s">
        <v>147</v>
      </c>
      <c r="C838" s="6" t="s">
        <v>304</v>
      </c>
      <c r="D838" s="7" t="n">
        <v>1</v>
      </c>
      <c r="E838" s="7" t="n">
        <v>3</v>
      </c>
      <c r="F838" s="7" t="n">
        <v>0</v>
      </c>
      <c r="G838" s="7" t="n">
        <v>0</v>
      </c>
      <c r="H838" s="7" t="n">
        <v>0</v>
      </c>
      <c r="I838" s="7" t="n">
        <v>0</v>
      </c>
      <c r="J838" s="7" t="n">
        <v>0</v>
      </c>
      <c r="K838" s="7" t="n">
        <v>0</v>
      </c>
      <c r="L838" s="7" t="n">
        <v>0</v>
      </c>
      <c r="M838" s="7" t="n">
        <v>0</v>
      </c>
      <c r="N838" s="7" t="n">
        <v>0</v>
      </c>
      <c r="O838" s="7" t="n">
        <v>1</v>
      </c>
      <c r="P838" s="8" t="n">
        <f aca="false">IF(E838=0,0,G838/E838)</f>
        <v>0</v>
      </c>
      <c r="Q838" s="8" t="n">
        <f aca="false">IF(E838+N838=0,0,(G838+N838)/(E838+N838))</f>
        <v>0</v>
      </c>
      <c r="R838" s="8" t="n">
        <f aca="false">IF(E838=0,0,L838/E838)</f>
        <v>0</v>
      </c>
      <c r="S838" s="8" t="n">
        <f aca="false">R838+Q838</f>
        <v>0</v>
      </c>
      <c r="T838" s="8" t="n">
        <f aca="false">R838-P838</f>
        <v>0</v>
      </c>
    </row>
    <row r="839" customFormat="false" ht="14.25" hidden="false" customHeight="true" outlineLevel="0" collapsed="false">
      <c r="A839" s="6" t="n">
        <v>2022</v>
      </c>
      <c r="B839" s="6" t="s">
        <v>147</v>
      </c>
      <c r="C839" s="6" t="s">
        <v>306</v>
      </c>
      <c r="D839" s="7" t="n">
        <v>1</v>
      </c>
      <c r="E839" s="7" t="n">
        <v>3</v>
      </c>
      <c r="F839" s="7" t="n">
        <v>0</v>
      </c>
      <c r="G839" s="7" t="n">
        <v>0</v>
      </c>
      <c r="H839" s="7" t="n">
        <v>0</v>
      </c>
      <c r="I839" s="7" t="n">
        <v>0</v>
      </c>
      <c r="J839" s="7" t="n">
        <v>0</v>
      </c>
      <c r="K839" s="7" t="n">
        <v>0</v>
      </c>
      <c r="L839" s="7" t="n">
        <v>0</v>
      </c>
      <c r="M839" s="7" t="n">
        <v>0</v>
      </c>
      <c r="N839" s="7" t="n">
        <v>0</v>
      </c>
      <c r="O839" s="7" t="n">
        <v>0</v>
      </c>
      <c r="P839" s="8" t="n">
        <f aca="false">IF(E839=0,0,G839/E839)</f>
        <v>0</v>
      </c>
      <c r="Q839" s="8" t="n">
        <f aca="false">IF(E839+N839=0,0,(G839+N839)/(E839+N839))</f>
        <v>0</v>
      </c>
      <c r="R839" s="8" t="n">
        <f aca="false">IF(E839=0,0,L839/E839)</f>
        <v>0</v>
      </c>
      <c r="S839" s="8" t="n">
        <f aca="false">R839+Q839</f>
        <v>0</v>
      </c>
      <c r="T839" s="8" t="n">
        <f aca="false">R839-P839</f>
        <v>0</v>
      </c>
    </row>
    <row r="840" customFormat="false" ht="14.25" hidden="false" customHeight="true" outlineLevel="0" collapsed="false">
      <c r="A840" s="6" t="n">
        <v>2022</v>
      </c>
      <c r="B840" s="6" t="s">
        <v>147</v>
      </c>
      <c r="C840" s="6" t="s">
        <v>393</v>
      </c>
      <c r="D840" s="7" t="n">
        <v>1</v>
      </c>
      <c r="E840" s="7" t="n">
        <v>3</v>
      </c>
      <c r="F840" s="7" t="n">
        <v>0</v>
      </c>
      <c r="G840" s="7" t="n">
        <v>0</v>
      </c>
      <c r="H840" s="7" t="n">
        <v>0</v>
      </c>
      <c r="I840" s="7" t="n">
        <v>0</v>
      </c>
      <c r="J840" s="7" t="n">
        <v>0</v>
      </c>
      <c r="K840" s="7" t="n">
        <v>0</v>
      </c>
      <c r="L840" s="7" t="n">
        <v>0</v>
      </c>
      <c r="M840" s="7" t="n">
        <v>0</v>
      </c>
      <c r="N840" s="7" t="n">
        <v>0</v>
      </c>
      <c r="O840" s="7" t="n">
        <v>0</v>
      </c>
      <c r="P840" s="8" t="n">
        <f aca="false">IF(E840=0,0,G840/E840)</f>
        <v>0</v>
      </c>
      <c r="Q840" s="8" t="n">
        <f aca="false">IF(E840+N840=0,0,(G840+N840)/(E840+N840))</f>
        <v>0</v>
      </c>
      <c r="R840" s="8" t="n">
        <f aca="false">IF(E840=0,0,L840/E840)</f>
        <v>0</v>
      </c>
      <c r="S840" s="8" t="n">
        <f aca="false">R840+Q840</f>
        <v>0</v>
      </c>
      <c r="T840" s="8" t="n">
        <f aca="false">R840-P840</f>
        <v>0</v>
      </c>
    </row>
    <row r="841" customFormat="false" ht="14.25" hidden="false" customHeight="true" outlineLevel="0" collapsed="false">
      <c r="A841" s="6" t="n">
        <v>2022</v>
      </c>
      <c r="B841" s="6" t="s">
        <v>147</v>
      </c>
      <c r="C841" s="6" t="s">
        <v>394</v>
      </c>
      <c r="D841" s="7" t="n">
        <v>1</v>
      </c>
      <c r="E841" s="7" t="n">
        <v>2</v>
      </c>
      <c r="F841" s="7" t="n">
        <v>0</v>
      </c>
      <c r="G841" s="7" t="n">
        <v>0</v>
      </c>
      <c r="H841" s="7" t="n">
        <v>0</v>
      </c>
      <c r="I841" s="7" t="n">
        <v>0</v>
      </c>
      <c r="J841" s="7" t="n">
        <v>0</v>
      </c>
      <c r="K841" s="7" t="n">
        <v>0</v>
      </c>
      <c r="L841" s="7" t="n">
        <v>0</v>
      </c>
      <c r="M841" s="7" t="n">
        <v>0</v>
      </c>
      <c r="N841" s="7" t="n">
        <v>0</v>
      </c>
      <c r="O841" s="7" t="n">
        <v>0</v>
      </c>
      <c r="P841" s="8" t="n">
        <f aca="false">IF(E841=0,0,G841/E841)</f>
        <v>0</v>
      </c>
      <c r="Q841" s="8" t="n">
        <f aca="false">IF(E841+N841=0,0,(G841+N841)/(E841+N841))</f>
        <v>0</v>
      </c>
      <c r="R841" s="8" t="n">
        <f aca="false">IF(E841=0,0,L841/E841)</f>
        <v>0</v>
      </c>
      <c r="S841" s="8" t="n">
        <f aca="false">R841+Q841</f>
        <v>0</v>
      </c>
      <c r="T841" s="8" t="n">
        <f aca="false">R841-P841</f>
        <v>0</v>
      </c>
    </row>
    <row r="842" customFormat="false" ht="14.25" hidden="false" customHeight="true" outlineLevel="0" collapsed="false">
      <c r="A842" s="6" t="n">
        <v>2022</v>
      </c>
      <c r="B842" s="6" t="s">
        <v>147</v>
      </c>
      <c r="C842" s="6" t="s">
        <v>395</v>
      </c>
      <c r="D842" s="7" t="n">
        <v>1</v>
      </c>
      <c r="E842" s="7" t="n">
        <v>2</v>
      </c>
      <c r="F842" s="7" t="n">
        <v>0</v>
      </c>
      <c r="G842" s="7" t="n">
        <v>0</v>
      </c>
      <c r="H842" s="7" t="n">
        <v>0</v>
      </c>
      <c r="I842" s="7" t="n">
        <v>0</v>
      </c>
      <c r="J842" s="7" t="n">
        <v>0</v>
      </c>
      <c r="K842" s="7" t="n">
        <v>0</v>
      </c>
      <c r="L842" s="7" t="n">
        <v>0</v>
      </c>
      <c r="M842" s="7" t="n">
        <v>0</v>
      </c>
      <c r="N842" s="7" t="n">
        <v>0</v>
      </c>
      <c r="O842" s="7" t="n">
        <v>0</v>
      </c>
      <c r="P842" s="8" t="n">
        <f aca="false">IF(E842=0,0,G842/E842)</f>
        <v>0</v>
      </c>
      <c r="Q842" s="8" t="n">
        <f aca="false">IF(E842+N842=0,0,(G842+N842)/(E842+N842))</f>
        <v>0</v>
      </c>
      <c r="R842" s="8" t="n">
        <f aca="false">IF(E842=0,0,L842/E842)</f>
        <v>0</v>
      </c>
      <c r="S842" s="8" t="n">
        <f aca="false">R842+Q842</f>
        <v>0</v>
      </c>
      <c r="T842" s="8" t="n">
        <f aca="false">R842-P842</f>
        <v>0</v>
      </c>
    </row>
    <row r="843" customFormat="false" ht="14.25" hidden="false" customHeight="true" outlineLevel="0" collapsed="false">
      <c r="A843" s="6" t="n">
        <v>2022</v>
      </c>
      <c r="B843" s="6" t="s">
        <v>166</v>
      </c>
      <c r="C843" s="6" t="s">
        <v>178</v>
      </c>
      <c r="D843" s="7" t="n">
        <v>12</v>
      </c>
      <c r="E843" s="7" t="n">
        <v>37</v>
      </c>
      <c r="F843" s="7" t="n">
        <v>18</v>
      </c>
      <c r="G843" s="7" t="n">
        <v>14</v>
      </c>
      <c r="H843" s="7" t="n">
        <v>1</v>
      </c>
      <c r="I843" s="7" t="n">
        <v>0</v>
      </c>
      <c r="J843" s="7" t="n">
        <v>7</v>
      </c>
      <c r="K843" s="7" t="n">
        <v>8</v>
      </c>
      <c r="L843" s="7" t="n">
        <v>36</v>
      </c>
      <c r="M843" s="7" t="n">
        <v>12</v>
      </c>
      <c r="N843" s="7" t="n">
        <v>8</v>
      </c>
      <c r="O843" s="7" t="n">
        <v>2</v>
      </c>
      <c r="P843" s="8" t="n">
        <f aca="false">IF(E843=0,0,G843/E843)</f>
        <v>0.378378378378378</v>
      </c>
      <c r="Q843" s="8" t="n">
        <f aca="false">IF(E843+N843=0,0,(G843+N843)/(E843+N843))</f>
        <v>0.488888888888889</v>
      </c>
      <c r="R843" s="8" t="n">
        <f aca="false">IF(E843=0,0,L843/E843)</f>
        <v>0.972972972972973</v>
      </c>
      <c r="S843" s="8" t="n">
        <f aca="false">R843+Q843</f>
        <v>1.46186186186186</v>
      </c>
      <c r="T843" s="8" t="n">
        <f aca="false">R843-P843</f>
        <v>0.594594594594595</v>
      </c>
    </row>
    <row r="844" customFormat="false" ht="14.25" hidden="false" customHeight="true" outlineLevel="0" collapsed="false">
      <c r="A844" s="6" t="n">
        <v>2022</v>
      </c>
      <c r="B844" s="6" t="s">
        <v>166</v>
      </c>
      <c r="C844" s="6" t="s">
        <v>72</v>
      </c>
      <c r="D844" s="7" t="n">
        <v>7</v>
      </c>
      <c r="E844" s="7" t="n">
        <v>23</v>
      </c>
      <c r="F844" s="7" t="n">
        <v>13</v>
      </c>
      <c r="G844" s="7" t="n">
        <v>14</v>
      </c>
      <c r="H844" s="7" t="n">
        <v>2</v>
      </c>
      <c r="I844" s="7" t="n">
        <v>0</v>
      </c>
      <c r="J844" s="7" t="n">
        <v>7</v>
      </c>
      <c r="K844" s="7" t="n">
        <v>9</v>
      </c>
      <c r="L844" s="7" t="n">
        <v>37</v>
      </c>
      <c r="M844" s="7" t="n">
        <v>12</v>
      </c>
      <c r="N844" s="7" t="n">
        <v>2</v>
      </c>
      <c r="O844" s="7" t="n">
        <v>1</v>
      </c>
      <c r="P844" s="8" t="n">
        <f aca="false">IF(E844=0,0,G844/E844)</f>
        <v>0.608695652173913</v>
      </c>
      <c r="Q844" s="8" t="n">
        <f aca="false">IF(E844+N844=0,0,(G844+N844)/(E844+N844))</f>
        <v>0.64</v>
      </c>
      <c r="R844" s="8" t="n">
        <f aca="false">IF(E844=0,0,L844/E844)</f>
        <v>1.60869565217391</v>
      </c>
      <c r="S844" s="8" t="n">
        <f aca="false">R844+Q844</f>
        <v>2.24869565217391</v>
      </c>
      <c r="T844" s="8" t="n">
        <f aca="false">R844-P844</f>
        <v>1</v>
      </c>
    </row>
    <row r="845" customFormat="false" ht="14.25" hidden="false" customHeight="true" outlineLevel="0" collapsed="false">
      <c r="A845" s="6" t="n">
        <v>2022</v>
      </c>
      <c r="B845" s="6" t="s">
        <v>166</v>
      </c>
      <c r="C845" s="6" t="s">
        <v>177</v>
      </c>
      <c r="D845" s="7" t="n">
        <v>12</v>
      </c>
      <c r="E845" s="7" t="n">
        <v>37</v>
      </c>
      <c r="F845" s="7" t="n">
        <v>2</v>
      </c>
      <c r="G845" s="7" t="n">
        <v>12</v>
      </c>
      <c r="H845" s="7" t="n">
        <v>3</v>
      </c>
      <c r="I845" s="7" t="n">
        <v>0</v>
      </c>
      <c r="J845" s="7" t="n">
        <v>0</v>
      </c>
      <c r="K845" s="7" t="n">
        <v>3</v>
      </c>
      <c r="L845" s="7" t="n">
        <v>15</v>
      </c>
      <c r="M845" s="7" t="n">
        <v>3</v>
      </c>
      <c r="N845" s="7" t="n">
        <v>3</v>
      </c>
      <c r="O845" s="7" t="n">
        <v>0</v>
      </c>
      <c r="P845" s="8" t="n">
        <f aca="false">IF(E845=0,0,G845/E845)</f>
        <v>0.324324324324324</v>
      </c>
      <c r="Q845" s="8" t="n">
        <f aca="false">IF(E845+N845=0,0,(G845+N845)/(E845+N845))</f>
        <v>0.375</v>
      </c>
      <c r="R845" s="8" t="n">
        <f aca="false">IF(E845=0,0,L845/E845)</f>
        <v>0.405405405405405</v>
      </c>
      <c r="S845" s="8" t="n">
        <f aca="false">R845+Q845</f>
        <v>0.780405405405406</v>
      </c>
      <c r="T845" s="8" t="n">
        <f aca="false">R845-P845</f>
        <v>0.0810810810810811</v>
      </c>
    </row>
    <row r="846" customFormat="false" ht="14.25" hidden="false" customHeight="true" outlineLevel="0" collapsed="false">
      <c r="A846" s="6" t="n">
        <v>2022</v>
      </c>
      <c r="B846" s="6" t="s">
        <v>166</v>
      </c>
      <c r="C846" s="6" t="s">
        <v>172</v>
      </c>
      <c r="D846" s="7" t="n">
        <v>11</v>
      </c>
      <c r="E846" s="7" t="n">
        <v>40</v>
      </c>
      <c r="F846" s="7" t="n">
        <v>11</v>
      </c>
      <c r="G846" s="7" t="n">
        <v>12</v>
      </c>
      <c r="H846" s="7" t="n">
        <v>4</v>
      </c>
      <c r="I846" s="7" t="n">
        <v>0</v>
      </c>
      <c r="J846" s="7" t="n">
        <v>0</v>
      </c>
      <c r="K846" s="7" t="n">
        <v>4</v>
      </c>
      <c r="L846" s="7" t="n">
        <v>16</v>
      </c>
      <c r="M846" s="7" t="n">
        <v>3</v>
      </c>
      <c r="N846" s="7" t="n">
        <v>1</v>
      </c>
      <c r="O846" s="7" t="n">
        <v>1</v>
      </c>
      <c r="P846" s="8" t="n">
        <f aca="false">IF(E846=0,0,G846/E846)</f>
        <v>0.3</v>
      </c>
      <c r="Q846" s="8" t="n">
        <f aca="false">IF(E846+N846=0,0,(G846+N846)/(E846+N846))</f>
        <v>0.317073170731707</v>
      </c>
      <c r="R846" s="8" t="n">
        <f aca="false">IF(E846=0,0,L846/E846)</f>
        <v>0.4</v>
      </c>
      <c r="S846" s="8" t="n">
        <f aca="false">R846+Q846</f>
        <v>0.717073170731707</v>
      </c>
      <c r="T846" s="8" t="n">
        <f aca="false">R846-P846</f>
        <v>0.1</v>
      </c>
    </row>
    <row r="847" customFormat="false" ht="14.25" hidden="false" customHeight="true" outlineLevel="0" collapsed="false">
      <c r="A847" s="6" t="n">
        <v>2022</v>
      </c>
      <c r="B847" s="6" t="s">
        <v>166</v>
      </c>
      <c r="C847" s="6" t="s">
        <v>175</v>
      </c>
      <c r="D847" s="7" t="n">
        <v>9</v>
      </c>
      <c r="E847" s="7" t="n">
        <v>30</v>
      </c>
      <c r="F847" s="7" t="n">
        <v>12</v>
      </c>
      <c r="G847" s="7" t="n">
        <v>12</v>
      </c>
      <c r="H847" s="7" t="n">
        <v>0</v>
      </c>
      <c r="I847" s="7" t="n">
        <v>0</v>
      </c>
      <c r="J847" s="7" t="n">
        <v>7</v>
      </c>
      <c r="K847" s="7" t="n">
        <v>7</v>
      </c>
      <c r="L847" s="7" t="n">
        <v>33</v>
      </c>
      <c r="M847" s="7" t="n">
        <v>13</v>
      </c>
      <c r="N847" s="7" t="n">
        <v>2</v>
      </c>
      <c r="O847" s="7" t="n">
        <v>2</v>
      </c>
      <c r="P847" s="8" t="n">
        <f aca="false">IF(E847=0,0,G847/E847)</f>
        <v>0.4</v>
      </c>
      <c r="Q847" s="8" t="n">
        <f aca="false">IF(E847+N847=0,0,(G847+N847)/(E847+N847))</f>
        <v>0.4375</v>
      </c>
      <c r="R847" s="8" t="n">
        <f aca="false">IF(E847=0,0,L847/E847)</f>
        <v>1.1</v>
      </c>
      <c r="S847" s="8" t="n">
        <f aca="false">R847+Q847</f>
        <v>1.5375</v>
      </c>
      <c r="T847" s="8" t="n">
        <f aca="false">R847-P847</f>
        <v>0.7</v>
      </c>
    </row>
    <row r="848" customFormat="false" ht="14.25" hidden="false" customHeight="true" outlineLevel="0" collapsed="false">
      <c r="A848" s="6" t="n">
        <v>2022</v>
      </c>
      <c r="B848" s="6" t="s">
        <v>166</v>
      </c>
      <c r="C848" s="6" t="s">
        <v>170</v>
      </c>
      <c r="D848" s="7" t="n">
        <v>12</v>
      </c>
      <c r="E848" s="7" t="n">
        <v>35</v>
      </c>
      <c r="F848" s="7" t="n">
        <v>7</v>
      </c>
      <c r="G848" s="7" t="n">
        <v>10</v>
      </c>
      <c r="H848" s="7" t="n">
        <v>1</v>
      </c>
      <c r="I848" s="7" t="n">
        <v>0</v>
      </c>
      <c r="J848" s="7" t="n">
        <v>2</v>
      </c>
      <c r="K848" s="7" t="n">
        <v>3</v>
      </c>
      <c r="L848" s="7" t="n">
        <v>17</v>
      </c>
      <c r="M848" s="7" t="n">
        <v>8</v>
      </c>
      <c r="N848" s="7" t="n">
        <v>6</v>
      </c>
      <c r="O848" s="7" t="n">
        <v>3</v>
      </c>
      <c r="P848" s="8" t="n">
        <f aca="false">IF(E848=0,0,G848/E848)</f>
        <v>0.285714285714286</v>
      </c>
      <c r="Q848" s="8" t="n">
        <f aca="false">IF(E848+N848=0,0,(G848+N848)/(E848+N848))</f>
        <v>0.390243902439024</v>
      </c>
      <c r="R848" s="8" t="n">
        <f aca="false">IF(E848=0,0,L848/E848)</f>
        <v>0.485714285714286</v>
      </c>
      <c r="S848" s="8" t="n">
        <f aca="false">R848+Q848</f>
        <v>0.87595818815331</v>
      </c>
      <c r="T848" s="8" t="n">
        <f aca="false">R848-P848</f>
        <v>0.2</v>
      </c>
    </row>
    <row r="849" customFormat="false" ht="14.25" hidden="false" customHeight="true" outlineLevel="0" collapsed="false">
      <c r="A849" s="6" t="n">
        <v>2022</v>
      </c>
      <c r="B849" s="6" t="s">
        <v>166</v>
      </c>
      <c r="C849" s="6" t="s">
        <v>167</v>
      </c>
      <c r="D849" s="7" t="n">
        <v>10</v>
      </c>
      <c r="E849" s="7" t="n">
        <v>31</v>
      </c>
      <c r="F849" s="7" t="n">
        <v>5</v>
      </c>
      <c r="G849" s="7" t="n">
        <v>9</v>
      </c>
      <c r="H849" s="7" t="n">
        <v>1</v>
      </c>
      <c r="I849" s="7" t="n">
        <v>0</v>
      </c>
      <c r="J849" s="7" t="n">
        <v>2</v>
      </c>
      <c r="K849" s="7" t="n">
        <v>3</v>
      </c>
      <c r="L849" s="7" t="n">
        <v>16</v>
      </c>
      <c r="M849" s="7" t="n">
        <v>9</v>
      </c>
      <c r="N849" s="7" t="n">
        <v>2</v>
      </c>
      <c r="O849" s="7" t="n">
        <v>1</v>
      </c>
      <c r="P849" s="8" t="n">
        <f aca="false">IF(E849=0,0,G849/E849)</f>
        <v>0.290322580645161</v>
      </c>
      <c r="Q849" s="8" t="n">
        <f aca="false">IF(E849+N849=0,0,(G849+N849)/(E849+N849))</f>
        <v>0.333333333333333</v>
      </c>
      <c r="R849" s="8" t="n">
        <f aca="false">IF(E849=0,0,L849/E849)</f>
        <v>0.516129032258065</v>
      </c>
      <c r="S849" s="8" t="n">
        <f aca="false">R849+Q849</f>
        <v>0.849462365591398</v>
      </c>
      <c r="T849" s="8" t="n">
        <f aca="false">R849-P849</f>
        <v>0.225806451612903</v>
      </c>
    </row>
    <row r="850" customFormat="false" ht="14.25" hidden="false" customHeight="true" outlineLevel="0" collapsed="false">
      <c r="A850" s="6" t="n">
        <v>2022</v>
      </c>
      <c r="B850" s="6" t="s">
        <v>166</v>
      </c>
      <c r="C850" s="6" t="s">
        <v>187</v>
      </c>
      <c r="D850" s="7" t="n">
        <v>7</v>
      </c>
      <c r="E850" s="7" t="n">
        <v>23</v>
      </c>
      <c r="F850" s="7" t="n">
        <v>11</v>
      </c>
      <c r="G850" s="7" t="n">
        <v>8</v>
      </c>
      <c r="H850" s="7" t="n">
        <v>1</v>
      </c>
      <c r="I850" s="7" t="n">
        <v>0</v>
      </c>
      <c r="J850" s="7" t="n">
        <v>6</v>
      </c>
      <c r="K850" s="7" t="n">
        <v>7</v>
      </c>
      <c r="L850" s="7" t="n">
        <v>27</v>
      </c>
      <c r="M850" s="7" t="n">
        <v>22</v>
      </c>
      <c r="N850" s="7" t="n">
        <v>3</v>
      </c>
      <c r="O850" s="7" t="n">
        <v>1</v>
      </c>
      <c r="P850" s="8" t="n">
        <f aca="false">IF(E850=0,0,G850/E850)</f>
        <v>0.347826086956522</v>
      </c>
      <c r="Q850" s="8" t="n">
        <f aca="false">IF(E850+N850=0,0,(G850+N850)/(E850+N850))</f>
        <v>0.423076923076923</v>
      </c>
      <c r="R850" s="8" t="n">
        <f aca="false">IF(E850=0,0,L850/E850)</f>
        <v>1.17391304347826</v>
      </c>
      <c r="S850" s="8" t="n">
        <f aca="false">R850+Q850</f>
        <v>1.59698996655518</v>
      </c>
      <c r="T850" s="8" t="n">
        <f aca="false">R850-P850</f>
        <v>0.826086956521739</v>
      </c>
    </row>
    <row r="851" customFormat="false" ht="14.25" hidden="false" customHeight="true" outlineLevel="0" collapsed="false">
      <c r="A851" s="6" t="n">
        <v>2022</v>
      </c>
      <c r="B851" s="6" t="s">
        <v>166</v>
      </c>
      <c r="C851" s="6" t="s">
        <v>176</v>
      </c>
      <c r="D851" s="7" t="n">
        <v>12</v>
      </c>
      <c r="E851" s="7" t="n">
        <v>28</v>
      </c>
      <c r="F851" s="7" t="n">
        <v>6</v>
      </c>
      <c r="G851" s="7" t="n">
        <v>7</v>
      </c>
      <c r="H851" s="7" t="n">
        <v>0</v>
      </c>
      <c r="I851" s="7" t="n">
        <v>0</v>
      </c>
      <c r="J851" s="7" t="n">
        <v>0</v>
      </c>
      <c r="K851" s="7" t="n">
        <v>0</v>
      </c>
      <c r="L851" s="7" t="n">
        <v>7</v>
      </c>
      <c r="M851" s="7" t="n">
        <v>0</v>
      </c>
      <c r="N851" s="7" t="n">
        <v>6</v>
      </c>
      <c r="O851" s="7" t="n">
        <v>1</v>
      </c>
      <c r="P851" s="8" t="n">
        <f aca="false">IF(E851=0,0,G851/E851)</f>
        <v>0.25</v>
      </c>
      <c r="Q851" s="8" t="n">
        <f aca="false">IF(E851+N851=0,0,(G851+N851)/(E851+N851))</f>
        <v>0.382352941176471</v>
      </c>
      <c r="R851" s="8" t="n">
        <f aca="false">IF(E851=0,0,L851/E851)</f>
        <v>0.25</v>
      </c>
      <c r="S851" s="8" t="n">
        <f aca="false">R851+Q851</f>
        <v>0.632352941176471</v>
      </c>
      <c r="T851" s="8" t="n">
        <f aca="false">R851-P851</f>
        <v>0</v>
      </c>
    </row>
    <row r="852" customFormat="false" ht="14.25" hidden="false" customHeight="true" outlineLevel="0" collapsed="false">
      <c r="A852" s="6" t="n">
        <v>2022</v>
      </c>
      <c r="B852" s="6" t="s">
        <v>166</v>
      </c>
      <c r="C852" s="6" t="s">
        <v>182</v>
      </c>
      <c r="D852" s="7" t="n">
        <v>8</v>
      </c>
      <c r="E852" s="7" t="n">
        <v>23</v>
      </c>
      <c r="F852" s="7" t="n">
        <v>2</v>
      </c>
      <c r="G852" s="7" t="n">
        <v>7</v>
      </c>
      <c r="H852" s="7" t="n">
        <v>2</v>
      </c>
      <c r="I852" s="7" t="n">
        <v>0</v>
      </c>
      <c r="J852" s="7" t="n">
        <v>0</v>
      </c>
      <c r="K852" s="7" t="n">
        <v>2</v>
      </c>
      <c r="L852" s="7" t="n">
        <v>9</v>
      </c>
      <c r="M852" s="7" t="n">
        <v>4</v>
      </c>
      <c r="N852" s="7" t="n">
        <v>2</v>
      </c>
      <c r="O852" s="7" t="n">
        <v>1</v>
      </c>
      <c r="P852" s="8" t="n">
        <f aca="false">IF(E852=0,0,G852/E852)</f>
        <v>0.304347826086957</v>
      </c>
      <c r="Q852" s="8" t="n">
        <f aca="false">IF(E852+N852=0,0,(G852+N852)/(E852+N852))</f>
        <v>0.36</v>
      </c>
      <c r="R852" s="8" t="n">
        <f aca="false">IF(E852=0,0,L852/E852)</f>
        <v>0.391304347826087</v>
      </c>
      <c r="S852" s="8" t="n">
        <f aca="false">R852+Q852</f>
        <v>0.751304347826087</v>
      </c>
      <c r="T852" s="8" t="n">
        <f aca="false">R852-P852</f>
        <v>0.0869565217391304</v>
      </c>
    </row>
    <row r="853" customFormat="false" ht="14.25" hidden="false" customHeight="true" outlineLevel="0" collapsed="false">
      <c r="A853" s="6" t="n">
        <v>2022</v>
      </c>
      <c r="B853" s="6" t="s">
        <v>166</v>
      </c>
      <c r="C853" s="6" t="s">
        <v>173</v>
      </c>
      <c r="D853" s="7" t="n">
        <v>6</v>
      </c>
      <c r="E853" s="7" t="n">
        <v>15</v>
      </c>
      <c r="F853" s="7" t="n">
        <v>2</v>
      </c>
      <c r="G853" s="7" t="n">
        <v>5</v>
      </c>
      <c r="H853" s="7" t="n">
        <v>1</v>
      </c>
      <c r="I853" s="7" t="n">
        <v>0</v>
      </c>
      <c r="J853" s="7" t="n">
        <v>0</v>
      </c>
      <c r="K853" s="7" t="n">
        <v>1</v>
      </c>
      <c r="L853" s="7" t="n">
        <v>6</v>
      </c>
      <c r="M853" s="7" t="n">
        <v>3</v>
      </c>
      <c r="N853" s="7" t="n">
        <v>1</v>
      </c>
      <c r="O853" s="7" t="n">
        <v>0</v>
      </c>
      <c r="P853" s="8" t="n">
        <f aca="false">IF(E853=0,0,G853/E853)</f>
        <v>0.333333333333333</v>
      </c>
      <c r="Q853" s="8" t="n">
        <f aca="false">IF(E853+N853=0,0,(G853+N853)/(E853+N853))</f>
        <v>0.375</v>
      </c>
      <c r="R853" s="8" t="n">
        <f aca="false">IF(E853=0,0,L853/E853)</f>
        <v>0.4</v>
      </c>
      <c r="S853" s="8" t="n">
        <f aca="false">R853+Q853</f>
        <v>0.775</v>
      </c>
      <c r="T853" s="8" t="n">
        <f aca="false">R853-P853</f>
        <v>0.0666666666666667</v>
      </c>
    </row>
    <row r="854" customFormat="false" ht="14.25" hidden="false" customHeight="true" outlineLevel="0" collapsed="false">
      <c r="A854" s="6" t="n">
        <v>2022</v>
      </c>
      <c r="B854" s="6" t="s">
        <v>166</v>
      </c>
      <c r="C854" s="6" t="s">
        <v>179</v>
      </c>
      <c r="D854" s="7" t="n">
        <v>6</v>
      </c>
      <c r="E854" s="7" t="n">
        <v>15</v>
      </c>
      <c r="F854" s="7" t="n">
        <v>2</v>
      </c>
      <c r="G854" s="7" t="n">
        <v>5</v>
      </c>
      <c r="H854" s="7" t="n">
        <v>0</v>
      </c>
      <c r="I854" s="7" t="n">
        <v>0</v>
      </c>
      <c r="J854" s="7" t="n">
        <v>0</v>
      </c>
      <c r="K854" s="7" t="n">
        <v>0</v>
      </c>
      <c r="L854" s="7" t="n">
        <v>5</v>
      </c>
      <c r="M854" s="7" t="n">
        <v>2</v>
      </c>
      <c r="N854" s="7" t="n">
        <v>2</v>
      </c>
      <c r="O854" s="7" t="n">
        <v>1</v>
      </c>
      <c r="P854" s="8" t="n">
        <f aca="false">IF(E854=0,0,G854/E854)</f>
        <v>0.333333333333333</v>
      </c>
      <c r="Q854" s="8" t="n">
        <f aca="false">IF(E854+N854=0,0,(G854+N854)/(E854+N854))</f>
        <v>0.411764705882353</v>
      </c>
      <c r="R854" s="8" t="n">
        <f aca="false">IF(E854=0,0,L854/E854)</f>
        <v>0.333333333333333</v>
      </c>
      <c r="S854" s="8" t="n">
        <f aca="false">R854+Q854</f>
        <v>0.745098039215686</v>
      </c>
      <c r="T854" s="8" t="n">
        <f aca="false">R854-P854</f>
        <v>0</v>
      </c>
    </row>
    <row r="855" customFormat="false" ht="14.25" hidden="false" customHeight="true" outlineLevel="0" collapsed="false">
      <c r="A855" s="6" t="n">
        <v>2022</v>
      </c>
      <c r="B855" s="6" t="s">
        <v>166</v>
      </c>
      <c r="C855" s="6" t="s">
        <v>275</v>
      </c>
      <c r="D855" s="7" t="n">
        <v>10</v>
      </c>
      <c r="E855" s="7" t="n">
        <v>20</v>
      </c>
      <c r="F855" s="7" t="n">
        <v>2</v>
      </c>
      <c r="G855" s="7" t="n">
        <v>3</v>
      </c>
      <c r="H855" s="7" t="n">
        <v>0</v>
      </c>
      <c r="I855" s="7" t="n">
        <v>0</v>
      </c>
      <c r="J855" s="7" t="n">
        <v>0</v>
      </c>
      <c r="K855" s="7" t="n">
        <v>0</v>
      </c>
      <c r="L855" s="7" t="n">
        <v>3</v>
      </c>
      <c r="M855" s="7" t="n">
        <v>0</v>
      </c>
      <c r="N855" s="7" t="n">
        <v>0</v>
      </c>
      <c r="O855" s="7" t="n">
        <v>2</v>
      </c>
      <c r="P855" s="8" t="n">
        <f aca="false">IF(E855=0,0,G855/E855)</f>
        <v>0.15</v>
      </c>
      <c r="Q855" s="8" t="n">
        <f aca="false">IF(E855+N855=0,0,(G855+N855)/(E855+N855))</f>
        <v>0.15</v>
      </c>
      <c r="R855" s="8" t="n">
        <f aca="false">IF(E855=0,0,L855/E855)</f>
        <v>0.15</v>
      </c>
      <c r="S855" s="8" t="n">
        <f aca="false">R855+Q855</f>
        <v>0.3</v>
      </c>
      <c r="T855" s="8" t="n">
        <f aca="false">R855-P855</f>
        <v>0</v>
      </c>
    </row>
    <row r="856" customFormat="false" ht="14.25" hidden="false" customHeight="true" outlineLevel="0" collapsed="false">
      <c r="A856" s="6" t="n">
        <v>2022</v>
      </c>
      <c r="B856" s="6" t="s">
        <v>166</v>
      </c>
      <c r="C856" s="6" t="s">
        <v>188</v>
      </c>
      <c r="D856" s="7" t="n">
        <v>6</v>
      </c>
      <c r="E856" s="7" t="n">
        <v>11</v>
      </c>
      <c r="F856" s="7" t="n">
        <v>1</v>
      </c>
      <c r="G856" s="7" t="n">
        <v>3</v>
      </c>
      <c r="H856" s="7" t="n">
        <v>0</v>
      </c>
      <c r="I856" s="7" t="n">
        <v>0</v>
      </c>
      <c r="J856" s="7" t="n">
        <v>0</v>
      </c>
      <c r="K856" s="7" t="n">
        <v>0</v>
      </c>
      <c r="L856" s="7" t="n">
        <v>3</v>
      </c>
      <c r="M856" s="7" t="n">
        <v>0</v>
      </c>
      <c r="N856" s="7" t="n">
        <v>1</v>
      </c>
      <c r="O856" s="7" t="n">
        <v>0</v>
      </c>
      <c r="P856" s="8" t="n">
        <f aca="false">IF(E856=0,0,G856/E856)</f>
        <v>0.272727272727273</v>
      </c>
      <c r="Q856" s="8" t="n">
        <f aca="false">IF(E856+N856=0,0,(G856+N856)/(E856+N856))</f>
        <v>0.333333333333333</v>
      </c>
      <c r="R856" s="8" t="n">
        <f aca="false">IF(E856=0,0,L856/E856)</f>
        <v>0.272727272727273</v>
      </c>
      <c r="S856" s="8" t="n">
        <f aca="false">R856+Q856</f>
        <v>0.606060606060606</v>
      </c>
      <c r="T856" s="8" t="n">
        <f aca="false">R856-P856</f>
        <v>0</v>
      </c>
    </row>
    <row r="857" customFormat="false" ht="14.25" hidden="false" customHeight="true" outlineLevel="0" collapsed="false">
      <c r="A857" s="6" t="n">
        <v>2022</v>
      </c>
      <c r="B857" s="6" t="s">
        <v>166</v>
      </c>
      <c r="C857" s="6" t="s">
        <v>396</v>
      </c>
      <c r="D857" s="7" t="n">
        <v>1</v>
      </c>
      <c r="E857" s="7" t="n">
        <v>4</v>
      </c>
      <c r="F857" s="7" t="n">
        <v>2</v>
      </c>
      <c r="G857" s="7" t="n">
        <v>3</v>
      </c>
      <c r="H857" s="7" t="n">
        <v>0</v>
      </c>
      <c r="I857" s="7" t="n">
        <v>0</v>
      </c>
      <c r="J857" s="7" t="n">
        <v>0</v>
      </c>
      <c r="K857" s="7" t="n">
        <v>0</v>
      </c>
      <c r="L857" s="7" t="n">
        <v>3</v>
      </c>
      <c r="M857" s="7" t="n">
        <v>1</v>
      </c>
      <c r="N857" s="7" t="n">
        <v>0</v>
      </c>
      <c r="O857" s="7" t="n">
        <v>0</v>
      </c>
      <c r="P857" s="8" t="n">
        <f aca="false">IF(E857=0,0,G857/E857)</f>
        <v>0.75</v>
      </c>
      <c r="Q857" s="8" t="n">
        <f aca="false">IF(E857+N857=0,0,(G857+N857)/(E857+N857))</f>
        <v>0.75</v>
      </c>
      <c r="R857" s="8" t="n">
        <f aca="false">IF(E857=0,0,L857/E857)</f>
        <v>0.75</v>
      </c>
      <c r="S857" s="8" t="n">
        <f aca="false">R857+Q857</f>
        <v>1.5</v>
      </c>
      <c r="T857" s="8" t="n">
        <f aca="false">R857-P857</f>
        <v>0</v>
      </c>
    </row>
    <row r="858" customFormat="false" ht="14.25" hidden="false" customHeight="true" outlineLevel="0" collapsed="false">
      <c r="A858" s="6" t="n">
        <v>2022</v>
      </c>
      <c r="B858" s="6" t="s">
        <v>166</v>
      </c>
      <c r="C858" s="6" t="s">
        <v>174</v>
      </c>
      <c r="D858" s="7" t="n">
        <v>10</v>
      </c>
      <c r="E858" s="7" t="n">
        <v>15</v>
      </c>
      <c r="F858" s="7" t="n">
        <v>2</v>
      </c>
      <c r="G858" s="7" t="n">
        <v>2</v>
      </c>
      <c r="H858" s="7" t="n">
        <v>0</v>
      </c>
      <c r="I858" s="7" t="n">
        <v>0</v>
      </c>
      <c r="J858" s="7" t="n">
        <v>0</v>
      </c>
      <c r="K858" s="7" t="n">
        <v>0</v>
      </c>
      <c r="L858" s="7" t="n">
        <v>2</v>
      </c>
      <c r="M858" s="7" t="n">
        <v>0</v>
      </c>
      <c r="N858" s="7" t="n">
        <v>1</v>
      </c>
      <c r="O858" s="7" t="n">
        <v>1</v>
      </c>
      <c r="P858" s="8" t="n">
        <f aca="false">IF(E858=0,0,G858/E858)</f>
        <v>0.133333333333333</v>
      </c>
      <c r="Q858" s="8" t="n">
        <f aca="false">IF(E858+N858=0,0,(G858+N858)/(E858+N858))</f>
        <v>0.1875</v>
      </c>
      <c r="R858" s="8" t="n">
        <f aca="false">IF(E858=0,0,L858/E858)</f>
        <v>0.133333333333333</v>
      </c>
      <c r="S858" s="8" t="n">
        <f aca="false">R858+Q858</f>
        <v>0.320833333333333</v>
      </c>
      <c r="T858" s="8" t="n">
        <f aca="false">R858-P858</f>
        <v>0</v>
      </c>
    </row>
    <row r="859" customFormat="false" ht="14.25" hidden="false" customHeight="true" outlineLevel="0" collapsed="false">
      <c r="A859" s="6" t="n">
        <v>2022</v>
      </c>
      <c r="B859" s="6" t="s">
        <v>166</v>
      </c>
      <c r="C859" s="6" t="s">
        <v>185</v>
      </c>
      <c r="D859" s="7" t="n">
        <v>4</v>
      </c>
      <c r="E859" s="7" t="n">
        <v>14</v>
      </c>
      <c r="F859" s="7" t="n">
        <v>2</v>
      </c>
      <c r="G859" s="7" t="n">
        <v>2</v>
      </c>
      <c r="H859" s="7" t="n">
        <v>0</v>
      </c>
      <c r="I859" s="7" t="n">
        <v>0</v>
      </c>
      <c r="J859" s="7" t="n">
        <v>1</v>
      </c>
      <c r="K859" s="7" t="n">
        <v>1</v>
      </c>
      <c r="L859" s="7" t="n">
        <v>5</v>
      </c>
      <c r="M859" s="7" t="n">
        <v>3</v>
      </c>
      <c r="N859" s="7" t="n">
        <v>0</v>
      </c>
      <c r="O859" s="7" t="n">
        <v>1</v>
      </c>
      <c r="P859" s="8" t="n">
        <f aca="false">IF(E859=0,0,G859/E859)</f>
        <v>0.142857142857143</v>
      </c>
      <c r="Q859" s="8" t="n">
        <f aca="false">IF(E859+N859=0,0,(G859+N859)/(E859+N859))</f>
        <v>0.142857142857143</v>
      </c>
      <c r="R859" s="8" t="n">
        <f aca="false">IF(E859=0,0,L859/E859)</f>
        <v>0.357142857142857</v>
      </c>
      <c r="S859" s="8" t="n">
        <f aca="false">R859+Q859</f>
        <v>0.5</v>
      </c>
      <c r="T859" s="8" t="n">
        <f aca="false">R859-P859</f>
        <v>0.214285714285714</v>
      </c>
    </row>
    <row r="860" customFormat="false" ht="14.25" hidden="false" customHeight="true" outlineLevel="0" collapsed="false">
      <c r="A860" s="6" t="n">
        <v>2022</v>
      </c>
      <c r="B860" s="6" t="s">
        <v>166</v>
      </c>
      <c r="C860" s="6" t="s">
        <v>183</v>
      </c>
      <c r="D860" s="7" t="n">
        <v>3</v>
      </c>
      <c r="E860" s="7" t="n">
        <v>8</v>
      </c>
      <c r="F860" s="7" t="n">
        <v>0</v>
      </c>
      <c r="G860" s="7" t="n">
        <v>2</v>
      </c>
      <c r="H860" s="7" t="n">
        <v>0</v>
      </c>
      <c r="I860" s="7" t="n">
        <v>0</v>
      </c>
      <c r="J860" s="7" t="n">
        <v>0</v>
      </c>
      <c r="K860" s="7" t="n">
        <v>0</v>
      </c>
      <c r="L860" s="7" t="n">
        <v>2</v>
      </c>
      <c r="M860" s="7" t="n">
        <v>1</v>
      </c>
      <c r="N860" s="7" t="n">
        <v>0</v>
      </c>
      <c r="O860" s="7" t="n">
        <v>0</v>
      </c>
      <c r="P860" s="8" t="n">
        <f aca="false">IF(E860=0,0,G860/E860)</f>
        <v>0.25</v>
      </c>
      <c r="Q860" s="8" t="n">
        <f aca="false">IF(E860+N860=0,0,(G860+N860)/(E860+N860))</f>
        <v>0.25</v>
      </c>
      <c r="R860" s="8" t="n">
        <f aca="false">IF(E860=0,0,L860/E860)</f>
        <v>0.25</v>
      </c>
      <c r="S860" s="8" t="n">
        <f aca="false">R860+Q860</f>
        <v>0.5</v>
      </c>
      <c r="T860" s="8" t="n">
        <f aca="false">R860-P860</f>
        <v>0</v>
      </c>
    </row>
    <row r="861" customFormat="false" ht="14.25" hidden="false" customHeight="true" outlineLevel="0" collapsed="false">
      <c r="A861" s="6" t="n">
        <v>2022</v>
      </c>
      <c r="B861" s="6" t="s">
        <v>166</v>
      </c>
      <c r="C861" s="6" t="s">
        <v>397</v>
      </c>
      <c r="D861" s="7" t="n">
        <v>1</v>
      </c>
      <c r="E861" s="7" t="n">
        <v>3</v>
      </c>
      <c r="F861" s="7" t="n">
        <v>2</v>
      </c>
      <c r="G861" s="7" t="n">
        <v>2</v>
      </c>
      <c r="H861" s="7" t="n">
        <v>0</v>
      </c>
      <c r="I861" s="7" t="n">
        <v>0</v>
      </c>
      <c r="J861" s="7" t="n">
        <v>0</v>
      </c>
      <c r="K861" s="7" t="n">
        <v>0</v>
      </c>
      <c r="L861" s="7" t="n">
        <v>2</v>
      </c>
      <c r="M861" s="7" t="n">
        <v>1</v>
      </c>
      <c r="N861" s="7" t="n">
        <v>0</v>
      </c>
      <c r="O861" s="7" t="n">
        <v>0</v>
      </c>
      <c r="P861" s="8" t="n">
        <f aca="false">IF(E861=0,0,G861/E861)</f>
        <v>0.666666666666667</v>
      </c>
      <c r="Q861" s="8" t="n">
        <f aca="false">IF(E861+N861=0,0,(G861+N861)/(E861+N861))</f>
        <v>0.666666666666667</v>
      </c>
      <c r="R861" s="8" t="n">
        <f aca="false">IF(E861=0,0,L861/E861)</f>
        <v>0.666666666666667</v>
      </c>
      <c r="S861" s="8" t="n">
        <f aca="false">R861+Q861</f>
        <v>1.33333333333333</v>
      </c>
      <c r="T861" s="8" t="n">
        <f aca="false">R861-P861</f>
        <v>0</v>
      </c>
    </row>
    <row r="862" customFormat="false" ht="14.25" hidden="false" customHeight="true" outlineLevel="0" collapsed="false">
      <c r="A862" s="6" t="n">
        <v>2022</v>
      </c>
      <c r="B862" s="6" t="s">
        <v>166</v>
      </c>
      <c r="C862" s="6" t="s">
        <v>398</v>
      </c>
      <c r="D862" s="7" t="n">
        <v>1</v>
      </c>
      <c r="E862" s="7" t="n">
        <v>3</v>
      </c>
      <c r="F862" s="7" t="n">
        <v>0</v>
      </c>
      <c r="G862" s="7" t="n">
        <v>1</v>
      </c>
      <c r="H862" s="7" t="n">
        <v>0</v>
      </c>
      <c r="I862" s="7" t="n">
        <v>0</v>
      </c>
      <c r="J862" s="7" t="n">
        <v>0</v>
      </c>
      <c r="K862" s="7" t="n">
        <v>0</v>
      </c>
      <c r="L862" s="7" t="n">
        <v>1</v>
      </c>
      <c r="M862" s="7" t="n">
        <v>0</v>
      </c>
      <c r="N862" s="7" t="n">
        <v>0</v>
      </c>
      <c r="O862" s="7" t="n">
        <v>0</v>
      </c>
      <c r="P862" s="8" t="n">
        <f aca="false">IF(E862=0,0,G862/E862)</f>
        <v>0.333333333333333</v>
      </c>
      <c r="Q862" s="8" t="n">
        <f aca="false">IF(E862+N862=0,0,(G862+N862)/(E862+N862))</f>
        <v>0.333333333333333</v>
      </c>
      <c r="R862" s="8" t="n">
        <f aca="false">IF(E862=0,0,L862/E862)</f>
        <v>0.333333333333333</v>
      </c>
      <c r="S862" s="8" t="n">
        <f aca="false">R862+Q862</f>
        <v>0.666666666666667</v>
      </c>
      <c r="T862" s="8" t="n">
        <f aca="false">R862-P862</f>
        <v>0</v>
      </c>
    </row>
    <row r="863" customFormat="false" ht="14.25" hidden="false" customHeight="true" outlineLevel="0" collapsed="false">
      <c r="A863" s="6" t="n">
        <v>2022</v>
      </c>
      <c r="B863" s="6" t="s">
        <v>166</v>
      </c>
      <c r="C863" s="6" t="s">
        <v>399</v>
      </c>
      <c r="D863" s="7" t="n">
        <v>1</v>
      </c>
      <c r="E863" s="7" t="n">
        <v>3</v>
      </c>
      <c r="F863" s="7" t="n">
        <v>0</v>
      </c>
      <c r="G863" s="7" t="n">
        <v>0</v>
      </c>
      <c r="H863" s="7" t="n">
        <v>0</v>
      </c>
      <c r="I863" s="7" t="n">
        <v>0</v>
      </c>
      <c r="J863" s="7" t="n">
        <v>0</v>
      </c>
      <c r="K863" s="7" t="n">
        <v>0</v>
      </c>
      <c r="L863" s="7" t="n">
        <v>0</v>
      </c>
      <c r="M863" s="7" t="n">
        <v>0</v>
      </c>
      <c r="N863" s="7" t="n">
        <v>0</v>
      </c>
      <c r="O863" s="7" t="n">
        <v>1</v>
      </c>
      <c r="P863" s="8" t="n">
        <f aca="false">IF(E863=0,0,G863/E863)</f>
        <v>0</v>
      </c>
      <c r="Q863" s="8" t="n">
        <f aca="false">IF(E863+N863=0,0,(G863+N863)/(E863+N863))</f>
        <v>0</v>
      </c>
      <c r="R863" s="8" t="n">
        <f aca="false">IF(E863=0,0,L863/E863)</f>
        <v>0</v>
      </c>
      <c r="S863" s="8" t="n">
        <f aca="false">R863+Q863</f>
        <v>0</v>
      </c>
      <c r="T863" s="8" t="n">
        <f aca="false">R863-P863</f>
        <v>0</v>
      </c>
    </row>
    <row r="864" customFormat="false" ht="14.25" hidden="false" customHeight="true" outlineLevel="0" collapsed="false">
      <c r="A864" s="6" t="n">
        <v>2022</v>
      </c>
      <c r="B864" s="6" t="s">
        <v>166</v>
      </c>
      <c r="C864" s="6" t="s">
        <v>351</v>
      </c>
      <c r="D864" s="7" t="n">
        <v>1</v>
      </c>
      <c r="E864" s="7" t="n">
        <v>1</v>
      </c>
      <c r="F864" s="7" t="n">
        <v>1</v>
      </c>
      <c r="G864" s="7" t="n">
        <v>0</v>
      </c>
      <c r="H864" s="7" t="n">
        <v>0</v>
      </c>
      <c r="I864" s="7" t="n">
        <v>0</v>
      </c>
      <c r="J864" s="7" t="n">
        <v>0</v>
      </c>
      <c r="K864" s="7" t="n">
        <v>0</v>
      </c>
      <c r="L864" s="7" t="n">
        <v>0</v>
      </c>
      <c r="M864" s="7" t="n">
        <v>0</v>
      </c>
      <c r="N864" s="7" t="n">
        <v>2</v>
      </c>
      <c r="O864" s="7" t="n">
        <v>0</v>
      </c>
      <c r="P864" s="8" t="n">
        <f aca="false">IF(E864=0,0,G864/E864)</f>
        <v>0</v>
      </c>
      <c r="Q864" s="8" t="n">
        <f aca="false">IF(E864+N864=0,0,(G864+N864)/(E864+N864))</f>
        <v>0.666666666666667</v>
      </c>
      <c r="R864" s="8" t="n">
        <f aca="false">IF(E864=0,0,L864/E864)</f>
        <v>0</v>
      </c>
      <c r="S864" s="8" t="n">
        <f aca="false">R864+Q864</f>
        <v>0.666666666666667</v>
      </c>
      <c r="T864" s="8" t="n">
        <f aca="false">R864-P864</f>
        <v>0</v>
      </c>
    </row>
    <row r="865" customFormat="false" ht="14.25" hidden="false" customHeight="true" outlineLevel="0" collapsed="false">
      <c r="A865" s="6" t="n">
        <v>2022</v>
      </c>
      <c r="B865" s="6" t="s">
        <v>192</v>
      </c>
      <c r="C865" s="6" t="s">
        <v>196</v>
      </c>
      <c r="D865" s="7" t="n">
        <v>11</v>
      </c>
      <c r="E865" s="7" t="n">
        <v>29</v>
      </c>
      <c r="F865" s="7" t="n">
        <v>10</v>
      </c>
      <c r="G865" s="7" t="n">
        <v>14</v>
      </c>
      <c r="H865" s="7" t="n">
        <v>1</v>
      </c>
      <c r="I865" s="7" t="n">
        <v>0</v>
      </c>
      <c r="J865" s="7" t="n">
        <v>8</v>
      </c>
      <c r="K865" s="7" t="n">
        <v>9</v>
      </c>
      <c r="L865" s="7" t="n">
        <v>39</v>
      </c>
      <c r="M865" s="7" t="n">
        <v>22</v>
      </c>
      <c r="N865" s="7" t="n">
        <v>8</v>
      </c>
      <c r="O865" s="7" t="n">
        <v>1</v>
      </c>
      <c r="P865" s="8" t="n">
        <f aca="false">IF(E865=0,0,G865/E865)</f>
        <v>0.482758620689655</v>
      </c>
      <c r="Q865" s="8" t="n">
        <f aca="false">IF(E865+N865=0,0,(G865+N865)/(E865+N865))</f>
        <v>0.594594594594595</v>
      </c>
      <c r="R865" s="8" t="n">
        <f aca="false">IF(E865=0,0,L865/E865)</f>
        <v>1.3448275862069</v>
      </c>
      <c r="S865" s="8" t="n">
        <f aca="false">R865+Q865</f>
        <v>1.93942218080149</v>
      </c>
      <c r="T865" s="8" t="n">
        <f aca="false">R865-P865</f>
        <v>0.862068965517241</v>
      </c>
    </row>
    <row r="866" customFormat="false" ht="14.25" hidden="false" customHeight="true" outlineLevel="0" collapsed="false">
      <c r="A866" s="6" t="n">
        <v>2022</v>
      </c>
      <c r="B866" s="6" t="s">
        <v>192</v>
      </c>
      <c r="C866" s="6" t="s">
        <v>198</v>
      </c>
      <c r="D866" s="7" t="n">
        <v>9</v>
      </c>
      <c r="E866" s="7" t="n">
        <v>29</v>
      </c>
      <c r="F866" s="7" t="n">
        <v>7</v>
      </c>
      <c r="G866" s="7" t="n">
        <v>11</v>
      </c>
      <c r="H866" s="7" t="n">
        <v>0</v>
      </c>
      <c r="I866" s="7" t="n">
        <v>0</v>
      </c>
      <c r="J866" s="7" t="n">
        <v>1</v>
      </c>
      <c r="K866" s="7" t="n">
        <v>1</v>
      </c>
      <c r="L866" s="7" t="n">
        <v>14</v>
      </c>
      <c r="M866" s="7" t="n">
        <v>2</v>
      </c>
      <c r="N866" s="7" t="n">
        <v>3</v>
      </c>
      <c r="O866" s="7" t="n">
        <v>1</v>
      </c>
      <c r="P866" s="8" t="n">
        <f aca="false">IF(E866=0,0,G866/E866)</f>
        <v>0.379310344827586</v>
      </c>
      <c r="Q866" s="8" t="n">
        <f aca="false">IF(E866+N866=0,0,(G866+N866)/(E866+N866))</f>
        <v>0.4375</v>
      </c>
      <c r="R866" s="8" t="n">
        <f aca="false">IF(E866=0,0,L866/E866)</f>
        <v>0.482758620689655</v>
      </c>
      <c r="S866" s="8" t="n">
        <f aca="false">R866+Q866</f>
        <v>0.920258620689655</v>
      </c>
      <c r="T866" s="8" t="n">
        <f aca="false">R866-P866</f>
        <v>0.103448275862069</v>
      </c>
    </row>
    <row r="867" customFormat="false" ht="14.25" hidden="false" customHeight="true" outlineLevel="0" collapsed="false">
      <c r="A867" s="6" t="n">
        <v>2022</v>
      </c>
      <c r="B867" s="6" t="s">
        <v>192</v>
      </c>
      <c r="C867" s="6" t="s">
        <v>195</v>
      </c>
      <c r="D867" s="7" t="n">
        <v>8</v>
      </c>
      <c r="E867" s="7" t="n">
        <v>25</v>
      </c>
      <c r="F867" s="7" t="n">
        <v>4</v>
      </c>
      <c r="G867" s="7" t="n">
        <v>9</v>
      </c>
      <c r="H867" s="7" t="n">
        <v>2</v>
      </c>
      <c r="I867" s="7" t="n">
        <v>0</v>
      </c>
      <c r="J867" s="7" t="n">
        <v>1</v>
      </c>
      <c r="K867" s="7" t="n">
        <v>3</v>
      </c>
      <c r="L867" s="7" t="n">
        <v>14</v>
      </c>
      <c r="M867" s="7" t="n">
        <v>10</v>
      </c>
      <c r="N867" s="7" t="n">
        <v>1</v>
      </c>
      <c r="O867" s="7" t="n">
        <v>1</v>
      </c>
      <c r="P867" s="8" t="n">
        <f aca="false">IF(E867=0,0,G867/E867)</f>
        <v>0.36</v>
      </c>
      <c r="Q867" s="8" t="n">
        <f aca="false">IF(E867+N867=0,0,(G867+N867)/(E867+N867))</f>
        <v>0.384615384615385</v>
      </c>
      <c r="R867" s="8" t="n">
        <f aca="false">IF(E867=0,0,L867/E867)</f>
        <v>0.56</v>
      </c>
      <c r="S867" s="8" t="n">
        <f aca="false">R867+Q867</f>
        <v>0.944615384615385</v>
      </c>
      <c r="T867" s="8" t="n">
        <f aca="false">R867-P867</f>
        <v>0.2</v>
      </c>
    </row>
    <row r="868" customFormat="false" ht="14.25" hidden="false" customHeight="true" outlineLevel="0" collapsed="false">
      <c r="A868" s="6" t="n">
        <v>2022</v>
      </c>
      <c r="B868" s="6" t="s">
        <v>192</v>
      </c>
      <c r="C868" s="6" t="s">
        <v>200</v>
      </c>
      <c r="D868" s="7" t="n">
        <v>6</v>
      </c>
      <c r="E868" s="7" t="n">
        <v>22</v>
      </c>
      <c r="F868" s="7" t="n">
        <v>7</v>
      </c>
      <c r="G868" s="7" t="n">
        <v>8</v>
      </c>
      <c r="H868" s="7" t="n">
        <v>1</v>
      </c>
      <c r="I868" s="7" t="n">
        <v>0</v>
      </c>
      <c r="J868" s="7" t="n">
        <v>0</v>
      </c>
      <c r="K868" s="7" t="n">
        <v>1</v>
      </c>
      <c r="L868" s="7" t="n">
        <v>9</v>
      </c>
      <c r="M868" s="7" t="n">
        <v>0</v>
      </c>
      <c r="N868" s="7" t="n">
        <v>0</v>
      </c>
      <c r="O868" s="7" t="n">
        <v>1</v>
      </c>
      <c r="P868" s="8" t="n">
        <f aca="false">IF(E868=0,0,G868/E868)</f>
        <v>0.363636363636364</v>
      </c>
      <c r="Q868" s="8" t="n">
        <f aca="false">IF(E868+N868=0,0,(G868+N868)/(E868+N868))</f>
        <v>0.363636363636364</v>
      </c>
      <c r="R868" s="8" t="n">
        <f aca="false">IF(E868=0,0,L868/E868)</f>
        <v>0.409090909090909</v>
      </c>
      <c r="S868" s="8" t="n">
        <f aca="false">R868+Q868</f>
        <v>0.772727272727273</v>
      </c>
      <c r="T868" s="8" t="n">
        <f aca="false">R868-P868</f>
        <v>0.0454545454545455</v>
      </c>
    </row>
    <row r="869" customFormat="false" ht="14.25" hidden="false" customHeight="true" outlineLevel="0" collapsed="false">
      <c r="A869" s="6" t="n">
        <v>2022</v>
      </c>
      <c r="B869" s="6" t="s">
        <v>192</v>
      </c>
      <c r="C869" s="6" t="s">
        <v>201</v>
      </c>
      <c r="D869" s="7" t="n">
        <v>12</v>
      </c>
      <c r="E869" s="7" t="n">
        <v>35</v>
      </c>
      <c r="F869" s="7" t="n">
        <v>2</v>
      </c>
      <c r="G869" s="7" t="n">
        <v>7</v>
      </c>
      <c r="H869" s="7" t="n">
        <v>0</v>
      </c>
      <c r="I869" s="7" t="n">
        <v>0</v>
      </c>
      <c r="J869" s="7" t="n">
        <v>0</v>
      </c>
      <c r="K869" s="7" t="n">
        <v>0</v>
      </c>
      <c r="L869" s="7" t="n">
        <v>7</v>
      </c>
      <c r="M869" s="7" t="n">
        <v>1</v>
      </c>
      <c r="N869" s="7" t="n">
        <v>0</v>
      </c>
      <c r="O869" s="7" t="n">
        <v>0</v>
      </c>
      <c r="P869" s="8" t="n">
        <f aca="false">IF(E869=0,0,G869/E869)</f>
        <v>0.2</v>
      </c>
      <c r="Q869" s="8" t="n">
        <f aca="false">IF(E869+N869=0,0,(G869+N869)/(E869+N869))</f>
        <v>0.2</v>
      </c>
      <c r="R869" s="8" t="n">
        <f aca="false">IF(E869=0,0,L869/E869)</f>
        <v>0.2</v>
      </c>
      <c r="S869" s="8" t="n">
        <f aca="false">R869+Q869</f>
        <v>0.4</v>
      </c>
      <c r="T869" s="8" t="n">
        <f aca="false">R869-P869</f>
        <v>0</v>
      </c>
    </row>
    <row r="870" customFormat="false" ht="14.25" hidden="false" customHeight="true" outlineLevel="0" collapsed="false">
      <c r="A870" s="6" t="n">
        <v>2022</v>
      </c>
      <c r="B870" s="6" t="s">
        <v>192</v>
      </c>
      <c r="C870" s="6" t="s">
        <v>202</v>
      </c>
      <c r="D870" s="7" t="n">
        <v>12</v>
      </c>
      <c r="E870" s="7" t="n">
        <v>30</v>
      </c>
      <c r="F870" s="7" t="n">
        <v>3</v>
      </c>
      <c r="G870" s="7" t="n">
        <v>7</v>
      </c>
      <c r="H870" s="7" t="n">
        <v>0</v>
      </c>
      <c r="I870" s="7" t="n">
        <v>0</v>
      </c>
      <c r="J870" s="7" t="n">
        <v>0</v>
      </c>
      <c r="K870" s="7" t="n">
        <v>0</v>
      </c>
      <c r="L870" s="7" t="n">
        <v>7</v>
      </c>
      <c r="M870" s="7" t="n">
        <v>0</v>
      </c>
      <c r="N870" s="7" t="n">
        <v>1</v>
      </c>
      <c r="O870" s="7" t="n">
        <v>2</v>
      </c>
      <c r="P870" s="8" t="n">
        <f aca="false">IF(E870=0,0,G870/E870)</f>
        <v>0.233333333333333</v>
      </c>
      <c r="Q870" s="8" t="n">
        <f aca="false">IF(E870+N870=0,0,(G870+N870)/(E870+N870))</f>
        <v>0.258064516129032</v>
      </c>
      <c r="R870" s="8" t="n">
        <f aca="false">IF(E870=0,0,L870/E870)</f>
        <v>0.233333333333333</v>
      </c>
      <c r="S870" s="8" t="n">
        <f aca="false">R870+Q870</f>
        <v>0.491397849462366</v>
      </c>
      <c r="T870" s="8" t="n">
        <f aca="false">R870-P870</f>
        <v>0</v>
      </c>
    </row>
    <row r="871" customFormat="false" ht="14.25" hidden="false" customHeight="true" outlineLevel="0" collapsed="false">
      <c r="A871" s="6" t="n">
        <v>2022</v>
      </c>
      <c r="B871" s="6" t="s">
        <v>192</v>
      </c>
      <c r="C871" s="6" t="s">
        <v>204</v>
      </c>
      <c r="D871" s="7" t="n">
        <v>4</v>
      </c>
      <c r="E871" s="7" t="n">
        <v>12</v>
      </c>
      <c r="F871" s="7" t="n">
        <v>5</v>
      </c>
      <c r="G871" s="7" t="n">
        <v>7</v>
      </c>
      <c r="H871" s="7" t="n">
        <v>1</v>
      </c>
      <c r="I871" s="7" t="n">
        <v>0</v>
      </c>
      <c r="J871" s="7" t="n">
        <v>0</v>
      </c>
      <c r="K871" s="7" t="n">
        <v>1</v>
      </c>
      <c r="L871" s="7" t="n">
        <v>8</v>
      </c>
      <c r="M871" s="7" t="n">
        <v>2</v>
      </c>
      <c r="N871" s="7" t="n">
        <v>0</v>
      </c>
      <c r="O871" s="7" t="n">
        <v>0</v>
      </c>
      <c r="P871" s="8" t="n">
        <f aca="false">IF(E871=0,0,G871/E871)</f>
        <v>0.583333333333333</v>
      </c>
      <c r="Q871" s="8" t="n">
        <f aca="false">IF(E871+N871=0,0,(G871+N871)/(E871+N871))</f>
        <v>0.583333333333333</v>
      </c>
      <c r="R871" s="8" t="n">
        <f aca="false">IF(E871=0,0,L871/E871)</f>
        <v>0.666666666666667</v>
      </c>
      <c r="S871" s="8" t="n">
        <f aca="false">R871+Q871</f>
        <v>1.25</v>
      </c>
      <c r="T871" s="8" t="n">
        <f aca="false">R871-P871</f>
        <v>0.0833333333333333</v>
      </c>
    </row>
    <row r="872" customFormat="false" ht="14.25" hidden="false" customHeight="true" outlineLevel="0" collapsed="false">
      <c r="A872" s="6" t="n">
        <v>2022</v>
      </c>
      <c r="B872" s="6" t="s">
        <v>192</v>
      </c>
      <c r="C872" s="6" t="s">
        <v>205</v>
      </c>
      <c r="D872" s="7" t="n">
        <v>8</v>
      </c>
      <c r="E872" s="7" t="n">
        <v>20</v>
      </c>
      <c r="F872" s="7" t="n">
        <v>7</v>
      </c>
      <c r="G872" s="7" t="n">
        <v>6</v>
      </c>
      <c r="H872" s="7" t="n">
        <v>0</v>
      </c>
      <c r="I872" s="7" t="n">
        <v>0</v>
      </c>
      <c r="J872" s="7" t="n">
        <v>2</v>
      </c>
      <c r="K872" s="7" t="n">
        <v>2</v>
      </c>
      <c r="L872" s="7" t="n">
        <v>12</v>
      </c>
      <c r="M872" s="7" t="n">
        <v>8</v>
      </c>
      <c r="N872" s="7" t="n">
        <v>5</v>
      </c>
      <c r="O872" s="7" t="n">
        <v>3</v>
      </c>
      <c r="P872" s="8" t="n">
        <f aca="false">IF(E872=0,0,G872/E872)</f>
        <v>0.3</v>
      </c>
      <c r="Q872" s="8" t="n">
        <f aca="false">IF(E872+N872=0,0,(G872+N872)/(E872+N872))</f>
        <v>0.44</v>
      </c>
      <c r="R872" s="8" t="n">
        <f aca="false">IF(E872=0,0,L872/E872)</f>
        <v>0.6</v>
      </c>
      <c r="S872" s="8" t="n">
        <f aca="false">R872+Q872</f>
        <v>1.04</v>
      </c>
      <c r="T872" s="8" t="n">
        <f aca="false">R872-P872</f>
        <v>0.3</v>
      </c>
    </row>
    <row r="873" customFormat="false" ht="14.25" hidden="false" customHeight="true" outlineLevel="0" collapsed="false">
      <c r="A873" s="6" t="n">
        <v>2022</v>
      </c>
      <c r="B873" s="6" t="s">
        <v>192</v>
      </c>
      <c r="C873" s="6" t="s">
        <v>197</v>
      </c>
      <c r="D873" s="7" t="n">
        <v>6</v>
      </c>
      <c r="E873" s="7" t="n">
        <v>18</v>
      </c>
      <c r="F873" s="7" t="n">
        <v>4</v>
      </c>
      <c r="G873" s="7" t="n">
        <v>4</v>
      </c>
      <c r="H873" s="7" t="n">
        <v>0</v>
      </c>
      <c r="I873" s="7" t="n">
        <v>0</v>
      </c>
      <c r="J873" s="7" t="n">
        <v>1</v>
      </c>
      <c r="K873" s="7" t="n">
        <v>1</v>
      </c>
      <c r="L873" s="7" t="n">
        <v>7</v>
      </c>
      <c r="M873" s="7" t="n">
        <v>2</v>
      </c>
      <c r="N873" s="7" t="n">
        <v>1</v>
      </c>
      <c r="O873" s="7" t="n">
        <v>0</v>
      </c>
      <c r="P873" s="8" t="n">
        <f aca="false">IF(E873=0,0,G873/E873)</f>
        <v>0.222222222222222</v>
      </c>
      <c r="Q873" s="8" t="n">
        <f aca="false">IF(E873+N873=0,0,(G873+N873)/(E873+N873))</f>
        <v>0.263157894736842</v>
      </c>
      <c r="R873" s="8" t="n">
        <f aca="false">IF(E873=0,0,L873/E873)</f>
        <v>0.388888888888889</v>
      </c>
      <c r="S873" s="8" t="n">
        <f aca="false">R873+Q873</f>
        <v>0.652046783625731</v>
      </c>
      <c r="T873" s="8" t="n">
        <f aca="false">R873-P873</f>
        <v>0.166666666666667</v>
      </c>
    </row>
    <row r="874" customFormat="false" ht="14.25" hidden="false" customHeight="true" outlineLevel="0" collapsed="false">
      <c r="A874" s="6" t="n">
        <v>2022</v>
      </c>
      <c r="B874" s="6" t="s">
        <v>192</v>
      </c>
      <c r="C874" s="6" t="s">
        <v>207</v>
      </c>
      <c r="D874" s="7" t="n">
        <v>9</v>
      </c>
      <c r="E874" s="7" t="n">
        <v>21</v>
      </c>
      <c r="F874" s="7" t="n">
        <v>2</v>
      </c>
      <c r="G874" s="7" t="n">
        <v>3</v>
      </c>
      <c r="H874" s="7" t="n">
        <v>0</v>
      </c>
      <c r="I874" s="7" t="n">
        <v>0</v>
      </c>
      <c r="J874" s="7" t="n">
        <v>0</v>
      </c>
      <c r="K874" s="7" t="n">
        <v>0</v>
      </c>
      <c r="L874" s="7" t="n">
        <v>3</v>
      </c>
      <c r="M874" s="7" t="n">
        <v>1</v>
      </c>
      <c r="N874" s="7" t="n">
        <v>4</v>
      </c>
      <c r="O874" s="7" t="n">
        <v>1</v>
      </c>
      <c r="P874" s="8" t="n">
        <f aca="false">IF(E874=0,0,G874/E874)</f>
        <v>0.142857142857143</v>
      </c>
      <c r="Q874" s="8" t="n">
        <f aca="false">IF(E874+N874=0,0,(G874+N874)/(E874+N874))</f>
        <v>0.28</v>
      </c>
      <c r="R874" s="8" t="n">
        <f aca="false">IF(E874=0,0,L874/E874)</f>
        <v>0.142857142857143</v>
      </c>
      <c r="S874" s="8" t="n">
        <f aca="false">R874+Q874</f>
        <v>0.422857142857143</v>
      </c>
      <c r="T874" s="8" t="n">
        <f aca="false">R874-P874</f>
        <v>0</v>
      </c>
    </row>
    <row r="875" customFormat="false" ht="14.25" hidden="false" customHeight="true" outlineLevel="0" collapsed="false">
      <c r="A875" s="6" t="n">
        <v>2022</v>
      </c>
      <c r="B875" s="6" t="s">
        <v>192</v>
      </c>
      <c r="C875" s="6" t="s">
        <v>208</v>
      </c>
      <c r="D875" s="7" t="n">
        <v>5</v>
      </c>
      <c r="E875" s="7" t="n">
        <v>12</v>
      </c>
      <c r="F875" s="7" t="n">
        <v>0</v>
      </c>
      <c r="G875" s="7" t="n">
        <v>3</v>
      </c>
      <c r="H875" s="7" t="n">
        <v>0</v>
      </c>
      <c r="I875" s="7" t="n">
        <v>0</v>
      </c>
      <c r="J875" s="7" t="n">
        <v>0</v>
      </c>
      <c r="K875" s="7" t="n">
        <v>0</v>
      </c>
      <c r="L875" s="7" t="n">
        <v>3</v>
      </c>
      <c r="M875" s="7" t="n">
        <v>0</v>
      </c>
      <c r="N875" s="7" t="n">
        <v>0</v>
      </c>
      <c r="O875" s="7" t="n">
        <v>0</v>
      </c>
      <c r="P875" s="8" t="n">
        <f aca="false">IF(E875=0,0,G875/E875)</f>
        <v>0.25</v>
      </c>
      <c r="Q875" s="8" t="n">
        <f aca="false">IF(E875+N875=0,0,(G875+N875)/(E875+N875))</f>
        <v>0.25</v>
      </c>
      <c r="R875" s="8" t="n">
        <f aca="false">IF(E875=0,0,L875/E875)</f>
        <v>0.25</v>
      </c>
      <c r="S875" s="8" t="n">
        <f aca="false">R875+Q875</f>
        <v>0.5</v>
      </c>
      <c r="T875" s="8" t="n">
        <f aca="false">R875-P875</f>
        <v>0</v>
      </c>
    </row>
    <row r="876" customFormat="false" ht="14.25" hidden="false" customHeight="true" outlineLevel="0" collapsed="false">
      <c r="A876" s="6" t="n">
        <v>2022</v>
      </c>
      <c r="B876" s="6" t="s">
        <v>192</v>
      </c>
      <c r="C876" s="6" t="s">
        <v>86</v>
      </c>
      <c r="D876" s="7" t="n">
        <v>3</v>
      </c>
      <c r="E876" s="7" t="n">
        <v>8</v>
      </c>
      <c r="F876" s="7" t="n">
        <v>4</v>
      </c>
      <c r="G876" s="7" t="n">
        <v>3</v>
      </c>
      <c r="H876" s="7" t="n">
        <v>1</v>
      </c>
      <c r="I876" s="7" t="n">
        <v>0</v>
      </c>
      <c r="J876" s="7" t="n">
        <v>0</v>
      </c>
      <c r="K876" s="7" t="n">
        <v>1</v>
      </c>
      <c r="L876" s="7" t="n">
        <v>4</v>
      </c>
      <c r="M876" s="7" t="n">
        <v>0</v>
      </c>
      <c r="N876" s="7" t="n">
        <v>2</v>
      </c>
      <c r="O876" s="7" t="n">
        <v>1</v>
      </c>
      <c r="P876" s="8" t="n">
        <f aca="false">IF(E876=0,0,G876/E876)</f>
        <v>0.375</v>
      </c>
      <c r="Q876" s="8" t="n">
        <f aca="false">IF(E876+N876=0,0,(G876+N876)/(E876+N876))</f>
        <v>0.5</v>
      </c>
      <c r="R876" s="8" t="n">
        <f aca="false">IF(E876=0,0,L876/E876)</f>
        <v>0.5</v>
      </c>
      <c r="S876" s="8" t="n">
        <f aca="false">R876+Q876</f>
        <v>1</v>
      </c>
      <c r="T876" s="8" t="n">
        <f aca="false">R876-P876</f>
        <v>0.125</v>
      </c>
    </row>
    <row r="877" customFormat="false" ht="14.25" hidden="false" customHeight="true" outlineLevel="0" collapsed="false">
      <c r="A877" s="6" t="n">
        <v>2022</v>
      </c>
      <c r="B877" s="6" t="s">
        <v>192</v>
      </c>
      <c r="C877" s="6" t="s">
        <v>199</v>
      </c>
      <c r="D877" s="7" t="n">
        <v>10</v>
      </c>
      <c r="E877" s="7" t="n">
        <v>23</v>
      </c>
      <c r="F877" s="7" t="n">
        <v>1</v>
      </c>
      <c r="G877" s="7" t="n">
        <v>2</v>
      </c>
      <c r="H877" s="7" t="n">
        <v>1</v>
      </c>
      <c r="I877" s="7" t="n">
        <v>0</v>
      </c>
      <c r="J877" s="7" t="n">
        <v>0</v>
      </c>
      <c r="K877" s="7" t="n">
        <v>1</v>
      </c>
      <c r="L877" s="7" t="n">
        <v>3</v>
      </c>
      <c r="M877" s="7" t="n">
        <v>0</v>
      </c>
      <c r="N877" s="7" t="n">
        <v>1</v>
      </c>
      <c r="O877" s="7" t="n">
        <v>2</v>
      </c>
      <c r="P877" s="8" t="n">
        <f aca="false">IF(E877=0,0,G877/E877)</f>
        <v>0.0869565217391304</v>
      </c>
      <c r="Q877" s="8" t="n">
        <f aca="false">IF(E877+N877=0,0,(G877+N877)/(E877+N877))</f>
        <v>0.125</v>
      </c>
      <c r="R877" s="8" t="n">
        <f aca="false">IF(E877=0,0,L877/E877)</f>
        <v>0.130434782608696</v>
      </c>
      <c r="S877" s="8" t="n">
        <f aca="false">R877+Q877</f>
        <v>0.255434782608696</v>
      </c>
      <c r="T877" s="8" t="n">
        <f aca="false">R877-P877</f>
        <v>0.0434782608695652</v>
      </c>
    </row>
    <row r="878" customFormat="false" ht="14.25" hidden="false" customHeight="true" outlineLevel="0" collapsed="false">
      <c r="A878" s="6" t="n">
        <v>2022</v>
      </c>
      <c r="B878" s="6" t="s">
        <v>192</v>
      </c>
      <c r="C878" s="6" t="s">
        <v>193</v>
      </c>
      <c r="D878" s="7" t="n">
        <v>4</v>
      </c>
      <c r="E878" s="7" t="n">
        <v>11</v>
      </c>
      <c r="F878" s="7" t="n">
        <v>0</v>
      </c>
      <c r="G878" s="7" t="n">
        <v>2</v>
      </c>
      <c r="H878" s="7" t="n">
        <v>1</v>
      </c>
      <c r="I878" s="7" t="n">
        <v>0</v>
      </c>
      <c r="J878" s="7" t="n">
        <v>0</v>
      </c>
      <c r="K878" s="7" t="n">
        <v>1</v>
      </c>
      <c r="L878" s="7" t="n">
        <v>3</v>
      </c>
      <c r="M878" s="7" t="n">
        <v>3</v>
      </c>
      <c r="N878" s="7" t="n">
        <v>0</v>
      </c>
      <c r="O878" s="7" t="n">
        <v>0</v>
      </c>
      <c r="P878" s="8" t="n">
        <f aca="false">IF(E878=0,0,G878/E878)</f>
        <v>0.181818181818182</v>
      </c>
      <c r="Q878" s="8" t="n">
        <f aca="false">IF(E878+N878=0,0,(G878+N878)/(E878+N878))</f>
        <v>0.181818181818182</v>
      </c>
      <c r="R878" s="8" t="n">
        <f aca="false">IF(E878=0,0,L878/E878)</f>
        <v>0.272727272727273</v>
      </c>
      <c r="S878" s="8" t="n">
        <f aca="false">R878+Q878</f>
        <v>0.454545454545455</v>
      </c>
      <c r="T878" s="8" t="n">
        <f aca="false">R878-P878</f>
        <v>0.0909090909090909</v>
      </c>
    </row>
    <row r="879" customFormat="false" ht="14.25" hidden="false" customHeight="true" outlineLevel="0" collapsed="false">
      <c r="A879" s="6" t="n">
        <v>2022</v>
      </c>
      <c r="B879" s="6" t="s">
        <v>192</v>
      </c>
      <c r="C879" s="6" t="s">
        <v>308</v>
      </c>
      <c r="D879" s="7" t="n">
        <v>6</v>
      </c>
      <c r="E879" s="7" t="n">
        <v>10</v>
      </c>
      <c r="F879" s="7" t="n">
        <v>0</v>
      </c>
      <c r="G879" s="7" t="n">
        <v>1</v>
      </c>
      <c r="H879" s="7" t="n">
        <v>0</v>
      </c>
      <c r="I879" s="7" t="n">
        <v>0</v>
      </c>
      <c r="J879" s="7" t="n">
        <v>0</v>
      </c>
      <c r="K879" s="7" t="n">
        <v>0</v>
      </c>
      <c r="L879" s="7" t="n">
        <v>1</v>
      </c>
      <c r="M879" s="7" t="n">
        <v>0</v>
      </c>
      <c r="N879" s="7" t="n">
        <v>3</v>
      </c>
      <c r="O879" s="7" t="n">
        <v>0</v>
      </c>
      <c r="P879" s="8" t="n">
        <f aca="false">IF(E879=0,0,G879/E879)</f>
        <v>0.1</v>
      </c>
      <c r="Q879" s="8" t="n">
        <f aca="false">IF(E879+N879=0,0,(G879+N879)/(E879+N879))</f>
        <v>0.307692307692308</v>
      </c>
      <c r="R879" s="8" t="n">
        <f aca="false">IF(E879=0,0,L879/E879)</f>
        <v>0.1</v>
      </c>
      <c r="S879" s="8" t="n">
        <f aca="false">R879+Q879</f>
        <v>0.407692307692308</v>
      </c>
      <c r="T879" s="8" t="n">
        <f aca="false">R879-P879</f>
        <v>0</v>
      </c>
    </row>
    <row r="880" customFormat="false" ht="14.25" hidden="false" customHeight="true" outlineLevel="0" collapsed="false">
      <c r="A880" s="6" t="n">
        <v>2022</v>
      </c>
      <c r="B880" s="6" t="s">
        <v>192</v>
      </c>
      <c r="C880" s="6" t="s">
        <v>309</v>
      </c>
      <c r="D880" s="7" t="n">
        <v>5</v>
      </c>
      <c r="E880" s="7" t="n">
        <v>13</v>
      </c>
      <c r="F880" s="7" t="n">
        <v>0</v>
      </c>
      <c r="G880" s="7" t="n">
        <v>1</v>
      </c>
      <c r="H880" s="7" t="n">
        <v>1</v>
      </c>
      <c r="I880" s="7" t="n">
        <v>0</v>
      </c>
      <c r="J880" s="7" t="n">
        <v>0</v>
      </c>
      <c r="K880" s="7" t="n">
        <v>1</v>
      </c>
      <c r="L880" s="7" t="n">
        <v>2</v>
      </c>
      <c r="M880" s="7" t="n">
        <v>0</v>
      </c>
      <c r="N880" s="7" t="n">
        <v>0</v>
      </c>
      <c r="O880" s="7" t="n">
        <v>2</v>
      </c>
      <c r="P880" s="8" t="n">
        <f aca="false">IF(E880=0,0,G880/E880)</f>
        <v>0.0769230769230769</v>
      </c>
      <c r="Q880" s="8" t="n">
        <f aca="false">IF(E880+N880=0,0,(G880+N880)/(E880+N880))</f>
        <v>0.0769230769230769</v>
      </c>
      <c r="R880" s="8" t="n">
        <f aca="false">IF(E880=0,0,L880/E880)</f>
        <v>0.153846153846154</v>
      </c>
      <c r="S880" s="8" t="n">
        <f aca="false">R880+Q880</f>
        <v>0.230769230769231</v>
      </c>
      <c r="T880" s="8" t="n">
        <f aca="false">R880-P880</f>
        <v>0.0769230769230769</v>
      </c>
    </row>
    <row r="881" customFormat="false" ht="14.25" hidden="false" customHeight="true" outlineLevel="0" collapsed="false">
      <c r="A881" s="6" t="n">
        <v>2022</v>
      </c>
      <c r="B881" s="6" t="s">
        <v>192</v>
      </c>
      <c r="C881" s="6" t="s">
        <v>400</v>
      </c>
      <c r="D881" s="7" t="n">
        <v>2</v>
      </c>
      <c r="E881" s="7" t="n">
        <v>4</v>
      </c>
      <c r="F881" s="7" t="n">
        <v>0</v>
      </c>
      <c r="G881" s="7" t="n">
        <v>0</v>
      </c>
      <c r="H881" s="7" t="n">
        <v>0</v>
      </c>
      <c r="I881" s="7" t="n">
        <v>0</v>
      </c>
      <c r="J881" s="7" t="n">
        <v>0</v>
      </c>
      <c r="K881" s="7" t="n">
        <v>0</v>
      </c>
      <c r="L881" s="7" t="n">
        <v>0</v>
      </c>
      <c r="M881" s="7" t="n">
        <v>0</v>
      </c>
      <c r="N881" s="7" t="n">
        <v>1</v>
      </c>
      <c r="O881" s="7" t="n">
        <v>1</v>
      </c>
      <c r="P881" s="8" t="n">
        <f aca="false">IF(E881=0,0,G881/E881)</f>
        <v>0</v>
      </c>
      <c r="Q881" s="8" t="n">
        <f aca="false">IF(E881+N881=0,0,(G881+N881)/(E881+N881))</f>
        <v>0.2</v>
      </c>
      <c r="R881" s="8" t="n">
        <f aca="false">IF(E881=0,0,L881/E881)</f>
        <v>0</v>
      </c>
      <c r="S881" s="8" t="n">
        <f aca="false">R881+Q881</f>
        <v>0.2</v>
      </c>
      <c r="T881" s="8" t="n">
        <f aca="false">R881-P881</f>
        <v>0</v>
      </c>
    </row>
    <row r="882" customFormat="false" ht="14.25" hidden="false" customHeight="true" outlineLevel="0" collapsed="false">
      <c r="A882" s="6" t="n">
        <v>2022</v>
      </c>
      <c r="B882" s="6" t="s">
        <v>192</v>
      </c>
      <c r="C882" s="6" t="s">
        <v>401</v>
      </c>
      <c r="D882" s="7" t="n">
        <v>2</v>
      </c>
      <c r="E882" s="7" t="n">
        <v>5</v>
      </c>
      <c r="F882" s="7" t="n">
        <v>0</v>
      </c>
      <c r="G882" s="7" t="n">
        <v>0</v>
      </c>
      <c r="H882" s="7" t="n">
        <v>0</v>
      </c>
      <c r="I882" s="7" t="n">
        <v>0</v>
      </c>
      <c r="J882" s="7" t="n">
        <v>0</v>
      </c>
      <c r="K882" s="7" t="n">
        <v>0</v>
      </c>
      <c r="L882" s="7" t="n">
        <v>0</v>
      </c>
      <c r="M882" s="7" t="n">
        <v>0</v>
      </c>
      <c r="N882" s="7" t="n">
        <v>0</v>
      </c>
      <c r="O882" s="7" t="n">
        <v>0</v>
      </c>
      <c r="P882" s="8" t="n">
        <f aca="false">IF(E882=0,0,G882/E882)</f>
        <v>0</v>
      </c>
      <c r="Q882" s="8" t="n">
        <f aca="false">IF(E882+N882=0,0,(G882+N882)/(E882+N882))</f>
        <v>0</v>
      </c>
      <c r="R882" s="8" t="n">
        <f aca="false">IF(E882=0,0,L882/E882)</f>
        <v>0</v>
      </c>
      <c r="S882" s="8" t="n">
        <f aca="false">R882+Q882</f>
        <v>0</v>
      </c>
      <c r="T882" s="8" t="n">
        <f aca="false">R882-P882</f>
        <v>0</v>
      </c>
    </row>
    <row r="883" customFormat="false" ht="14.25" hidden="false" customHeight="true" outlineLevel="0" collapsed="false">
      <c r="A883" s="6" t="n">
        <v>2022</v>
      </c>
      <c r="B883" s="6" t="s">
        <v>192</v>
      </c>
      <c r="C883" s="6" t="s">
        <v>206</v>
      </c>
      <c r="D883" s="7" t="n">
        <v>1</v>
      </c>
      <c r="E883" s="7" t="n">
        <v>3</v>
      </c>
      <c r="F883" s="7" t="n">
        <v>0</v>
      </c>
      <c r="G883" s="7" t="n">
        <v>0</v>
      </c>
      <c r="H883" s="7" t="n">
        <v>0</v>
      </c>
      <c r="I883" s="7" t="n">
        <v>0</v>
      </c>
      <c r="J883" s="7" t="n">
        <v>0</v>
      </c>
      <c r="K883" s="7" t="n">
        <v>0</v>
      </c>
      <c r="L883" s="7" t="n">
        <v>0</v>
      </c>
      <c r="M883" s="7" t="n">
        <v>1</v>
      </c>
      <c r="N883" s="7" t="n">
        <v>0</v>
      </c>
      <c r="O883" s="7" t="n">
        <v>1</v>
      </c>
      <c r="P883" s="8" t="n">
        <f aca="false">IF(E883=0,0,G883/E883)</f>
        <v>0</v>
      </c>
      <c r="Q883" s="8" t="n">
        <f aca="false">IF(E883+N883=0,0,(G883+N883)/(E883+N883))</f>
        <v>0</v>
      </c>
      <c r="R883" s="8" t="n">
        <f aca="false">IF(E883=0,0,L883/E883)</f>
        <v>0</v>
      </c>
      <c r="S883" s="8" t="n">
        <f aca="false">R883+Q883</f>
        <v>0</v>
      </c>
      <c r="T883" s="8" t="n">
        <f aca="false">R883-P883</f>
        <v>0</v>
      </c>
    </row>
    <row r="884" customFormat="false" ht="14.25" hidden="false" customHeight="true" outlineLevel="0" collapsed="false">
      <c r="A884" s="6" t="n">
        <v>2022</v>
      </c>
      <c r="B884" s="6" t="s">
        <v>192</v>
      </c>
      <c r="C884" s="6" t="s">
        <v>402</v>
      </c>
      <c r="D884" s="7" t="n">
        <v>1</v>
      </c>
      <c r="E884" s="7" t="n">
        <v>2</v>
      </c>
      <c r="F884" s="7" t="n">
        <v>0</v>
      </c>
      <c r="G884" s="7" t="n">
        <v>0</v>
      </c>
      <c r="H884" s="7" t="n">
        <v>0</v>
      </c>
      <c r="I884" s="7" t="n">
        <v>0</v>
      </c>
      <c r="J884" s="7" t="n">
        <v>0</v>
      </c>
      <c r="K884" s="7" t="n">
        <v>0</v>
      </c>
      <c r="L884" s="7" t="n">
        <v>0</v>
      </c>
      <c r="M884" s="7" t="n">
        <v>0</v>
      </c>
      <c r="N884" s="7" t="n">
        <v>0</v>
      </c>
      <c r="O884" s="7" t="n">
        <v>2</v>
      </c>
      <c r="P884" s="8" t="n">
        <f aca="false">IF(E884=0,0,G884/E884)</f>
        <v>0</v>
      </c>
      <c r="Q884" s="8" t="n">
        <f aca="false">IF(E884+N884=0,0,(G884+N884)/(E884+N884))</f>
        <v>0</v>
      </c>
      <c r="R884" s="8" t="n">
        <f aca="false">IF(E884=0,0,L884/E884)</f>
        <v>0</v>
      </c>
      <c r="S884" s="8" t="n">
        <f aca="false">R884+Q884</f>
        <v>0</v>
      </c>
      <c r="T884" s="8" t="n">
        <f aca="false">R884-P884</f>
        <v>0</v>
      </c>
    </row>
    <row r="885" customFormat="false" ht="14.25" hidden="false" customHeight="true" outlineLevel="0" collapsed="false">
      <c r="A885" s="6" t="n">
        <v>2022</v>
      </c>
      <c r="B885" s="6" t="s">
        <v>192</v>
      </c>
      <c r="C885" s="6" t="s">
        <v>403</v>
      </c>
      <c r="D885" s="7" t="n">
        <v>1</v>
      </c>
      <c r="E885" s="7" t="n">
        <v>3</v>
      </c>
      <c r="F885" s="7" t="n">
        <v>0</v>
      </c>
      <c r="G885" s="7" t="n">
        <v>0</v>
      </c>
      <c r="H885" s="7" t="n">
        <v>0</v>
      </c>
      <c r="I885" s="7" t="n">
        <v>0</v>
      </c>
      <c r="J885" s="7" t="n">
        <v>0</v>
      </c>
      <c r="K885" s="7" t="n">
        <v>0</v>
      </c>
      <c r="L885" s="7" t="n">
        <v>0</v>
      </c>
      <c r="M885" s="7" t="n">
        <v>0</v>
      </c>
      <c r="N885" s="7" t="n">
        <v>0</v>
      </c>
      <c r="O885" s="7" t="n">
        <v>0</v>
      </c>
      <c r="P885" s="8" t="n">
        <f aca="false">IF(E885=0,0,G885/E885)</f>
        <v>0</v>
      </c>
      <c r="Q885" s="8" t="n">
        <f aca="false">IF(E885+N885=0,0,(G885+N885)/(E885+N885))</f>
        <v>0</v>
      </c>
      <c r="R885" s="8" t="n">
        <f aca="false">IF(E885=0,0,L885/E885)</f>
        <v>0</v>
      </c>
      <c r="S885" s="8" t="n">
        <f aca="false">R885+Q885</f>
        <v>0</v>
      </c>
      <c r="T885" s="8" t="n">
        <f aca="false">R885-P885</f>
        <v>0</v>
      </c>
    </row>
    <row r="886" customFormat="false" ht="14.25" hidden="false" customHeight="true" outlineLevel="0" collapsed="false">
      <c r="A886" s="6" t="n">
        <v>2022</v>
      </c>
      <c r="B886" s="6" t="s">
        <v>192</v>
      </c>
      <c r="C886" s="6" t="s">
        <v>404</v>
      </c>
      <c r="D886" s="7" t="n">
        <v>1</v>
      </c>
      <c r="E886" s="7" t="n">
        <v>3</v>
      </c>
      <c r="F886" s="7" t="n">
        <v>0</v>
      </c>
      <c r="G886" s="7" t="n">
        <v>0</v>
      </c>
      <c r="H886" s="7" t="n">
        <v>0</v>
      </c>
      <c r="I886" s="7" t="n">
        <v>0</v>
      </c>
      <c r="J886" s="7" t="n">
        <v>0</v>
      </c>
      <c r="K886" s="7" t="n">
        <v>0</v>
      </c>
      <c r="L886" s="7" t="n">
        <v>0</v>
      </c>
      <c r="M886" s="7" t="n">
        <v>0</v>
      </c>
      <c r="N886" s="7" t="n">
        <v>0</v>
      </c>
      <c r="O886" s="7" t="n">
        <v>0</v>
      </c>
      <c r="P886" s="8" t="n">
        <f aca="false">IF(E886=0,0,G886/E886)</f>
        <v>0</v>
      </c>
      <c r="Q886" s="8" t="n">
        <f aca="false">IF(E886+N886=0,0,(G886+N886)/(E886+N886))</f>
        <v>0</v>
      </c>
      <c r="R886" s="8" t="n">
        <f aca="false">IF(E886=0,0,L886/E886)</f>
        <v>0</v>
      </c>
      <c r="S886" s="8" t="n">
        <f aca="false">R886+Q886</f>
        <v>0</v>
      </c>
      <c r="T886" s="8" t="n">
        <f aca="false">R886-P886</f>
        <v>0</v>
      </c>
    </row>
    <row r="887" customFormat="false" ht="14.25" hidden="false" customHeight="true" outlineLevel="0" collapsed="false">
      <c r="A887" s="6" t="n">
        <v>2022</v>
      </c>
      <c r="B887" s="6" t="s">
        <v>192</v>
      </c>
      <c r="C887" s="6" t="s">
        <v>405</v>
      </c>
      <c r="D887" s="7" t="n">
        <v>1</v>
      </c>
      <c r="E887" s="7" t="n">
        <v>2</v>
      </c>
      <c r="F887" s="7" t="n">
        <v>0</v>
      </c>
      <c r="G887" s="7" t="n">
        <v>0</v>
      </c>
      <c r="H887" s="7" t="n">
        <v>0</v>
      </c>
      <c r="I887" s="7" t="n">
        <v>0</v>
      </c>
      <c r="J887" s="7" t="n">
        <v>0</v>
      </c>
      <c r="K887" s="7" t="n">
        <v>0</v>
      </c>
      <c r="L887" s="7" t="n">
        <v>0</v>
      </c>
      <c r="M887" s="7" t="n">
        <v>0</v>
      </c>
      <c r="N887" s="7" t="n">
        <v>0</v>
      </c>
      <c r="O887" s="7" t="n">
        <v>0</v>
      </c>
      <c r="P887" s="8" t="n">
        <f aca="false">IF(E887=0,0,G887/E887)</f>
        <v>0</v>
      </c>
      <c r="Q887" s="8" t="n">
        <f aca="false">IF(E887+N887=0,0,(G887+N887)/(E887+N887))</f>
        <v>0</v>
      </c>
      <c r="R887" s="8" t="n">
        <f aca="false">IF(E887=0,0,L887/E887)</f>
        <v>0</v>
      </c>
      <c r="S887" s="8" t="n">
        <f aca="false">R887+Q887</f>
        <v>0</v>
      </c>
      <c r="T887" s="8" t="n">
        <f aca="false">R887-P887</f>
        <v>0</v>
      </c>
    </row>
    <row r="888" customFormat="false" ht="14.25" hidden="false" customHeight="true" outlineLevel="0" collapsed="false">
      <c r="A888" s="6" t="n">
        <v>2022</v>
      </c>
      <c r="B888" s="6" t="s">
        <v>212</v>
      </c>
      <c r="C888" s="6" t="s">
        <v>213</v>
      </c>
      <c r="D888" s="7" t="n">
        <v>14</v>
      </c>
      <c r="E888" s="7" t="n">
        <v>43</v>
      </c>
      <c r="F888" s="7" t="n">
        <v>14</v>
      </c>
      <c r="G888" s="7" t="n">
        <v>19</v>
      </c>
      <c r="H888" s="7" t="n">
        <v>7</v>
      </c>
      <c r="I888" s="7" t="n">
        <v>1</v>
      </c>
      <c r="J888" s="7" t="n">
        <v>1</v>
      </c>
      <c r="K888" s="7" t="n">
        <v>9</v>
      </c>
      <c r="L888" s="7" t="n">
        <v>31</v>
      </c>
      <c r="M888" s="7" t="n">
        <v>10</v>
      </c>
      <c r="N888" s="7" t="n">
        <v>3</v>
      </c>
      <c r="O888" s="7" t="n">
        <v>3</v>
      </c>
      <c r="P888" s="8" t="n">
        <f aca="false">IF(E888=0,0,G888/E888)</f>
        <v>0.441860465116279</v>
      </c>
      <c r="Q888" s="8" t="n">
        <f aca="false">IF(E888+N888=0,0,(G888+N888)/(E888+N888))</f>
        <v>0.478260869565217</v>
      </c>
      <c r="R888" s="8" t="n">
        <f aca="false">IF(E888=0,0,L888/E888)</f>
        <v>0.72093023255814</v>
      </c>
      <c r="S888" s="8" t="n">
        <f aca="false">R888+Q888</f>
        <v>1.19919110212336</v>
      </c>
      <c r="T888" s="8" t="n">
        <f aca="false">R888-P888</f>
        <v>0.27906976744186</v>
      </c>
    </row>
    <row r="889" customFormat="false" ht="14.25" hidden="false" customHeight="true" outlineLevel="0" collapsed="false">
      <c r="A889" s="6" t="n">
        <v>2022</v>
      </c>
      <c r="B889" s="6" t="s">
        <v>212</v>
      </c>
      <c r="C889" s="6" t="s">
        <v>85</v>
      </c>
      <c r="D889" s="7" t="n">
        <v>13</v>
      </c>
      <c r="E889" s="7" t="n">
        <v>40</v>
      </c>
      <c r="F889" s="7" t="n">
        <v>11</v>
      </c>
      <c r="G889" s="7" t="n">
        <v>16</v>
      </c>
      <c r="H889" s="7" t="n">
        <v>5</v>
      </c>
      <c r="I889" s="7" t="n">
        <v>1</v>
      </c>
      <c r="J889" s="7" t="n">
        <v>0</v>
      </c>
      <c r="K889" s="7" t="n">
        <v>6</v>
      </c>
      <c r="L889" s="7" t="n">
        <v>23</v>
      </c>
      <c r="M889" s="7" t="n">
        <v>11</v>
      </c>
      <c r="N889" s="7" t="n">
        <v>1</v>
      </c>
      <c r="O889" s="7" t="n">
        <v>0</v>
      </c>
      <c r="P889" s="8" t="n">
        <f aca="false">IF(E889=0,0,G889/E889)</f>
        <v>0.4</v>
      </c>
      <c r="Q889" s="8" t="n">
        <f aca="false">IF(E889+N889=0,0,(G889+N889)/(E889+N889))</f>
        <v>0.414634146341463</v>
      </c>
      <c r="R889" s="8" t="n">
        <f aca="false">IF(E889=0,0,L889/E889)</f>
        <v>0.575</v>
      </c>
      <c r="S889" s="8" t="n">
        <f aca="false">R889+Q889</f>
        <v>0.989634146341463</v>
      </c>
      <c r="T889" s="8" t="n">
        <f aca="false">R889-P889</f>
        <v>0.175</v>
      </c>
    </row>
    <row r="890" customFormat="false" ht="14.25" hidden="false" customHeight="true" outlineLevel="0" collapsed="false">
      <c r="A890" s="6" t="n">
        <v>2022</v>
      </c>
      <c r="B890" s="6" t="s">
        <v>212</v>
      </c>
      <c r="C890" s="6" t="s">
        <v>214</v>
      </c>
      <c r="D890" s="7" t="n">
        <v>12</v>
      </c>
      <c r="E890" s="7" t="n">
        <v>32</v>
      </c>
      <c r="F890" s="7" t="n">
        <v>11</v>
      </c>
      <c r="G890" s="7" t="n">
        <v>14</v>
      </c>
      <c r="H890" s="7" t="n">
        <v>4</v>
      </c>
      <c r="I890" s="7" t="n">
        <v>0</v>
      </c>
      <c r="J890" s="7" t="n">
        <v>4</v>
      </c>
      <c r="K890" s="7" t="n">
        <v>8</v>
      </c>
      <c r="L890" s="7" t="n">
        <v>30</v>
      </c>
      <c r="M890" s="7" t="n">
        <v>13</v>
      </c>
      <c r="N890" s="7" t="n">
        <v>8</v>
      </c>
      <c r="O890" s="7" t="n">
        <v>1</v>
      </c>
      <c r="P890" s="8" t="n">
        <f aca="false">IF(E890=0,0,G890/E890)</f>
        <v>0.4375</v>
      </c>
      <c r="Q890" s="8" t="n">
        <f aca="false">IF(E890+N890=0,0,(G890+N890)/(E890+N890))</f>
        <v>0.55</v>
      </c>
      <c r="R890" s="8" t="n">
        <f aca="false">IF(E890=0,0,L890/E890)</f>
        <v>0.9375</v>
      </c>
      <c r="S890" s="8" t="n">
        <f aca="false">R890+Q890</f>
        <v>1.4875</v>
      </c>
      <c r="T890" s="8" t="n">
        <f aca="false">R890-P890</f>
        <v>0.5</v>
      </c>
    </row>
    <row r="891" customFormat="false" ht="14.25" hidden="false" customHeight="true" outlineLevel="0" collapsed="false">
      <c r="A891" s="6" t="n">
        <v>2022</v>
      </c>
      <c r="B891" s="6" t="s">
        <v>212</v>
      </c>
      <c r="C891" s="6" t="s">
        <v>232</v>
      </c>
      <c r="D891" s="7" t="n">
        <v>11</v>
      </c>
      <c r="E891" s="7" t="n">
        <v>35</v>
      </c>
      <c r="F891" s="7" t="n">
        <v>10</v>
      </c>
      <c r="G891" s="7" t="n">
        <v>12</v>
      </c>
      <c r="H891" s="7" t="n">
        <v>3</v>
      </c>
      <c r="I891" s="7" t="n">
        <v>1</v>
      </c>
      <c r="J891" s="7" t="n">
        <v>3</v>
      </c>
      <c r="K891" s="7" t="n">
        <v>7</v>
      </c>
      <c r="L891" s="7" t="n">
        <v>26</v>
      </c>
      <c r="M891" s="7" t="n">
        <v>8</v>
      </c>
      <c r="N891" s="7" t="n">
        <v>3</v>
      </c>
      <c r="O891" s="7" t="n">
        <v>5</v>
      </c>
      <c r="P891" s="8" t="n">
        <f aca="false">IF(E891=0,0,G891/E891)</f>
        <v>0.342857142857143</v>
      </c>
      <c r="Q891" s="8" t="n">
        <f aca="false">IF(E891+N891=0,0,(G891+N891)/(E891+N891))</f>
        <v>0.394736842105263</v>
      </c>
      <c r="R891" s="8" t="n">
        <f aca="false">IF(E891=0,0,L891/E891)</f>
        <v>0.742857142857143</v>
      </c>
      <c r="S891" s="8" t="n">
        <f aca="false">R891+Q891</f>
        <v>1.13759398496241</v>
      </c>
      <c r="T891" s="8" t="n">
        <f aca="false">R891-P891</f>
        <v>0.4</v>
      </c>
    </row>
    <row r="892" customFormat="false" ht="14.25" hidden="false" customHeight="true" outlineLevel="0" collapsed="false">
      <c r="A892" s="6" t="n">
        <v>2022</v>
      </c>
      <c r="B892" s="6" t="s">
        <v>212</v>
      </c>
      <c r="C892" s="6" t="s">
        <v>215</v>
      </c>
      <c r="D892" s="7" t="n">
        <v>10</v>
      </c>
      <c r="E892" s="7" t="n">
        <v>30</v>
      </c>
      <c r="F892" s="7" t="n">
        <v>1</v>
      </c>
      <c r="G892" s="7" t="n">
        <v>10</v>
      </c>
      <c r="H892" s="7" t="n">
        <v>1</v>
      </c>
      <c r="I892" s="7" t="n">
        <v>0</v>
      </c>
      <c r="J892" s="7" t="n">
        <v>1</v>
      </c>
      <c r="K892" s="7" t="n">
        <v>2</v>
      </c>
      <c r="L892" s="7" t="n">
        <v>14</v>
      </c>
      <c r="M892" s="7" t="n">
        <v>8</v>
      </c>
      <c r="N892" s="7" t="n">
        <v>2</v>
      </c>
      <c r="O892" s="7" t="n">
        <v>3</v>
      </c>
      <c r="P892" s="8" t="n">
        <f aca="false">IF(E892=0,0,G892/E892)</f>
        <v>0.333333333333333</v>
      </c>
      <c r="Q892" s="8" t="n">
        <f aca="false">IF(E892+N892=0,0,(G892+N892)/(E892+N892))</f>
        <v>0.375</v>
      </c>
      <c r="R892" s="8" t="n">
        <f aca="false">IF(E892=0,0,L892/E892)</f>
        <v>0.466666666666667</v>
      </c>
      <c r="S892" s="8" t="n">
        <f aca="false">R892+Q892</f>
        <v>0.841666666666667</v>
      </c>
      <c r="T892" s="8" t="n">
        <f aca="false">R892-P892</f>
        <v>0.133333333333333</v>
      </c>
    </row>
    <row r="893" customFormat="false" ht="14.25" hidden="false" customHeight="true" outlineLevel="0" collapsed="false">
      <c r="A893" s="6" t="n">
        <v>2022</v>
      </c>
      <c r="B893" s="6" t="s">
        <v>212</v>
      </c>
      <c r="C893" s="6" t="s">
        <v>226</v>
      </c>
      <c r="D893" s="7" t="n">
        <v>9</v>
      </c>
      <c r="E893" s="7" t="n">
        <v>24</v>
      </c>
      <c r="F893" s="7" t="n">
        <v>4</v>
      </c>
      <c r="G893" s="7" t="n">
        <v>8</v>
      </c>
      <c r="H893" s="7" t="n">
        <v>3</v>
      </c>
      <c r="I893" s="7" t="n">
        <v>0</v>
      </c>
      <c r="J893" s="7" t="n">
        <v>0</v>
      </c>
      <c r="K893" s="7" t="n">
        <v>3</v>
      </c>
      <c r="L893" s="7" t="n">
        <v>11</v>
      </c>
      <c r="M893" s="7" t="n">
        <v>2</v>
      </c>
      <c r="N893" s="7" t="n">
        <v>4</v>
      </c>
      <c r="O893" s="7" t="n">
        <v>1</v>
      </c>
      <c r="P893" s="8" t="n">
        <f aca="false">IF(E893=0,0,G893/E893)</f>
        <v>0.333333333333333</v>
      </c>
      <c r="Q893" s="8" t="n">
        <f aca="false">IF(E893+N893=0,0,(G893+N893)/(E893+N893))</f>
        <v>0.428571428571429</v>
      </c>
      <c r="R893" s="8" t="n">
        <f aca="false">IF(E893=0,0,L893/E893)</f>
        <v>0.458333333333333</v>
      </c>
      <c r="S893" s="8" t="n">
        <f aca="false">R893+Q893</f>
        <v>0.886904761904762</v>
      </c>
      <c r="T893" s="8" t="n">
        <f aca="false">R893-P893</f>
        <v>0.125</v>
      </c>
    </row>
    <row r="894" customFormat="false" ht="14.25" hidden="false" customHeight="true" outlineLevel="0" collapsed="false">
      <c r="A894" s="6" t="n">
        <v>2022</v>
      </c>
      <c r="B894" s="6" t="s">
        <v>212</v>
      </c>
      <c r="C894" s="6" t="s">
        <v>222</v>
      </c>
      <c r="D894" s="7" t="n">
        <v>11</v>
      </c>
      <c r="E894" s="7" t="n">
        <v>31</v>
      </c>
      <c r="F894" s="7" t="n">
        <v>3</v>
      </c>
      <c r="G894" s="7" t="n">
        <v>6</v>
      </c>
      <c r="H894" s="7" t="n">
        <v>1</v>
      </c>
      <c r="I894" s="7" t="n">
        <v>0</v>
      </c>
      <c r="J894" s="7" t="n">
        <v>0</v>
      </c>
      <c r="K894" s="7" t="n">
        <v>1</v>
      </c>
      <c r="L894" s="7" t="n">
        <v>7</v>
      </c>
      <c r="M894" s="7" t="n">
        <v>2</v>
      </c>
      <c r="N894" s="7" t="n">
        <v>3</v>
      </c>
      <c r="O894" s="7" t="n">
        <v>1</v>
      </c>
      <c r="P894" s="8" t="n">
        <f aca="false">IF(E894=0,0,G894/E894)</f>
        <v>0.193548387096774</v>
      </c>
      <c r="Q894" s="8" t="n">
        <f aca="false">IF(E894+N894=0,0,(G894+N894)/(E894+N894))</f>
        <v>0.264705882352941</v>
      </c>
      <c r="R894" s="8" t="n">
        <f aca="false">IF(E894=0,0,L894/E894)</f>
        <v>0.225806451612903</v>
      </c>
      <c r="S894" s="8" t="n">
        <f aca="false">R894+Q894</f>
        <v>0.490512333965844</v>
      </c>
      <c r="T894" s="8" t="n">
        <f aca="false">R894-P894</f>
        <v>0.032258064516129</v>
      </c>
    </row>
    <row r="895" customFormat="false" ht="14.25" hidden="false" customHeight="true" outlineLevel="0" collapsed="false">
      <c r="A895" s="6" t="n">
        <v>2022</v>
      </c>
      <c r="B895" s="6" t="s">
        <v>212</v>
      </c>
      <c r="C895" s="6" t="s">
        <v>363</v>
      </c>
      <c r="D895" s="7" t="n">
        <v>8</v>
      </c>
      <c r="E895" s="7" t="n">
        <v>20</v>
      </c>
      <c r="F895" s="7" t="n">
        <v>5</v>
      </c>
      <c r="G895" s="7" t="n">
        <v>6</v>
      </c>
      <c r="H895" s="7" t="n">
        <v>1</v>
      </c>
      <c r="I895" s="7" t="n">
        <v>0</v>
      </c>
      <c r="J895" s="7" t="n">
        <v>0</v>
      </c>
      <c r="K895" s="7" t="n">
        <v>1</v>
      </c>
      <c r="L895" s="7" t="n">
        <v>7</v>
      </c>
      <c r="M895" s="7" t="n">
        <v>0</v>
      </c>
      <c r="N895" s="7" t="n">
        <v>1</v>
      </c>
      <c r="O895" s="7" t="n">
        <v>0</v>
      </c>
      <c r="P895" s="8" t="n">
        <f aca="false">IF(E895=0,0,G895/E895)</f>
        <v>0.3</v>
      </c>
      <c r="Q895" s="8" t="n">
        <f aca="false">IF(E895+N895=0,0,(G895+N895)/(E895+N895))</f>
        <v>0.333333333333333</v>
      </c>
      <c r="R895" s="8" t="n">
        <f aca="false">IF(E895=0,0,L895/E895)</f>
        <v>0.35</v>
      </c>
      <c r="S895" s="8" t="n">
        <f aca="false">R895+Q895</f>
        <v>0.683333333333333</v>
      </c>
      <c r="T895" s="8" t="n">
        <f aca="false">R895-P895</f>
        <v>0.05</v>
      </c>
    </row>
    <row r="896" customFormat="false" ht="14.25" hidden="false" customHeight="true" outlineLevel="0" collapsed="false">
      <c r="A896" s="6" t="n">
        <v>2022</v>
      </c>
      <c r="B896" s="6" t="s">
        <v>212</v>
      </c>
      <c r="C896" s="6" t="s">
        <v>216</v>
      </c>
      <c r="D896" s="7" t="n">
        <v>11</v>
      </c>
      <c r="E896" s="7" t="n">
        <v>29</v>
      </c>
      <c r="F896" s="7" t="n">
        <v>3</v>
      </c>
      <c r="G896" s="7" t="n">
        <v>5</v>
      </c>
      <c r="H896" s="7" t="n">
        <v>1</v>
      </c>
      <c r="I896" s="7" t="n">
        <v>0</v>
      </c>
      <c r="J896" s="7" t="n">
        <v>0</v>
      </c>
      <c r="K896" s="7" t="n">
        <v>1</v>
      </c>
      <c r="L896" s="7" t="n">
        <v>6</v>
      </c>
      <c r="M896" s="7" t="n">
        <v>3</v>
      </c>
      <c r="N896" s="7" t="n">
        <v>3</v>
      </c>
      <c r="O896" s="7" t="n">
        <v>5</v>
      </c>
      <c r="P896" s="8" t="n">
        <f aca="false">IF(E896=0,0,G896/E896)</f>
        <v>0.172413793103448</v>
      </c>
      <c r="Q896" s="8" t="n">
        <f aca="false">IF(E896+N896=0,0,(G896+N896)/(E896+N896))</f>
        <v>0.25</v>
      </c>
      <c r="R896" s="8" t="n">
        <f aca="false">IF(E896=0,0,L896/E896)</f>
        <v>0.206896551724138</v>
      </c>
      <c r="S896" s="8" t="n">
        <f aca="false">R896+Q896</f>
        <v>0.456896551724138</v>
      </c>
      <c r="T896" s="8" t="n">
        <f aca="false">R896-P896</f>
        <v>0.0344827586206896</v>
      </c>
    </row>
    <row r="897" customFormat="false" ht="14.25" hidden="false" customHeight="true" outlineLevel="0" collapsed="false">
      <c r="A897" s="6" t="n">
        <v>2022</v>
      </c>
      <c r="B897" s="6" t="s">
        <v>212</v>
      </c>
      <c r="C897" s="6" t="s">
        <v>225</v>
      </c>
      <c r="D897" s="7" t="n">
        <v>7</v>
      </c>
      <c r="E897" s="7" t="n">
        <v>16</v>
      </c>
      <c r="F897" s="7" t="n">
        <v>3</v>
      </c>
      <c r="G897" s="7" t="n">
        <v>5</v>
      </c>
      <c r="H897" s="7" t="n">
        <v>0</v>
      </c>
      <c r="I897" s="7" t="n">
        <v>0</v>
      </c>
      <c r="J897" s="7" t="n">
        <v>0</v>
      </c>
      <c r="K897" s="7" t="n">
        <v>0</v>
      </c>
      <c r="L897" s="7" t="n">
        <v>5</v>
      </c>
      <c r="M897" s="7" t="n">
        <v>4</v>
      </c>
      <c r="N897" s="7" t="n">
        <v>4</v>
      </c>
      <c r="O897" s="7" t="n">
        <v>2</v>
      </c>
      <c r="P897" s="8" t="n">
        <f aca="false">IF(E897=0,0,G897/E897)</f>
        <v>0.3125</v>
      </c>
      <c r="Q897" s="8" t="n">
        <f aca="false">IF(E897+N897=0,0,(G897+N897)/(E897+N897))</f>
        <v>0.45</v>
      </c>
      <c r="R897" s="8" t="n">
        <f aca="false">IF(E897=0,0,L897/E897)</f>
        <v>0.3125</v>
      </c>
      <c r="S897" s="8" t="n">
        <f aca="false">R897+Q897</f>
        <v>0.7625</v>
      </c>
      <c r="T897" s="8" t="n">
        <f aca="false">R897-P897</f>
        <v>0</v>
      </c>
    </row>
    <row r="898" customFormat="false" ht="14.25" hidden="false" customHeight="true" outlineLevel="0" collapsed="false">
      <c r="A898" s="6" t="n">
        <v>2022</v>
      </c>
      <c r="B898" s="6" t="s">
        <v>212</v>
      </c>
      <c r="C898" s="6" t="s">
        <v>219</v>
      </c>
      <c r="D898" s="7" t="n">
        <v>9</v>
      </c>
      <c r="E898" s="7" t="n">
        <v>22</v>
      </c>
      <c r="F898" s="7" t="n">
        <v>1</v>
      </c>
      <c r="G898" s="7" t="n">
        <v>4</v>
      </c>
      <c r="H898" s="7" t="n">
        <v>0</v>
      </c>
      <c r="I898" s="7" t="n">
        <v>0</v>
      </c>
      <c r="J898" s="7" t="n">
        <v>0</v>
      </c>
      <c r="K898" s="7" t="n">
        <v>0</v>
      </c>
      <c r="L898" s="7" t="n">
        <v>4</v>
      </c>
      <c r="M898" s="7" t="n">
        <v>1</v>
      </c>
      <c r="N898" s="7" t="n">
        <v>1</v>
      </c>
      <c r="O898" s="7" t="n">
        <v>0</v>
      </c>
      <c r="P898" s="8" t="n">
        <f aca="false">IF(E898=0,0,G898/E898)</f>
        <v>0.181818181818182</v>
      </c>
      <c r="Q898" s="8" t="n">
        <f aca="false">IF(E898+N898=0,0,(G898+N898)/(E898+N898))</f>
        <v>0.217391304347826</v>
      </c>
      <c r="R898" s="8" t="n">
        <f aca="false">IF(E898=0,0,L898/E898)</f>
        <v>0.181818181818182</v>
      </c>
      <c r="S898" s="8" t="n">
        <f aca="false">R898+Q898</f>
        <v>0.399209486166008</v>
      </c>
      <c r="T898" s="8" t="n">
        <f aca="false">R898-P898</f>
        <v>0</v>
      </c>
    </row>
    <row r="899" customFormat="false" ht="14.25" hidden="false" customHeight="true" outlineLevel="0" collapsed="false">
      <c r="A899" s="6" t="n">
        <v>2022</v>
      </c>
      <c r="B899" s="6" t="s">
        <v>212</v>
      </c>
      <c r="C899" s="6" t="s">
        <v>231</v>
      </c>
      <c r="D899" s="7" t="n">
        <v>10</v>
      </c>
      <c r="E899" s="7" t="n">
        <v>23</v>
      </c>
      <c r="F899" s="7" t="n">
        <v>3</v>
      </c>
      <c r="G899" s="7" t="n">
        <v>3</v>
      </c>
      <c r="H899" s="7" t="n">
        <v>0</v>
      </c>
      <c r="I899" s="7" t="n">
        <v>0</v>
      </c>
      <c r="J899" s="7" t="n">
        <v>0</v>
      </c>
      <c r="K899" s="7" t="n">
        <v>0</v>
      </c>
      <c r="L899" s="7" t="n">
        <v>3</v>
      </c>
      <c r="M899" s="7" t="n">
        <v>2</v>
      </c>
      <c r="N899" s="7" t="n">
        <v>3</v>
      </c>
      <c r="O899" s="7" t="n">
        <v>6</v>
      </c>
      <c r="P899" s="8" t="n">
        <f aca="false">IF(E899=0,0,G899/E899)</f>
        <v>0.130434782608696</v>
      </c>
      <c r="Q899" s="8" t="n">
        <f aca="false">IF(E899+N899=0,0,(G899+N899)/(E899+N899))</f>
        <v>0.230769230769231</v>
      </c>
      <c r="R899" s="8" t="n">
        <f aca="false">IF(E899=0,0,L899/E899)</f>
        <v>0.130434782608696</v>
      </c>
      <c r="S899" s="8" t="n">
        <f aca="false">R899+Q899</f>
        <v>0.361204013377926</v>
      </c>
      <c r="T899" s="8" t="n">
        <f aca="false">R899-P899</f>
        <v>0</v>
      </c>
    </row>
    <row r="900" customFormat="false" ht="14.25" hidden="false" customHeight="true" outlineLevel="0" collapsed="false">
      <c r="A900" s="6" t="n">
        <v>2022</v>
      </c>
      <c r="B900" s="6" t="s">
        <v>212</v>
      </c>
      <c r="C900" s="6" t="s">
        <v>233</v>
      </c>
      <c r="D900" s="7" t="n">
        <v>6</v>
      </c>
      <c r="E900" s="7" t="n">
        <v>12</v>
      </c>
      <c r="F900" s="7" t="n">
        <v>2</v>
      </c>
      <c r="G900" s="7" t="n">
        <v>2</v>
      </c>
      <c r="H900" s="7" t="n">
        <v>0</v>
      </c>
      <c r="I900" s="7" t="n">
        <v>0</v>
      </c>
      <c r="J900" s="7" t="n">
        <v>0</v>
      </c>
      <c r="K900" s="7" t="n">
        <v>0</v>
      </c>
      <c r="L900" s="7" t="n">
        <v>2</v>
      </c>
      <c r="M900" s="7" t="n">
        <v>0</v>
      </c>
      <c r="N900" s="7" t="n">
        <v>2</v>
      </c>
      <c r="O900" s="7" t="n">
        <v>1</v>
      </c>
      <c r="P900" s="8" t="n">
        <f aca="false">IF(E900=0,0,G900/E900)</f>
        <v>0.166666666666667</v>
      </c>
      <c r="Q900" s="8" t="n">
        <f aca="false">IF(E900+N900=0,0,(G900+N900)/(E900+N900))</f>
        <v>0.285714285714286</v>
      </c>
      <c r="R900" s="8" t="n">
        <f aca="false">IF(E900=0,0,L900/E900)</f>
        <v>0.166666666666667</v>
      </c>
      <c r="S900" s="8" t="n">
        <f aca="false">R900+Q900</f>
        <v>0.452380952380952</v>
      </c>
      <c r="T900" s="8" t="n">
        <f aca="false">R900-P900</f>
        <v>0</v>
      </c>
    </row>
    <row r="901" customFormat="false" ht="14.25" hidden="false" customHeight="true" outlineLevel="0" collapsed="false">
      <c r="A901" s="6" t="n">
        <v>2022</v>
      </c>
      <c r="B901" s="6" t="s">
        <v>212</v>
      </c>
      <c r="C901" s="6" t="s">
        <v>406</v>
      </c>
      <c r="D901" s="7" t="n">
        <v>1</v>
      </c>
      <c r="E901" s="7" t="n">
        <v>3</v>
      </c>
      <c r="F901" s="7" t="n">
        <v>0</v>
      </c>
      <c r="G901" s="7" t="n">
        <v>1</v>
      </c>
      <c r="H901" s="7" t="n">
        <v>0</v>
      </c>
      <c r="I901" s="7" t="n">
        <v>0</v>
      </c>
      <c r="J901" s="7" t="n">
        <v>0</v>
      </c>
      <c r="K901" s="7" t="n">
        <v>0</v>
      </c>
      <c r="L901" s="7" t="n">
        <v>1</v>
      </c>
      <c r="M901" s="7" t="n">
        <v>0</v>
      </c>
      <c r="N901" s="7" t="n">
        <v>0</v>
      </c>
      <c r="O901" s="7" t="n">
        <v>1</v>
      </c>
      <c r="P901" s="8" t="n">
        <f aca="false">IF(E901=0,0,G901/E901)</f>
        <v>0.333333333333333</v>
      </c>
      <c r="Q901" s="8" t="n">
        <f aca="false">IF(E901+N901=0,0,(G901+N901)/(E901+N901))</f>
        <v>0.333333333333333</v>
      </c>
      <c r="R901" s="8" t="n">
        <f aca="false">IF(E901=0,0,L901/E901)</f>
        <v>0.333333333333333</v>
      </c>
      <c r="S901" s="8" t="n">
        <f aca="false">R901+Q901</f>
        <v>0.666666666666667</v>
      </c>
      <c r="T901" s="8" t="n">
        <f aca="false">R901-P901</f>
        <v>0</v>
      </c>
    </row>
    <row r="902" customFormat="false" ht="14.25" hidden="false" customHeight="true" outlineLevel="0" collapsed="false">
      <c r="A902" s="6" t="n">
        <v>2022</v>
      </c>
      <c r="B902" s="6" t="s">
        <v>212</v>
      </c>
      <c r="C902" s="6" t="s">
        <v>75</v>
      </c>
      <c r="D902" s="7" t="n">
        <v>1</v>
      </c>
      <c r="E902" s="7" t="n">
        <v>3</v>
      </c>
      <c r="F902" s="7" t="n">
        <v>1</v>
      </c>
      <c r="G902" s="7" t="n">
        <v>1</v>
      </c>
      <c r="H902" s="7" t="n">
        <v>0</v>
      </c>
      <c r="I902" s="7" t="n">
        <v>0</v>
      </c>
      <c r="J902" s="7" t="n">
        <v>0</v>
      </c>
      <c r="K902" s="7" t="n">
        <v>0</v>
      </c>
      <c r="L902" s="7" t="n">
        <v>1</v>
      </c>
      <c r="M902" s="7" t="n">
        <v>0</v>
      </c>
      <c r="N902" s="7" t="n">
        <v>0</v>
      </c>
      <c r="O902" s="7" t="n">
        <v>0</v>
      </c>
      <c r="P902" s="8" t="n">
        <f aca="false">IF(E902=0,0,G902/E902)</f>
        <v>0.333333333333333</v>
      </c>
      <c r="Q902" s="8" t="n">
        <f aca="false">IF(E902+N902=0,0,(G902+N902)/(E902+N902))</f>
        <v>0.333333333333333</v>
      </c>
      <c r="R902" s="8" t="n">
        <f aca="false">IF(E902=0,0,L902/E902)</f>
        <v>0.333333333333333</v>
      </c>
      <c r="S902" s="8" t="n">
        <f aca="false">R902+Q902</f>
        <v>0.666666666666667</v>
      </c>
      <c r="T902" s="8" t="n">
        <f aca="false">R902-P902</f>
        <v>0</v>
      </c>
    </row>
    <row r="903" customFormat="false" ht="14.25" hidden="false" customHeight="true" outlineLevel="0" collapsed="false">
      <c r="A903" s="6" t="n">
        <v>2022</v>
      </c>
      <c r="B903" s="6" t="s">
        <v>212</v>
      </c>
      <c r="C903" s="6" t="s">
        <v>407</v>
      </c>
      <c r="D903" s="7" t="n">
        <v>1</v>
      </c>
      <c r="E903" s="7" t="n">
        <v>3</v>
      </c>
      <c r="F903" s="7" t="n">
        <v>0</v>
      </c>
      <c r="G903" s="7" t="n">
        <v>1</v>
      </c>
      <c r="H903" s="7" t="n">
        <v>0</v>
      </c>
      <c r="I903" s="7" t="n">
        <v>0</v>
      </c>
      <c r="J903" s="7" t="n">
        <v>0</v>
      </c>
      <c r="K903" s="7" t="n">
        <v>0</v>
      </c>
      <c r="L903" s="7" t="n">
        <v>1</v>
      </c>
      <c r="M903" s="7" t="n">
        <v>0</v>
      </c>
      <c r="N903" s="7" t="n">
        <v>0</v>
      </c>
      <c r="O903" s="7" t="n">
        <v>0</v>
      </c>
      <c r="P903" s="8" t="n">
        <f aca="false">IF(E903=0,0,G903/E903)</f>
        <v>0.333333333333333</v>
      </c>
      <c r="Q903" s="8" t="n">
        <f aca="false">IF(E903+N903=0,0,(G903+N903)/(E903+N903))</f>
        <v>0.333333333333333</v>
      </c>
      <c r="R903" s="8" t="n">
        <f aca="false">IF(E903=0,0,L903/E903)</f>
        <v>0.333333333333333</v>
      </c>
      <c r="S903" s="8" t="n">
        <f aca="false">R903+Q903</f>
        <v>0.666666666666667</v>
      </c>
      <c r="T903" s="8" t="n">
        <f aca="false">R903-P903</f>
        <v>0</v>
      </c>
    </row>
    <row r="904" customFormat="false" ht="14.25" hidden="false" customHeight="true" outlineLevel="0" collapsed="false">
      <c r="A904" s="6" t="n">
        <v>2022</v>
      </c>
      <c r="B904" s="6" t="s">
        <v>212</v>
      </c>
      <c r="C904" s="6" t="s">
        <v>364</v>
      </c>
      <c r="D904" s="7" t="n">
        <v>6</v>
      </c>
      <c r="E904" s="7" t="n">
        <v>14</v>
      </c>
      <c r="F904" s="7" t="n">
        <v>0</v>
      </c>
      <c r="G904" s="7" t="n">
        <v>0</v>
      </c>
      <c r="H904" s="7" t="n">
        <v>0</v>
      </c>
      <c r="I904" s="7" t="n">
        <v>0</v>
      </c>
      <c r="J904" s="7" t="n">
        <v>0</v>
      </c>
      <c r="K904" s="7" t="n">
        <v>0</v>
      </c>
      <c r="L904" s="7" t="n">
        <v>0</v>
      </c>
      <c r="M904" s="7" t="n">
        <v>0</v>
      </c>
      <c r="N904" s="7" t="n">
        <v>0</v>
      </c>
      <c r="O904" s="7" t="n">
        <v>0</v>
      </c>
      <c r="P904" s="8" t="n">
        <f aca="false">IF(E904=0,0,G904/E904)</f>
        <v>0</v>
      </c>
      <c r="Q904" s="8" t="n">
        <f aca="false">IF(E904+N904=0,0,(G904+N904)/(E904+N904))</f>
        <v>0</v>
      </c>
      <c r="R904" s="8" t="n">
        <f aca="false">IF(E904=0,0,L904/E904)</f>
        <v>0</v>
      </c>
      <c r="S904" s="8" t="n">
        <f aca="false">R904+Q904</f>
        <v>0</v>
      </c>
      <c r="T904" s="8" t="n">
        <f aca="false">R904-P904</f>
        <v>0</v>
      </c>
    </row>
    <row r="905" customFormat="false" ht="14.25" hidden="false" customHeight="true" outlineLevel="0" collapsed="false">
      <c r="A905" s="6" t="n">
        <v>2022</v>
      </c>
      <c r="B905" s="6" t="s">
        <v>212</v>
      </c>
      <c r="C905" s="6" t="s">
        <v>361</v>
      </c>
      <c r="D905" s="7" t="n">
        <v>4</v>
      </c>
      <c r="E905" s="7" t="n">
        <v>11</v>
      </c>
      <c r="F905" s="7" t="n">
        <v>0</v>
      </c>
      <c r="G905" s="7" t="n">
        <v>0</v>
      </c>
      <c r="H905" s="7" t="n">
        <v>0</v>
      </c>
      <c r="I905" s="7" t="n">
        <v>0</v>
      </c>
      <c r="J905" s="7" t="n">
        <v>0</v>
      </c>
      <c r="K905" s="7" t="n">
        <v>0</v>
      </c>
      <c r="L905" s="7" t="n">
        <v>0</v>
      </c>
      <c r="M905" s="7" t="n">
        <v>0</v>
      </c>
      <c r="N905" s="7" t="n">
        <v>0</v>
      </c>
      <c r="O905" s="7" t="n">
        <v>0</v>
      </c>
      <c r="P905" s="8" t="n">
        <f aca="false">IF(E905=0,0,G905/E905)</f>
        <v>0</v>
      </c>
      <c r="Q905" s="8" t="n">
        <f aca="false">IF(E905+N905=0,0,(G905+N905)/(E905+N905))</f>
        <v>0</v>
      </c>
      <c r="R905" s="8" t="n">
        <f aca="false">IF(E905=0,0,L905/E905)</f>
        <v>0</v>
      </c>
      <c r="S905" s="8" t="n">
        <f aca="false">R905+Q905</f>
        <v>0</v>
      </c>
      <c r="T905" s="8" t="n">
        <f aca="false">R905-P905</f>
        <v>0</v>
      </c>
    </row>
    <row r="906" customFormat="false" ht="14.25" hidden="false" customHeight="true" outlineLevel="0" collapsed="false">
      <c r="A906" s="6" t="n">
        <v>2022</v>
      </c>
      <c r="B906" s="6" t="s">
        <v>212</v>
      </c>
      <c r="C906" s="6" t="s">
        <v>217</v>
      </c>
      <c r="D906" s="7" t="n">
        <v>3</v>
      </c>
      <c r="E906" s="7" t="n">
        <v>3</v>
      </c>
      <c r="F906" s="7" t="n">
        <v>1</v>
      </c>
      <c r="G906" s="7" t="n">
        <v>0</v>
      </c>
      <c r="H906" s="7" t="n">
        <v>0</v>
      </c>
      <c r="I906" s="7" t="n">
        <v>0</v>
      </c>
      <c r="J906" s="7" t="n">
        <v>0</v>
      </c>
      <c r="K906" s="7" t="n">
        <v>0</v>
      </c>
      <c r="L906" s="7" t="n">
        <v>0</v>
      </c>
      <c r="M906" s="7" t="n">
        <v>0</v>
      </c>
      <c r="N906" s="7" t="n">
        <v>3</v>
      </c>
      <c r="O906" s="7" t="n">
        <v>0</v>
      </c>
      <c r="P906" s="8" t="n">
        <f aca="false">IF(E906=0,0,G906/E906)</f>
        <v>0</v>
      </c>
      <c r="Q906" s="8" t="n">
        <f aca="false">IF(E906+N906=0,0,(G906+N906)/(E906+N906))</f>
        <v>0.5</v>
      </c>
      <c r="R906" s="8" t="n">
        <f aca="false">IF(E906=0,0,L906/E906)</f>
        <v>0</v>
      </c>
      <c r="S906" s="8" t="n">
        <f aca="false">R906+Q906</f>
        <v>0.5</v>
      </c>
      <c r="T906" s="8" t="n">
        <f aca="false">R906-P906</f>
        <v>0</v>
      </c>
    </row>
    <row r="907" customFormat="false" ht="14.25" hidden="false" customHeight="true" outlineLevel="0" collapsed="false">
      <c r="A907" s="6" t="n">
        <v>2022</v>
      </c>
      <c r="B907" s="6" t="s">
        <v>212</v>
      </c>
      <c r="C907" s="6" t="s">
        <v>408</v>
      </c>
      <c r="D907" s="7" t="n">
        <v>2</v>
      </c>
      <c r="E907" s="7" t="n">
        <v>6</v>
      </c>
      <c r="F907" s="7" t="n">
        <v>0</v>
      </c>
      <c r="G907" s="7" t="n">
        <v>0</v>
      </c>
      <c r="H907" s="7" t="n">
        <v>0</v>
      </c>
      <c r="I907" s="7" t="n">
        <v>0</v>
      </c>
      <c r="J907" s="7" t="n">
        <v>0</v>
      </c>
      <c r="K907" s="7" t="n">
        <v>0</v>
      </c>
      <c r="L907" s="7" t="n">
        <v>0</v>
      </c>
      <c r="M907" s="7" t="n">
        <v>1</v>
      </c>
      <c r="N907" s="7" t="n">
        <v>0</v>
      </c>
      <c r="O907" s="7" t="n">
        <v>1</v>
      </c>
      <c r="P907" s="8" t="n">
        <f aca="false">IF(E907=0,0,G907/E907)</f>
        <v>0</v>
      </c>
      <c r="Q907" s="8" t="n">
        <f aca="false">IF(E907+N907=0,0,(G907+N907)/(E907+N907))</f>
        <v>0</v>
      </c>
      <c r="R907" s="8" t="n">
        <f aca="false">IF(E907=0,0,L907/E907)</f>
        <v>0</v>
      </c>
      <c r="S907" s="8" t="n">
        <f aca="false">R907+Q907</f>
        <v>0</v>
      </c>
      <c r="T907" s="8" t="n">
        <f aca="false">R907-P907</f>
        <v>0</v>
      </c>
    </row>
    <row r="908" customFormat="false" ht="14.25" hidden="false" customHeight="true" outlineLevel="0" collapsed="false">
      <c r="A908" s="6" t="n">
        <v>2022</v>
      </c>
      <c r="B908" s="6" t="s">
        <v>212</v>
      </c>
      <c r="C908" s="6" t="s">
        <v>145</v>
      </c>
      <c r="D908" s="7" t="n">
        <v>1</v>
      </c>
      <c r="E908" s="7" t="n">
        <v>2</v>
      </c>
      <c r="F908" s="7" t="n">
        <v>0</v>
      </c>
      <c r="G908" s="7" t="n">
        <v>0</v>
      </c>
      <c r="H908" s="7" t="n">
        <v>0</v>
      </c>
      <c r="I908" s="7" t="n">
        <v>0</v>
      </c>
      <c r="J908" s="7" t="n">
        <v>0</v>
      </c>
      <c r="K908" s="7" t="n">
        <v>0</v>
      </c>
      <c r="L908" s="7" t="n">
        <v>0</v>
      </c>
      <c r="M908" s="7" t="n">
        <v>1</v>
      </c>
      <c r="N908" s="7" t="n">
        <v>1</v>
      </c>
      <c r="O908" s="7" t="n">
        <v>0</v>
      </c>
      <c r="P908" s="8" t="n">
        <f aca="false">IF(E908=0,0,G908/E908)</f>
        <v>0</v>
      </c>
      <c r="Q908" s="8" t="n">
        <f aca="false">IF(E908+N908=0,0,(G908+N908)/(E908+N908))</f>
        <v>0.333333333333333</v>
      </c>
      <c r="R908" s="8" t="n">
        <f aca="false">IF(E908=0,0,L908/E908)</f>
        <v>0</v>
      </c>
      <c r="S908" s="8" t="n">
        <f aca="false">R908+Q908</f>
        <v>0.333333333333333</v>
      </c>
      <c r="T908" s="8" t="n">
        <f aca="false">R908-P908</f>
        <v>0</v>
      </c>
    </row>
    <row r="909" customFormat="false" ht="14.25" hidden="false" customHeight="true" outlineLevel="0" collapsed="false">
      <c r="A909" s="6" t="n">
        <v>2022</v>
      </c>
      <c r="B909" s="6" t="s">
        <v>212</v>
      </c>
      <c r="C909" s="6" t="s">
        <v>409</v>
      </c>
      <c r="D909" s="7" t="n">
        <v>1</v>
      </c>
      <c r="E909" s="7" t="n">
        <v>2</v>
      </c>
      <c r="F909" s="7" t="n">
        <v>0</v>
      </c>
      <c r="G909" s="7" t="n">
        <v>0</v>
      </c>
      <c r="H909" s="7" t="n">
        <v>0</v>
      </c>
      <c r="I909" s="7" t="n">
        <v>0</v>
      </c>
      <c r="J909" s="7" t="n">
        <v>0</v>
      </c>
      <c r="K909" s="7" t="n">
        <v>0</v>
      </c>
      <c r="L909" s="7" t="n">
        <v>0</v>
      </c>
      <c r="M909" s="7" t="n">
        <v>0</v>
      </c>
      <c r="N909" s="7" t="n">
        <v>0</v>
      </c>
      <c r="O909" s="7" t="n">
        <v>1</v>
      </c>
      <c r="P909" s="8" t="n">
        <f aca="false">IF(E909=0,0,G909/E909)</f>
        <v>0</v>
      </c>
      <c r="Q909" s="8" t="n">
        <f aca="false">IF(E909+N909=0,0,(G909+N909)/(E909+N909))</f>
        <v>0</v>
      </c>
      <c r="R909" s="8" t="n">
        <f aca="false">IF(E909=0,0,L909/E909)</f>
        <v>0</v>
      </c>
      <c r="S909" s="8" t="n">
        <f aca="false">R909+Q909</f>
        <v>0</v>
      </c>
      <c r="T909" s="8" t="n">
        <f aca="false">R909-P909</f>
        <v>0</v>
      </c>
    </row>
    <row r="910" customFormat="false" ht="14.25" hidden="false" customHeight="true" outlineLevel="0" collapsed="false">
      <c r="A910" s="6" t="n">
        <v>2022</v>
      </c>
      <c r="B910" s="6" t="s">
        <v>212</v>
      </c>
      <c r="C910" s="6" t="s">
        <v>410</v>
      </c>
      <c r="D910" s="7" t="n">
        <v>1</v>
      </c>
      <c r="E910" s="7" t="n">
        <v>2</v>
      </c>
      <c r="F910" s="7" t="n">
        <v>1</v>
      </c>
      <c r="G910" s="7" t="n">
        <v>0</v>
      </c>
      <c r="H910" s="7" t="n">
        <v>0</v>
      </c>
      <c r="I910" s="7" t="n">
        <v>0</v>
      </c>
      <c r="J910" s="7" t="n">
        <v>0</v>
      </c>
      <c r="K910" s="7" t="n">
        <v>0</v>
      </c>
      <c r="L910" s="7" t="n">
        <v>0</v>
      </c>
      <c r="M910" s="7" t="n">
        <v>0</v>
      </c>
      <c r="N910" s="7" t="n">
        <v>1</v>
      </c>
      <c r="O910" s="7" t="n">
        <v>0</v>
      </c>
      <c r="P910" s="8" t="n">
        <f aca="false">IF(E910=0,0,G910/E910)</f>
        <v>0</v>
      </c>
      <c r="Q910" s="8" t="n">
        <f aca="false">IF(E910+N910=0,0,(G910+N910)/(E910+N910))</f>
        <v>0.333333333333333</v>
      </c>
      <c r="R910" s="8" t="n">
        <f aca="false">IF(E910=0,0,L910/E910)</f>
        <v>0</v>
      </c>
      <c r="S910" s="8" t="n">
        <f aca="false">R910+Q910</f>
        <v>0.333333333333333</v>
      </c>
      <c r="T910" s="8" t="n">
        <f aca="false">R910-P910</f>
        <v>0</v>
      </c>
    </row>
    <row r="911" customFormat="false" ht="14.25" hidden="false" customHeight="true" outlineLevel="0" collapsed="false">
      <c r="A911" s="6" t="n">
        <v>2022</v>
      </c>
      <c r="B911" s="6" t="s">
        <v>212</v>
      </c>
      <c r="C911" s="6" t="s">
        <v>120</v>
      </c>
      <c r="D911" s="7" t="n">
        <v>1</v>
      </c>
      <c r="E911" s="7" t="n">
        <v>3</v>
      </c>
      <c r="F911" s="7" t="n">
        <v>0</v>
      </c>
      <c r="G911" s="7" t="n">
        <v>0</v>
      </c>
      <c r="H911" s="7" t="n">
        <v>0</v>
      </c>
      <c r="I911" s="7" t="n">
        <v>0</v>
      </c>
      <c r="J911" s="7" t="n">
        <v>0</v>
      </c>
      <c r="K911" s="7" t="n">
        <v>0</v>
      </c>
      <c r="L911" s="7" t="n">
        <v>0</v>
      </c>
      <c r="M911" s="7" t="n">
        <v>0</v>
      </c>
      <c r="N911" s="7" t="n">
        <v>0</v>
      </c>
      <c r="O911" s="7" t="n">
        <v>0</v>
      </c>
      <c r="P911" s="8" t="n">
        <f aca="false">IF(E911=0,0,G911/E911)</f>
        <v>0</v>
      </c>
      <c r="Q911" s="8" t="n">
        <f aca="false">IF(E911+N911=0,0,(G911+N911)/(E911+N911))</f>
        <v>0</v>
      </c>
      <c r="R911" s="8" t="n">
        <f aca="false">IF(E911=0,0,L911/E911)</f>
        <v>0</v>
      </c>
      <c r="S911" s="8" t="n">
        <f aca="false">R911+Q911</f>
        <v>0</v>
      </c>
      <c r="T911" s="8" t="n">
        <f aca="false">R911-P911</f>
        <v>0</v>
      </c>
    </row>
    <row r="912" customFormat="false" ht="14.25" hidden="false" customHeight="true" outlineLevel="0" collapsed="false">
      <c r="A912" s="6" t="n">
        <v>2022</v>
      </c>
      <c r="B912" s="6" t="s">
        <v>212</v>
      </c>
      <c r="C912" s="6" t="s">
        <v>362</v>
      </c>
      <c r="D912" s="7" t="n">
        <v>1</v>
      </c>
      <c r="E912" s="7" t="n">
        <v>2</v>
      </c>
      <c r="F912" s="7" t="n">
        <v>0</v>
      </c>
      <c r="G912" s="7" t="n">
        <v>0</v>
      </c>
      <c r="H912" s="7" t="n">
        <v>0</v>
      </c>
      <c r="I912" s="7" t="n">
        <v>0</v>
      </c>
      <c r="J912" s="7" t="n">
        <v>0</v>
      </c>
      <c r="K912" s="7" t="n">
        <v>0</v>
      </c>
      <c r="L912" s="7" t="n">
        <v>0</v>
      </c>
      <c r="M912" s="7" t="n">
        <v>0</v>
      </c>
      <c r="N912" s="7" t="n">
        <v>0</v>
      </c>
      <c r="O912" s="7" t="n">
        <v>0</v>
      </c>
      <c r="P912" s="8" t="n">
        <f aca="false">IF(E912=0,0,G912/E912)</f>
        <v>0</v>
      </c>
      <c r="Q912" s="8" t="n">
        <f aca="false">IF(E912+N912=0,0,(G912+N912)/(E912+N912))</f>
        <v>0</v>
      </c>
      <c r="R912" s="8" t="n">
        <f aca="false">IF(E912=0,0,L912/E912)</f>
        <v>0</v>
      </c>
      <c r="S912" s="8" t="n">
        <f aca="false">R912+Q912</f>
        <v>0</v>
      </c>
      <c r="T912" s="8" t="n">
        <f aca="false">R912-P912</f>
        <v>0</v>
      </c>
    </row>
    <row r="913" customFormat="false" ht="14.25" hidden="false" customHeight="true" outlineLevel="0" collapsed="false">
      <c r="A913" s="6" t="n">
        <v>2021</v>
      </c>
      <c r="B913" s="6" t="s">
        <v>50</v>
      </c>
      <c r="C913" s="6" t="s">
        <v>52</v>
      </c>
      <c r="D913" s="7" t="n">
        <v>9</v>
      </c>
      <c r="E913" s="7" t="n">
        <v>30</v>
      </c>
      <c r="F913" s="7" t="n">
        <v>10</v>
      </c>
      <c r="G913" s="7" t="n">
        <v>15</v>
      </c>
      <c r="H913" s="7" t="n">
        <v>3</v>
      </c>
      <c r="I913" s="7" t="n">
        <v>0</v>
      </c>
      <c r="J913" s="7" t="n">
        <v>3</v>
      </c>
      <c r="K913" s="7" t="n">
        <v>6</v>
      </c>
      <c r="L913" s="7" t="n">
        <v>27</v>
      </c>
      <c r="M913" s="7" t="n">
        <v>9</v>
      </c>
      <c r="N913" s="7" t="n">
        <v>4</v>
      </c>
      <c r="O913" s="7" t="n">
        <v>1</v>
      </c>
      <c r="P913" s="8" t="n">
        <f aca="false">IF(E913=0,0,G913/E913)</f>
        <v>0.5</v>
      </c>
      <c r="Q913" s="8" t="n">
        <f aca="false">IF(E913+N913=0,0,(G913+N913)/(E913+N913))</f>
        <v>0.558823529411765</v>
      </c>
      <c r="R913" s="8" t="n">
        <f aca="false">IF(E913=0,0,L913/E913)</f>
        <v>0.9</v>
      </c>
      <c r="S913" s="8" t="n">
        <f aca="false">R913+Q913</f>
        <v>1.45882352941176</v>
      </c>
      <c r="T913" s="8" t="n">
        <f aca="false">R913-P913</f>
        <v>0.4</v>
      </c>
    </row>
    <row r="914" customFormat="false" ht="14.25" hidden="false" customHeight="true" outlineLevel="0" collapsed="false">
      <c r="A914" s="6" t="n">
        <v>2021</v>
      </c>
      <c r="B914" s="6" t="s">
        <v>50</v>
      </c>
      <c r="C914" s="6" t="s">
        <v>53</v>
      </c>
      <c r="D914" s="7" t="n">
        <v>7</v>
      </c>
      <c r="E914" s="7" t="n">
        <v>24</v>
      </c>
      <c r="F914" s="7" t="n">
        <v>9</v>
      </c>
      <c r="G914" s="7" t="n">
        <v>13</v>
      </c>
      <c r="H914" s="7" t="n">
        <v>4</v>
      </c>
      <c r="I914" s="7" t="n">
        <v>0</v>
      </c>
      <c r="J914" s="7" t="n">
        <v>1</v>
      </c>
      <c r="K914" s="7" t="n">
        <v>5</v>
      </c>
      <c r="L914" s="7" t="n">
        <v>20</v>
      </c>
      <c r="M914" s="7" t="n">
        <v>8</v>
      </c>
      <c r="N914" s="7" t="n">
        <v>2</v>
      </c>
      <c r="O914" s="7" t="n">
        <v>0</v>
      </c>
      <c r="P914" s="8" t="n">
        <f aca="false">IF(E914=0,0,G914/E914)</f>
        <v>0.541666666666667</v>
      </c>
      <c r="Q914" s="8" t="n">
        <f aca="false">IF(E914+N914=0,0,(G914+N914)/(E914+N914))</f>
        <v>0.576923076923077</v>
      </c>
      <c r="R914" s="8" t="n">
        <f aca="false">IF(E914=0,0,L914/E914)</f>
        <v>0.833333333333333</v>
      </c>
      <c r="S914" s="8" t="n">
        <f aca="false">R914+Q914</f>
        <v>1.41025641025641</v>
      </c>
      <c r="T914" s="8" t="n">
        <f aca="false">R914-P914</f>
        <v>0.291666666666667</v>
      </c>
    </row>
    <row r="915" customFormat="false" ht="14.25" hidden="false" customHeight="true" outlineLevel="0" collapsed="false">
      <c r="A915" s="6" t="n">
        <v>2021</v>
      </c>
      <c r="B915" s="6" t="s">
        <v>50</v>
      </c>
      <c r="C915" s="6" t="s">
        <v>54</v>
      </c>
      <c r="D915" s="7" t="n">
        <v>7</v>
      </c>
      <c r="E915" s="7" t="n">
        <v>22</v>
      </c>
      <c r="F915" s="7" t="n">
        <v>12</v>
      </c>
      <c r="G915" s="7" t="n">
        <v>12</v>
      </c>
      <c r="H915" s="7" t="n">
        <v>1</v>
      </c>
      <c r="I915" s="7" t="n">
        <v>1</v>
      </c>
      <c r="J915" s="7" t="n">
        <v>1</v>
      </c>
      <c r="K915" s="7" t="n">
        <v>3</v>
      </c>
      <c r="L915" s="7" t="n">
        <v>18</v>
      </c>
      <c r="M915" s="7" t="n">
        <v>8</v>
      </c>
      <c r="N915" s="7" t="n">
        <v>3</v>
      </c>
      <c r="O915" s="7" t="n">
        <v>0</v>
      </c>
      <c r="P915" s="8" t="n">
        <f aca="false">IF(E915=0,0,G915/E915)</f>
        <v>0.545454545454545</v>
      </c>
      <c r="Q915" s="8" t="n">
        <f aca="false">IF(E915+N915=0,0,(G915+N915)/(E915+N915))</f>
        <v>0.6</v>
      </c>
      <c r="R915" s="8" t="n">
        <f aca="false">IF(E915=0,0,L915/E915)</f>
        <v>0.818181818181818</v>
      </c>
      <c r="S915" s="8" t="n">
        <f aca="false">R915+Q915</f>
        <v>1.41818181818182</v>
      </c>
      <c r="T915" s="8" t="n">
        <f aca="false">R915-P915</f>
        <v>0.272727272727273</v>
      </c>
    </row>
    <row r="916" customFormat="false" ht="14.25" hidden="false" customHeight="true" outlineLevel="0" collapsed="false">
      <c r="A916" s="6" t="n">
        <v>2021</v>
      </c>
      <c r="B916" s="6" t="s">
        <v>50</v>
      </c>
      <c r="C916" s="6" t="s">
        <v>51</v>
      </c>
      <c r="D916" s="7" t="n">
        <v>7</v>
      </c>
      <c r="E916" s="7" t="n">
        <v>23</v>
      </c>
      <c r="F916" s="7" t="n">
        <v>12</v>
      </c>
      <c r="G916" s="7" t="n">
        <v>10</v>
      </c>
      <c r="H916" s="7" t="n">
        <v>0</v>
      </c>
      <c r="I916" s="7" t="n">
        <v>0</v>
      </c>
      <c r="J916" s="7" t="n">
        <v>6</v>
      </c>
      <c r="K916" s="7" t="n">
        <v>6</v>
      </c>
      <c r="L916" s="7" t="n">
        <v>28</v>
      </c>
      <c r="M916" s="7" t="n">
        <v>15</v>
      </c>
      <c r="N916" s="7" t="n">
        <v>4</v>
      </c>
      <c r="O916" s="7" t="n">
        <v>0</v>
      </c>
      <c r="P916" s="8" t="n">
        <f aca="false">IF(E916=0,0,G916/E916)</f>
        <v>0.434782608695652</v>
      </c>
      <c r="Q916" s="8" t="n">
        <f aca="false">IF(E916+N916=0,0,(G916+N916)/(E916+N916))</f>
        <v>0.518518518518519</v>
      </c>
      <c r="R916" s="8" t="n">
        <f aca="false">IF(E916=0,0,L916/E916)</f>
        <v>1.21739130434783</v>
      </c>
      <c r="S916" s="8" t="n">
        <f aca="false">R916+Q916</f>
        <v>1.73590982286634</v>
      </c>
      <c r="T916" s="8" t="n">
        <f aca="false">R916-P916</f>
        <v>0.782608695652174</v>
      </c>
    </row>
    <row r="917" customFormat="false" ht="14.25" hidden="false" customHeight="true" outlineLevel="0" collapsed="false">
      <c r="A917" s="6" t="n">
        <v>2021</v>
      </c>
      <c r="B917" s="6" t="s">
        <v>50</v>
      </c>
      <c r="C917" s="6" t="s">
        <v>62</v>
      </c>
      <c r="D917" s="7" t="n">
        <v>7</v>
      </c>
      <c r="E917" s="7" t="n">
        <v>22</v>
      </c>
      <c r="F917" s="7" t="n">
        <v>4</v>
      </c>
      <c r="G917" s="7" t="n">
        <v>9</v>
      </c>
      <c r="H917" s="7" t="n">
        <v>1</v>
      </c>
      <c r="I917" s="7" t="n">
        <v>0</v>
      </c>
      <c r="J917" s="7" t="n">
        <v>0</v>
      </c>
      <c r="K917" s="7" t="n">
        <v>1</v>
      </c>
      <c r="L917" s="7" t="n">
        <v>10</v>
      </c>
      <c r="M917" s="7" t="n">
        <v>2</v>
      </c>
      <c r="N917" s="7" t="n">
        <v>2</v>
      </c>
      <c r="O917" s="7" t="n">
        <v>1</v>
      </c>
      <c r="P917" s="8" t="n">
        <f aca="false">IF(E917=0,0,G917/E917)</f>
        <v>0.409090909090909</v>
      </c>
      <c r="Q917" s="8" t="n">
        <f aca="false">IF(E917+N917=0,0,(G917+N917)/(E917+N917))</f>
        <v>0.458333333333333</v>
      </c>
      <c r="R917" s="8" t="n">
        <f aca="false">IF(E917=0,0,L917/E917)</f>
        <v>0.454545454545455</v>
      </c>
      <c r="S917" s="8" t="n">
        <f aca="false">R917+Q917</f>
        <v>0.912878787878788</v>
      </c>
      <c r="T917" s="8" t="n">
        <f aca="false">R917-P917</f>
        <v>0.0454545454545454</v>
      </c>
    </row>
    <row r="918" customFormat="false" ht="14.25" hidden="false" customHeight="true" outlineLevel="0" collapsed="false">
      <c r="A918" s="6" t="n">
        <v>2021</v>
      </c>
      <c r="B918" s="6" t="s">
        <v>50</v>
      </c>
      <c r="C918" s="6" t="s">
        <v>60</v>
      </c>
      <c r="D918" s="7" t="n">
        <v>9</v>
      </c>
      <c r="E918" s="7" t="n">
        <v>24</v>
      </c>
      <c r="F918" s="7" t="n">
        <v>10</v>
      </c>
      <c r="G918" s="7" t="n">
        <v>7</v>
      </c>
      <c r="H918" s="7" t="n">
        <v>2</v>
      </c>
      <c r="I918" s="7" t="n">
        <v>0</v>
      </c>
      <c r="J918" s="7" t="n">
        <v>1</v>
      </c>
      <c r="K918" s="7" t="n">
        <v>3</v>
      </c>
      <c r="L918" s="7" t="n">
        <v>12</v>
      </c>
      <c r="M918" s="7" t="n">
        <v>3</v>
      </c>
      <c r="N918" s="7" t="n">
        <v>7</v>
      </c>
      <c r="O918" s="7" t="n">
        <v>3</v>
      </c>
      <c r="P918" s="8" t="n">
        <f aca="false">IF(E918=0,0,G918/E918)</f>
        <v>0.291666666666667</v>
      </c>
      <c r="Q918" s="8" t="n">
        <f aca="false">IF(E918+N918=0,0,(G918+N918)/(E918+N918))</f>
        <v>0.451612903225806</v>
      </c>
      <c r="R918" s="8" t="n">
        <f aca="false">IF(E918=0,0,L918/E918)</f>
        <v>0.5</v>
      </c>
      <c r="S918" s="8" t="n">
        <f aca="false">R918+Q918</f>
        <v>0.951612903225807</v>
      </c>
      <c r="T918" s="8" t="n">
        <f aca="false">R918-P918</f>
        <v>0.208333333333333</v>
      </c>
    </row>
    <row r="919" customFormat="false" ht="14.25" hidden="false" customHeight="true" outlineLevel="0" collapsed="false">
      <c r="A919" s="6" t="n">
        <v>2021</v>
      </c>
      <c r="B919" s="6" t="s">
        <v>50</v>
      </c>
      <c r="C919" s="6" t="s">
        <v>56</v>
      </c>
      <c r="D919" s="7" t="n">
        <v>8</v>
      </c>
      <c r="E919" s="7" t="n">
        <v>27</v>
      </c>
      <c r="F919" s="7" t="n">
        <v>7</v>
      </c>
      <c r="G919" s="7" t="n">
        <v>7</v>
      </c>
      <c r="H919" s="7" t="n">
        <v>1</v>
      </c>
      <c r="I919" s="7" t="n">
        <v>0</v>
      </c>
      <c r="J919" s="7" t="n">
        <v>1</v>
      </c>
      <c r="K919" s="7" t="n">
        <v>2</v>
      </c>
      <c r="L919" s="7" t="n">
        <v>11</v>
      </c>
      <c r="M919" s="7" t="n">
        <v>8</v>
      </c>
      <c r="N919" s="7" t="n">
        <v>4</v>
      </c>
      <c r="O919" s="7" t="n">
        <v>2</v>
      </c>
      <c r="P919" s="8" t="n">
        <f aca="false">IF(E919=0,0,G919/E919)</f>
        <v>0.259259259259259</v>
      </c>
      <c r="Q919" s="8" t="n">
        <f aca="false">IF(E919+N919=0,0,(G919+N919)/(E919+N919))</f>
        <v>0.354838709677419</v>
      </c>
      <c r="R919" s="8" t="n">
        <f aca="false">IF(E919=0,0,L919/E919)</f>
        <v>0.407407407407407</v>
      </c>
      <c r="S919" s="8" t="n">
        <f aca="false">R919+Q919</f>
        <v>0.762246117084827</v>
      </c>
      <c r="T919" s="8" t="n">
        <f aca="false">R919-P919</f>
        <v>0.148148148148148</v>
      </c>
    </row>
    <row r="920" customFormat="false" ht="14.25" hidden="false" customHeight="true" outlineLevel="0" collapsed="false">
      <c r="A920" s="6" t="n">
        <v>2021</v>
      </c>
      <c r="B920" s="6" t="s">
        <v>50</v>
      </c>
      <c r="C920" s="6" t="s">
        <v>64</v>
      </c>
      <c r="D920" s="7" t="n">
        <v>7</v>
      </c>
      <c r="E920" s="7" t="n">
        <v>21</v>
      </c>
      <c r="F920" s="7" t="n">
        <v>7</v>
      </c>
      <c r="G920" s="7" t="n">
        <v>6</v>
      </c>
      <c r="H920" s="7" t="n">
        <v>1</v>
      </c>
      <c r="I920" s="7" t="n">
        <v>0</v>
      </c>
      <c r="J920" s="7" t="n">
        <v>2</v>
      </c>
      <c r="K920" s="7" t="n">
        <v>3</v>
      </c>
      <c r="L920" s="7" t="n">
        <v>13</v>
      </c>
      <c r="M920" s="7" t="n">
        <v>10</v>
      </c>
      <c r="N920" s="7" t="n">
        <v>5</v>
      </c>
      <c r="O920" s="7" t="n">
        <v>0</v>
      </c>
      <c r="P920" s="8" t="n">
        <f aca="false">IF(E920=0,0,G920/E920)</f>
        <v>0.285714285714286</v>
      </c>
      <c r="Q920" s="8" t="n">
        <f aca="false">IF(E920+N920=0,0,(G920+N920)/(E920+N920))</f>
        <v>0.423076923076923</v>
      </c>
      <c r="R920" s="8" t="n">
        <f aca="false">IF(E920=0,0,L920/E920)</f>
        <v>0.619047619047619</v>
      </c>
      <c r="S920" s="8" t="n">
        <f aca="false">R920+Q920</f>
        <v>1.04212454212454</v>
      </c>
      <c r="T920" s="8" t="n">
        <f aca="false">R920-P920</f>
        <v>0.333333333333333</v>
      </c>
    </row>
    <row r="921" customFormat="false" ht="14.25" hidden="false" customHeight="true" outlineLevel="0" collapsed="false">
      <c r="A921" s="6" t="n">
        <v>2021</v>
      </c>
      <c r="B921" s="6" t="s">
        <v>50</v>
      </c>
      <c r="C921" s="6" t="s">
        <v>55</v>
      </c>
      <c r="D921" s="7" t="n">
        <v>4</v>
      </c>
      <c r="E921" s="7" t="n">
        <v>13</v>
      </c>
      <c r="F921" s="7" t="n">
        <v>4</v>
      </c>
      <c r="G921" s="7" t="n">
        <v>5</v>
      </c>
      <c r="H921" s="7" t="n">
        <v>1</v>
      </c>
      <c r="I921" s="7" t="n">
        <v>0</v>
      </c>
      <c r="J921" s="7" t="n">
        <v>2</v>
      </c>
      <c r="K921" s="7" t="n">
        <v>3</v>
      </c>
      <c r="L921" s="7" t="n">
        <v>12</v>
      </c>
      <c r="M921" s="7" t="n">
        <v>8</v>
      </c>
      <c r="N921" s="7" t="n">
        <v>1</v>
      </c>
      <c r="O921" s="7" t="n">
        <v>1</v>
      </c>
      <c r="P921" s="8" t="n">
        <f aca="false">IF(E921=0,0,G921/E921)</f>
        <v>0.384615384615385</v>
      </c>
      <c r="Q921" s="8" t="n">
        <f aca="false">IF(E921+N921=0,0,(G921+N921)/(E921+N921))</f>
        <v>0.428571428571429</v>
      </c>
      <c r="R921" s="8" t="n">
        <f aca="false">IF(E921=0,0,L921/E921)</f>
        <v>0.923076923076923</v>
      </c>
      <c r="S921" s="8" t="n">
        <f aca="false">R921+Q921</f>
        <v>1.35164835164835</v>
      </c>
      <c r="T921" s="8" t="n">
        <f aca="false">R921-P921</f>
        <v>0.538461538461539</v>
      </c>
    </row>
    <row r="922" customFormat="false" ht="14.25" hidden="false" customHeight="true" outlineLevel="0" collapsed="false">
      <c r="A922" s="6" t="n">
        <v>2021</v>
      </c>
      <c r="B922" s="6" t="s">
        <v>50</v>
      </c>
      <c r="C922" s="6" t="s">
        <v>59</v>
      </c>
      <c r="D922" s="7" t="n">
        <v>9</v>
      </c>
      <c r="E922" s="7" t="n">
        <v>29</v>
      </c>
      <c r="F922" s="7" t="n">
        <v>4</v>
      </c>
      <c r="G922" s="7" t="n">
        <v>4</v>
      </c>
      <c r="H922" s="7" t="n">
        <v>1</v>
      </c>
      <c r="I922" s="7" t="n">
        <v>0</v>
      </c>
      <c r="J922" s="7" t="n">
        <v>0</v>
      </c>
      <c r="K922" s="7" t="n">
        <v>1</v>
      </c>
      <c r="L922" s="7" t="n">
        <v>5</v>
      </c>
      <c r="M922" s="7" t="n">
        <v>1</v>
      </c>
      <c r="N922" s="7" t="n">
        <v>0</v>
      </c>
      <c r="O922" s="7" t="n">
        <v>0</v>
      </c>
      <c r="P922" s="8" t="n">
        <f aca="false">IF(E922=0,0,G922/E922)</f>
        <v>0.137931034482759</v>
      </c>
      <c r="Q922" s="8" t="n">
        <f aca="false">IF(E922+N922=0,0,(G922+N922)/(E922+N922))</f>
        <v>0.137931034482759</v>
      </c>
      <c r="R922" s="8" t="n">
        <f aca="false">IF(E922=0,0,L922/E922)</f>
        <v>0.172413793103448</v>
      </c>
      <c r="S922" s="8" t="n">
        <f aca="false">R922+Q922</f>
        <v>0.310344827586207</v>
      </c>
      <c r="T922" s="8" t="n">
        <f aca="false">R922-P922</f>
        <v>0.0344827586206897</v>
      </c>
    </row>
    <row r="923" customFormat="false" ht="14.25" hidden="false" customHeight="true" outlineLevel="0" collapsed="false">
      <c r="A923" s="6" t="n">
        <v>2021</v>
      </c>
      <c r="B923" s="6" t="s">
        <v>50</v>
      </c>
      <c r="C923" s="6" t="s">
        <v>67</v>
      </c>
      <c r="D923" s="7" t="n">
        <v>8</v>
      </c>
      <c r="E923" s="7" t="n">
        <v>15</v>
      </c>
      <c r="F923" s="7" t="n">
        <v>4</v>
      </c>
      <c r="G923" s="7" t="n">
        <v>4</v>
      </c>
      <c r="H923" s="7" t="n">
        <v>0</v>
      </c>
      <c r="I923" s="7" t="n">
        <v>0</v>
      </c>
      <c r="J923" s="7" t="n">
        <v>0</v>
      </c>
      <c r="K923" s="7" t="n">
        <v>0</v>
      </c>
      <c r="L923" s="7" t="n">
        <v>4</v>
      </c>
      <c r="M923" s="7" t="n">
        <v>2</v>
      </c>
      <c r="N923" s="7" t="n">
        <v>4</v>
      </c>
      <c r="O923" s="7" t="n">
        <v>1</v>
      </c>
      <c r="P923" s="8" t="n">
        <f aca="false">IF(E923=0,0,G923/E923)</f>
        <v>0.266666666666667</v>
      </c>
      <c r="Q923" s="8" t="n">
        <f aca="false">IF(E923+N923=0,0,(G923+N923)/(E923+N923))</f>
        <v>0.421052631578947</v>
      </c>
      <c r="R923" s="8" t="n">
        <f aca="false">IF(E923=0,0,L923/E923)</f>
        <v>0.266666666666667</v>
      </c>
      <c r="S923" s="8" t="n">
        <f aca="false">R923+Q923</f>
        <v>0.687719298245614</v>
      </c>
      <c r="T923" s="8" t="n">
        <f aca="false">R923-P923</f>
        <v>0</v>
      </c>
    </row>
    <row r="924" customFormat="false" ht="14.25" hidden="false" customHeight="true" outlineLevel="0" collapsed="false">
      <c r="A924" s="6" t="n">
        <v>2021</v>
      </c>
      <c r="B924" s="6" t="s">
        <v>50</v>
      </c>
      <c r="C924" s="6" t="s">
        <v>69</v>
      </c>
      <c r="D924" s="7" t="n">
        <v>5</v>
      </c>
      <c r="E924" s="7" t="n">
        <v>13</v>
      </c>
      <c r="F924" s="7" t="n">
        <v>3</v>
      </c>
      <c r="G924" s="7" t="n">
        <v>3</v>
      </c>
      <c r="H924" s="7" t="n">
        <v>0</v>
      </c>
      <c r="I924" s="7" t="n">
        <v>0</v>
      </c>
      <c r="J924" s="7" t="n">
        <v>1</v>
      </c>
      <c r="K924" s="7" t="n">
        <v>1</v>
      </c>
      <c r="L924" s="7" t="n">
        <v>6</v>
      </c>
      <c r="M924" s="7" t="n">
        <v>1</v>
      </c>
      <c r="N924" s="7" t="n">
        <v>4</v>
      </c>
      <c r="O924" s="7" t="n">
        <v>1</v>
      </c>
      <c r="P924" s="8" t="n">
        <f aca="false">IF(E924=0,0,G924/E924)</f>
        <v>0.230769230769231</v>
      </c>
      <c r="Q924" s="8" t="n">
        <f aca="false">IF(E924+N924=0,0,(G924+N924)/(E924+N924))</f>
        <v>0.411764705882353</v>
      </c>
      <c r="R924" s="8" t="n">
        <f aca="false">IF(E924=0,0,L924/E924)</f>
        <v>0.461538461538462</v>
      </c>
      <c r="S924" s="8" t="n">
        <f aca="false">R924+Q924</f>
        <v>0.873303167420815</v>
      </c>
      <c r="T924" s="8" t="n">
        <f aca="false">R924-P924</f>
        <v>0.230769230769231</v>
      </c>
    </row>
    <row r="925" customFormat="false" ht="14.25" hidden="false" customHeight="true" outlineLevel="0" collapsed="false">
      <c r="A925" s="6" t="n">
        <v>2021</v>
      </c>
      <c r="B925" s="6" t="s">
        <v>50</v>
      </c>
      <c r="C925" s="6" t="s">
        <v>240</v>
      </c>
      <c r="D925" s="7" t="n">
        <v>5</v>
      </c>
      <c r="E925" s="7" t="n">
        <v>11</v>
      </c>
      <c r="F925" s="7" t="n">
        <v>0</v>
      </c>
      <c r="G925" s="7" t="n">
        <v>2</v>
      </c>
      <c r="H925" s="7" t="n">
        <v>0</v>
      </c>
      <c r="I925" s="7" t="n">
        <v>0</v>
      </c>
      <c r="J925" s="7" t="n">
        <v>0</v>
      </c>
      <c r="K925" s="7" t="n">
        <v>0</v>
      </c>
      <c r="L925" s="7" t="n">
        <v>2</v>
      </c>
      <c r="M925" s="7" t="n">
        <v>2</v>
      </c>
      <c r="N925" s="7" t="n">
        <v>0</v>
      </c>
      <c r="O925" s="7" t="n">
        <v>0</v>
      </c>
      <c r="P925" s="8" t="n">
        <f aca="false">IF(E925=0,0,G925/E925)</f>
        <v>0.181818181818182</v>
      </c>
      <c r="Q925" s="8" t="n">
        <f aca="false">IF(E925+N925=0,0,(G925+N925)/(E925+N925))</f>
        <v>0.181818181818182</v>
      </c>
      <c r="R925" s="8" t="n">
        <f aca="false">IF(E925=0,0,L925/E925)</f>
        <v>0.181818181818182</v>
      </c>
      <c r="S925" s="8" t="n">
        <f aca="false">R925+Q925</f>
        <v>0.363636363636364</v>
      </c>
      <c r="T925" s="8" t="n">
        <f aca="false">R925-P925</f>
        <v>0</v>
      </c>
    </row>
    <row r="926" customFormat="false" ht="14.25" hidden="false" customHeight="true" outlineLevel="0" collapsed="false">
      <c r="A926" s="6" t="n">
        <v>2021</v>
      </c>
      <c r="B926" s="6" t="s">
        <v>50</v>
      </c>
      <c r="C926" s="6" t="s">
        <v>68</v>
      </c>
      <c r="D926" s="7" t="n">
        <v>2</v>
      </c>
      <c r="E926" s="7" t="n">
        <v>5</v>
      </c>
      <c r="F926" s="7" t="n">
        <v>0</v>
      </c>
      <c r="G926" s="7" t="n">
        <v>1</v>
      </c>
      <c r="H926" s="7" t="n">
        <v>0</v>
      </c>
      <c r="I926" s="7" t="n">
        <v>0</v>
      </c>
      <c r="J926" s="7" t="n">
        <v>0</v>
      </c>
      <c r="K926" s="7" t="n">
        <v>0</v>
      </c>
      <c r="L926" s="7" t="n">
        <v>1</v>
      </c>
      <c r="M926" s="7" t="n">
        <v>0</v>
      </c>
      <c r="N926" s="7" t="n">
        <v>0</v>
      </c>
      <c r="O926" s="7" t="n">
        <v>0</v>
      </c>
      <c r="P926" s="8" t="n">
        <f aca="false">IF(E926=0,0,G926/E926)</f>
        <v>0.2</v>
      </c>
      <c r="Q926" s="8" t="n">
        <f aca="false">IF(E926+N926=0,0,(G926+N926)/(E926+N926))</f>
        <v>0.2</v>
      </c>
      <c r="R926" s="8" t="n">
        <f aca="false">IF(E926=0,0,L926/E926)</f>
        <v>0.2</v>
      </c>
      <c r="S926" s="8" t="n">
        <f aca="false">R926+Q926</f>
        <v>0.4</v>
      </c>
      <c r="T926" s="8" t="n">
        <f aca="false">R926-P926</f>
        <v>0</v>
      </c>
    </row>
    <row r="927" customFormat="false" ht="14.25" hidden="false" customHeight="true" outlineLevel="0" collapsed="false">
      <c r="A927" s="6" t="n">
        <v>2021</v>
      </c>
      <c r="B927" s="6" t="s">
        <v>50</v>
      </c>
      <c r="C927" s="6" t="s">
        <v>66</v>
      </c>
      <c r="D927" s="7" t="n">
        <v>5</v>
      </c>
      <c r="E927" s="7" t="n">
        <v>13</v>
      </c>
      <c r="F927" s="7" t="n">
        <v>1</v>
      </c>
      <c r="G927" s="7" t="n">
        <v>0</v>
      </c>
      <c r="H927" s="7" t="n">
        <v>0</v>
      </c>
      <c r="I927" s="7" t="n">
        <v>0</v>
      </c>
      <c r="J927" s="7" t="n">
        <v>0</v>
      </c>
      <c r="K927" s="7" t="n">
        <v>0</v>
      </c>
      <c r="L927" s="7" t="n">
        <v>0</v>
      </c>
      <c r="M927" s="7" t="n">
        <v>0</v>
      </c>
      <c r="N927" s="7" t="n">
        <v>1</v>
      </c>
      <c r="O927" s="7" t="n">
        <v>0</v>
      </c>
      <c r="P927" s="8" t="n">
        <f aca="false">IF(E927=0,0,G927/E927)</f>
        <v>0</v>
      </c>
      <c r="Q927" s="8" t="n">
        <f aca="false">IF(E927+N927=0,0,(G927+N927)/(E927+N927))</f>
        <v>0.0714285714285714</v>
      </c>
      <c r="R927" s="8" t="n">
        <f aca="false">IF(E927=0,0,L927/E927)</f>
        <v>0</v>
      </c>
      <c r="S927" s="8" t="n">
        <f aca="false">R927+Q927</f>
        <v>0.0714285714285714</v>
      </c>
      <c r="T927" s="8" t="n">
        <f aca="false">R927-P927</f>
        <v>0</v>
      </c>
    </row>
    <row r="928" customFormat="false" ht="14.25" hidden="false" customHeight="true" outlineLevel="0" collapsed="false">
      <c r="A928" s="6" t="n">
        <v>2021</v>
      </c>
      <c r="B928" s="6" t="s">
        <v>50</v>
      </c>
      <c r="C928" s="6" t="s">
        <v>65</v>
      </c>
      <c r="D928" s="7" t="n">
        <v>1</v>
      </c>
      <c r="E928" s="7" t="n">
        <v>1</v>
      </c>
      <c r="F928" s="7" t="n">
        <v>0</v>
      </c>
      <c r="G928" s="7" t="n">
        <v>0</v>
      </c>
      <c r="H928" s="7" t="n">
        <v>0</v>
      </c>
      <c r="I928" s="7" t="n">
        <v>0</v>
      </c>
      <c r="J928" s="7" t="n">
        <v>0</v>
      </c>
      <c r="K928" s="7" t="n">
        <v>0</v>
      </c>
      <c r="L928" s="7" t="n">
        <v>0</v>
      </c>
      <c r="M928" s="7" t="n">
        <v>0</v>
      </c>
      <c r="N928" s="7" t="n">
        <v>0</v>
      </c>
      <c r="O928" s="7" t="n">
        <v>0</v>
      </c>
      <c r="P928" s="8" t="n">
        <f aca="false">IF(E928=0,0,G928/E928)</f>
        <v>0</v>
      </c>
      <c r="Q928" s="8" t="n">
        <f aca="false">IF(E928+N928=0,0,(G928+N928)/(E928+N928))</f>
        <v>0</v>
      </c>
      <c r="R928" s="8" t="n">
        <f aca="false">IF(E928=0,0,L928/E928)</f>
        <v>0</v>
      </c>
      <c r="S928" s="8" t="n">
        <f aca="false">R928+Q928</f>
        <v>0</v>
      </c>
      <c r="T928" s="8" t="n">
        <f aca="false">R928-P928</f>
        <v>0</v>
      </c>
    </row>
    <row r="929" customFormat="false" ht="14.25" hidden="false" customHeight="true" outlineLevel="0" collapsed="false">
      <c r="A929" s="6" t="n">
        <v>2021</v>
      </c>
      <c r="B929" s="6" t="s">
        <v>71</v>
      </c>
      <c r="C929" s="6" t="s">
        <v>86</v>
      </c>
      <c r="D929" s="7" t="n">
        <v>6</v>
      </c>
      <c r="E929" s="7" t="n">
        <v>17</v>
      </c>
      <c r="F929" s="7" t="n">
        <v>7</v>
      </c>
      <c r="G929" s="7" t="n">
        <v>10</v>
      </c>
      <c r="H929" s="7" t="n">
        <v>3</v>
      </c>
      <c r="I929" s="7" t="n">
        <v>0</v>
      </c>
      <c r="J929" s="7" t="n">
        <v>4</v>
      </c>
      <c r="K929" s="7" t="n">
        <v>7</v>
      </c>
      <c r="L929" s="7" t="n">
        <v>25</v>
      </c>
      <c r="M929" s="7" t="n">
        <v>6</v>
      </c>
      <c r="N929" s="7" t="n">
        <v>3</v>
      </c>
      <c r="O929" s="7" t="n">
        <v>1</v>
      </c>
      <c r="P929" s="8" t="n">
        <f aca="false">IF(E929=0,0,G929/E929)</f>
        <v>0.588235294117647</v>
      </c>
      <c r="Q929" s="8" t="n">
        <f aca="false">IF(E929+N929=0,0,(G929+N929)/(E929+N929))</f>
        <v>0.65</v>
      </c>
      <c r="R929" s="8" t="n">
        <f aca="false">IF(E929=0,0,L929/E929)</f>
        <v>1.47058823529412</v>
      </c>
      <c r="S929" s="8" t="n">
        <f aca="false">R929+Q929</f>
        <v>2.12058823529412</v>
      </c>
      <c r="T929" s="8" t="n">
        <f aca="false">R929-P929</f>
        <v>0.882352941176471</v>
      </c>
    </row>
    <row r="930" customFormat="false" ht="14.25" hidden="false" customHeight="true" outlineLevel="0" collapsed="false">
      <c r="A930" s="6" t="n">
        <v>2021</v>
      </c>
      <c r="B930" s="6" t="s">
        <v>71</v>
      </c>
      <c r="C930" s="6" t="s">
        <v>73</v>
      </c>
      <c r="D930" s="7" t="n">
        <v>7</v>
      </c>
      <c r="E930" s="7" t="n">
        <v>22</v>
      </c>
      <c r="F930" s="7" t="n">
        <v>5</v>
      </c>
      <c r="G930" s="7" t="n">
        <v>10</v>
      </c>
      <c r="H930" s="7" t="n">
        <v>4</v>
      </c>
      <c r="I930" s="7" t="n">
        <v>0</v>
      </c>
      <c r="J930" s="7" t="n">
        <v>3</v>
      </c>
      <c r="K930" s="7" t="n">
        <v>7</v>
      </c>
      <c r="L930" s="7" t="n">
        <v>23</v>
      </c>
      <c r="M930" s="7" t="n">
        <v>6</v>
      </c>
      <c r="N930" s="7" t="n">
        <v>1</v>
      </c>
      <c r="O930" s="7" t="n">
        <v>0</v>
      </c>
      <c r="P930" s="8" t="n">
        <f aca="false">IF(E930=0,0,G930/E930)</f>
        <v>0.454545454545455</v>
      </c>
      <c r="Q930" s="8" t="n">
        <f aca="false">IF(E930+N930=0,0,(G930+N930)/(E930+N930))</f>
        <v>0.478260869565217</v>
      </c>
      <c r="R930" s="8" t="n">
        <f aca="false">IF(E930=0,0,L930/E930)</f>
        <v>1.04545454545455</v>
      </c>
      <c r="S930" s="8" t="n">
        <f aca="false">R930+Q930</f>
        <v>1.52371541501976</v>
      </c>
      <c r="T930" s="8" t="n">
        <f aca="false">R930-P930</f>
        <v>0.590909090909091</v>
      </c>
    </row>
    <row r="931" customFormat="false" ht="14.25" hidden="false" customHeight="true" outlineLevel="0" collapsed="false">
      <c r="A931" s="6" t="n">
        <v>2021</v>
      </c>
      <c r="B931" s="6" t="s">
        <v>71</v>
      </c>
      <c r="C931" s="6" t="s">
        <v>85</v>
      </c>
      <c r="D931" s="7" t="n">
        <v>8</v>
      </c>
      <c r="E931" s="7" t="n">
        <v>22</v>
      </c>
      <c r="F931" s="7" t="n">
        <v>1</v>
      </c>
      <c r="G931" s="7" t="n">
        <v>6</v>
      </c>
      <c r="H931" s="7" t="n">
        <v>3</v>
      </c>
      <c r="I931" s="7" t="n">
        <v>0</v>
      </c>
      <c r="J931" s="7" t="n">
        <v>0</v>
      </c>
      <c r="K931" s="7" t="n">
        <v>3</v>
      </c>
      <c r="L931" s="7" t="n">
        <v>9</v>
      </c>
      <c r="M931" s="7" t="n">
        <v>0</v>
      </c>
      <c r="N931" s="7" t="n">
        <v>2</v>
      </c>
      <c r="O931" s="7" t="n">
        <v>1</v>
      </c>
      <c r="P931" s="8" t="n">
        <f aca="false">IF(E931=0,0,G931/E931)</f>
        <v>0.272727272727273</v>
      </c>
      <c r="Q931" s="8" t="n">
        <f aca="false">IF(E931+N931=0,0,(G931+N931)/(E931+N931))</f>
        <v>0.333333333333333</v>
      </c>
      <c r="R931" s="8" t="n">
        <f aca="false">IF(E931=0,0,L931/E931)</f>
        <v>0.409090909090909</v>
      </c>
      <c r="S931" s="8" t="n">
        <f aca="false">R931+Q931</f>
        <v>0.742424242424242</v>
      </c>
      <c r="T931" s="8" t="n">
        <f aca="false">R931-P931</f>
        <v>0.136363636363636</v>
      </c>
    </row>
    <row r="932" customFormat="false" ht="14.25" hidden="false" customHeight="true" outlineLevel="0" collapsed="false">
      <c r="A932" s="6" t="n">
        <v>2021</v>
      </c>
      <c r="B932" s="6" t="s">
        <v>71</v>
      </c>
      <c r="C932" s="6" t="s">
        <v>81</v>
      </c>
      <c r="D932" s="7" t="n">
        <v>5</v>
      </c>
      <c r="E932" s="7" t="n">
        <v>16</v>
      </c>
      <c r="F932" s="7" t="n">
        <v>4</v>
      </c>
      <c r="G932" s="7" t="n">
        <v>5</v>
      </c>
      <c r="H932" s="7" t="n">
        <v>0</v>
      </c>
      <c r="I932" s="7" t="n">
        <v>0</v>
      </c>
      <c r="J932" s="7" t="n">
        <v>3</v>
      </c>
      <c r="K932" s="7" t="n">
        <v>3</v>
      </c>
      <c r="L932" s="7" t="n">
        <v>14</v>
      </c>
      <c r="M932" s="7" t="n">
        <v>5</v>
      </c>
      <c r="N932" s="7" t="n">
        <v>1</v>
      </c>
      <c r="O932" s="7" t="n">
        <v>1</v>
      </c>
      <c r="P932" s="8" t="n">
        <f aca="false">IF(E932=0,0,G932/E932)</f>
        <v>0.3125</v>
      </c>
      <c r="Q932" s="8" t="n">
        <f aca="false">IF(E932+N932=0,0,(G932+N932)/(E932+N932))</f>
        <v>0.352941176470588</v>
      </c>
      <c r="R932" s="8" t="n">
        <f aca="false">IF(E932=0,0,L932/E932)</f>
        <v>0.875</v>
      </c>
      <c r="S932" s="8" t="n">
        <f aca="false">R932+Q932</f>
        <v>1.22794117647059</v>
      </c>
      <c r="T932" s="8" t="n">
        <f aca="false">R932-P932</f>
        <v>0.5625</v>
      </c>
    </row>
    <row r="933" customFormat="false" ht="14.25" hidden="false" customHeight="true" outlineLevel="0" collapsed="false">
      <c r="A933" s="6" t="n">
        <v>2021</v>
      </c>
      <c r="B933" s="6" t="s">
        <v>71</v>
      </c>
      <c r="C933" s="6" t="s">
        <v>80</v>
      </c>
      <c r="D933" s="7" t="n">
        <v>5</v>
      </c>
      <c r="E933" s="7" t="n">
        <v>16</v>
      </c>
      <c r="F933" s="7" t="n">
        <v>4</v>
      </c>
      <c r="G933" s="7" t="n">
        <v>5</v>
      </c>
      <c r="H933" s="7" t="n">
        <v>0</v>
      </c>
      <c r="I933" s="7" t="n">
        <v>0</v>
      </c>
      <c r="J933" s="7" t="n">
        <v>1</v>
      </c>
      <c r="K933" s="7" t="n">
        <v>1</v>
      </c>
      <c r="L933" s="7" t="n">
        <v>8</v>
      </c>
      <c r="M933" s="7" t="n">
        <v>4</v>
      </c>
      <c r="N933" s="7" t="n">
        <v>1</v>
      </c>
      <c r="O933" s="7" t="n">
        <v>0</v>
      </c>
      <c r="P933" s="8" t="n">
        <f aca="false">IF(E933=0,0,G933/E933)</f>
        <v>0.3125</v>
      </c>
      <c r="Q933" s="8" t="n">
        <f aca="false">IF(E933+N933=0,0,(G933+N933)/(E933+N933))</f>
        <v>0.352941176470588</v>
      </c>
      <c r="R933" s="8" t="n">
        <f aca="false">IF(E933=0,0,L933/E933)</f>
        <v>0.5</v>
      </c>
      <c r="S933" s="8" t="n">
        <f aca="false">R933+Q933</f>
        <v>0.852941176470588</v>
      </c>
      <c r="T933" s="8" t="n">
        <f aca="false">R933-P933</f>
        <v>0.1875</v>
      </c>
    </row>
    <row r="934" customFormat="false" ht="14.25" hidden="false" customHeight="true" outlineLevel="0" collapsed="false">
      <c r="A934" s="6" t="n">
        <v>2021</v>
      </c>
      <c r="B934" s="6" t="s">
        <v>71</v>
      </c>
      <c r="C934" s="6" t="s">
        <v>411</v>
      </c>
      <c r="D934" s="7" t="n">
        <v>6</v>
      </c>
      <c r="E934" s="7" t="n">
        <v>18</v>
      </c>
      <c r="F934" s="7" t="n">
        <v>3</v>
      </c>
      <c r="G934" s="7" t="n">
        <v>4</v>
      </c>
      <c r="H934" s="7" t="n">
        <v>2</v>
      </c>
      <c r="I934" s="7" t="n">
        <v>0</v>
      </c>
      <c r="J934" s="7" t="n">
        <v>0</v>
      </c>
      <c r="K934" s="7" t="n">
        <v>2</v>
      </c>
      <c r="L934" s="7" t="n">
        <v>6</v>
      </c>
      <c r="M934" s="7" t="n">
        <v>1</v>
      </c>
      <c r="N934" s="7" t="n">
        <v>1</v>
      </c>
      <c r="O934" s="7" t="n">
        <v>4</v>
      </c>
      <c r="P934" s="8" t="n">
        <f aca="false">IF(E934=0,0,G934/E934)</f>
        <v>0.222222222222222</v>
      </c>
      <c r="Q934" s="8" t="n">
        <f aca="false">IF(E934+N934=0,0,(G934+N934)/(E934+N934))</f>
        <v>0.263157894736842</v>
      </c>
      <c r="R934" s="8" t="n">
        <f aca="false">IF(E934=0,0,L934/E934)</f>
        <v>0.333333333333333</v>
      </c>
      <c r="S934" s="8" t="n">
        <f aca="false">R934+Q934</f>
        <v>0.596491228070175</v>
      </c>
      <c r="T934" s="8" t="n">
        <f aca="false">R934-P934</f>
        <v>0.111111111111111</v>
      </c>
    </row>
    <row r="935" customFormat="false" ht="14.25" hidden="false" customHeight="true" outlineLevel="0" collapsed="false">
      <c r="A935" s="6" t="n">
        <v>2021</v>
      </c>
      <c r="B935" s="6" t="s">
        <v>71</v>
      </c>
      <c r="C935" s="6" t="s">
        <v>246</v>
      </c>
      <c r="D935" s="7" t="n">
        <v>8</v>
      </c>
      <c r="E935" s="7" t="n">
        <v>17</v>
      </c>
      <c r="F935" s="7" t="n">
        <v>1</v>
      </c>
      <c r="G935" s="7" t="n">
        <v>4</v>
      </c>
      <c r="H935" s="7" t="n">
        <v>0</v>
      </c>
      <c r="I935" s="7" t="n">
        <v>0</v>
      </c>
      <c r="J935" s="7" t="n">
        <v>0</v>
      </c>
      <c r="K935" s="7" t="n">
        <v>0</v>
      </c>
      <c r="L935" s="7" t="n">
        <v>4</v>
      </c>
      <c r="M935" s="7" t="n">
        <v>0</v>
      </c>
      <c r="N935" s="7" t="n">
        <v>3</v>
      </c>
      <c r="O935" s="7" t="n">
        <v>4</v>
      </c>
      <c r="P935" s="8" t="n">
        <f aca="false">IF(E935=0,0,G935/E935)</f>
        <v>0.235294117647059</v>
      </c>
      <c r="Q935" s="8" t="n">
        <f aca="false">IF(E935+N935=0,0,(G935+N935)/(E935+N935))</f>
        <v>0.35</v>
      </c>
      <c r="R935" s="8" t="n">
        <f aca="false">IF(E935=0,0,L935/E935)</f>
        <v>0.235294117647059</v>
      </c>
      <c r="S935" s="8" t="n">
        <f aca="false">R935+Q935</f>
        <v>0.585294117647059</v>
      </c>
      <c r="T935" s="8" t="n">
        <f aca="false">R935-P935</f>
        <v>0</v>
      </c>
    </row>
    <row r="936" customFormat="false" ht="14.25" hidden="false" customHeight="true" outlineLevel="0" collapsed="false">
      <c r="A936" s="6" t="n">
        <v>2021</v>
      </c>
      <c r="B936" s="6" t="s">
        <v>71</v>
      </c>
      <c r="C936" s="6" t="s">
        <v>83</v>
      </c>
      <c r="D936" s="7" t="n">
        <v>5</v>
      </c>
      <c r="E936" s="7" t="n">
        <v>14</v>
      </c>
      <c r="F936" s="7" t="n">
        <v>0</v>
      </c>
      <c r="G936" s="7" t="n">
        <v>3</v>
      </c>
      <c r="H936" s="7" t="n">
        <v>0</v>
      </c>
      <c r="I936" s="7" t="n">
        <v>0</v>
      </c>
      <c r="J936" s="7" t="n">
        <v>0</v>
      </c>
      <c r="K936" s="7" t="n">
        <v>0</v>
      </c>
      <c r="L936" s="7" t="n">
        <v>3</v>
      </c>
      <c r="M936" s="7" t="n">
        <v>1</v>
      </c>
      <c r="N936" s="7" t="n">
        <v>1</v>
      </c>
      <c r="O936" s="7" t="n">
        <v>1</v>
      </c>
      <c r="P936" s="8" t="n">
        <f aca="false">IF(E936=0,0,G936/E936)</f>
        <v>0.214285714285714</v>
      </c>
      <c r="Q936" s="8" t="n">
        <f aca="false">IF(E936+N936=0,0,(G936+N936)/(E936+N936))</f>
        <v>0.266666666666667</v>
      </c>
      <c r="R936" s="8" t="n">
        <f aca="false">IF(E936=0,0,L936/E936)</f>
        <v>0.214285714285714</v>
      </c>
      <c r="S936" s="8" t="n">
        <f aca="false">R936+Q936</f>
        <v>0.480952380952381</v>
      </c>
      <c r="T936" s="8" t="n">
        <f aca="false">R936-P936</f>
        <v>0</v>
      </c>
    </row>
    <row r="937" customFormat="false" ht="14.25" hidden="false" customHeight="true" outlineLevel="0" collapsed="false">
      <c r="A937" s="6" t="n">
        <v>2021</v>
      </c>
      <c r="B937" s="6" t="s">
        <v>71</v>
      </c>
      <c r="C937" s="6" t="s">
        <v>319</v>
      </c>
      <c r="D937" s="7" t="n">
        <v>7</v>
      </c>
      <c r="E937" s="7" t="n">
        <v>19</v>
      </c>
      <c r="F937" s="7" t="n">
        <v>1</v>
      </c>
      <c r="G937" s="7" t="n">
        <v>2</v>
      </c>
      <c r="H937" s="7" t="n">
        <v>1</v>
      </c>
      <c r="I937" s="7" t="n">
        <v>0</v>
      </c>
      <c r="J937" s="7" t="n">
        <v>0</v>
      </c>
      <c r="K937" s="7" t="n">
        <v>1</v>
      </c>
      <c r="L937" s="7" t="n">
        <v>3</v>
      </c>
      <c r="M937" s="7" t="n">
        <v>3</v>
      </c>
      <c r="N937" s="7" t="n">
        <v>0</v>
      </c>
      <c r="O937" s="7" t="n">
        <v>1</v>
      </c>
      <c r="P937" s="8" t="n">
        <f aca="false">IF(E937=0,0,G937/E937)</f>
        <v>0.105263157894737</v>
      </c>
      <c r="Q937" s="8" t="n">
        <f aca="false">IF(E937+N937=0,0,(G937+N937)/(E937+N937))</f>
        <v>0.105263157894737</v>
      </c>
      <c r="R937" s="8" t="n">
        <f aca="false">IF(E937=0,0,L937/E937)</f>
        <v>0.157894736842105</v>
      </c>
      <c r="S937" s="8" t="n">
        <f aca="false">R937+Q937</f>
        <v>0.263157894736842</v>
      </c>
      <c r="T937" s="8" t="n">
        <f aca="false">R937-P937</f>
        <v>0.0526315789473684</v>
      </c>
    </row>
    <row r="938" customFormat="false" ht="14.25" hidden="false" customHeight="true" outlineLevel="0" collapsed="false">
      <c r="A938" s="6" t="n">
        <v>2021</v>
      </c>
      <c r="B938" s="6" t="s">
        <v>71</v>
      </c>
      <c r="C938" s="6" t="s">
        <v>79</v>
      </c>
      <c r="D938" s="7" t="n">
        <v>7</v>
      </c>
      <c r="E938" s="7" t="n">
        <v>18</v>
      </c>
      <c r="F938" s="7" t="n">
        <v>1</v>
      </c>
      <c r="G938" s="7" t="n">
        <v>2</v>
      </c>
      <c r="H938" s="7" t="n">
        <v>0</v>
      </c>
      <c r="I938" s="7" t="n">
        <v>0</v>
      </c>
      <c r="J938" s="7" t="n">
        <v>0</v>
      </c>
      <c r="K938" s="7" t="n">
        <v>0</v>
      </c>
      <c r="L938" s="7" t="n">
        <v>2</v>
      </c>
      <c r="M938" s="7" t="n">
        <v>0</v>
      </c>
      <c r="N938" s="7" t="n">
        <v>3</v>
      </c>
      <c r="O938" s="7" t="n">
        <v>2</v>
      </c>
      <c r="P938" s="8" t="n">
        <f aca="false">IF(E938=0,0,G938/E938)</f>
        <v>0.111111111111111</v>
      </c>
      <c r="Q938" s="8" t="n">
        <f aca="false">IF(E938+N938=0,0,(G938+N938)/(E938+N938))</f>
        <v>0.238095238095238</v>
      </c>
      <c r="R938" s="8" t="n">
        <f aca="false">IF(E938=0,0,L938/E938)</f>
        <v>0.111111111111111</v>
      </c>
      <c r="S938" s="8" t="n">
        <f aca="false">R938+Q938</f>
        <v>0.349206349206349</v>
      </c>
      <c r="T938" s="8" t="n">
        <f aca="false">R938-P938</f>
        <v>0</v>
      </c>
    </row>
    <row r="939" customFormat="false" ht="14.25" hidden="false" customHeight="true" outlineLevel="0" collapsed="false">
      <c r="A939" s="6" t="n">
        <v>2021</v>
      </c>
      <c r="B939" s="6" t="s">
        <v>71</v>
      </c>
      <c r="C939" s="6" t="s">
        <v>77</v>
      </c>
      <c r="D939" s="7" t="n">
        <v>4</v>
      </c>
      <c r="E939" s="7" t="n">
        <v>12</v>
      </c>
      <c r="F939" s="7" t="n">
        <v>0</v>
      </c>
      <c r="G939" s="7" t="n">
        <v>1</v>
      </c>
      <c r="H939" s="7" t="n">
        <v>0</v>
      </c>
      <c r="I939" s="7" t="n">
        <v>0</v>
      </c>
      <c r="J939" s="7" t="n">
        <v>0</v>
      </c>
      <c r="K939" s="7" t="n">
        <v>0</v>
      </c>
      <c r="L939" s="7" t="n">
        <v>1</v>
      </c>
      <c r="M939" s="7" t="n">
        <v>0</v>
      </c>
      <c r="N939" s="7" t="n">
        <v>0</v>
      </c>
      <c r="O939" s="7" t="n">
        <v>1</v>
      </c>
      <c r="P939" s="8" t="n">
        <f aca="false">IF(E939=0,0,G939/E939)</f>
        <v>0.0833333333333333</v>
      </c>
      <c r="Q939" s="8" t="n">
        <f aca="false">IF(E939+N939=0,0,(G939+N939)/(E939+N939))</f>
        <v>0.0833333333333333</v>
      </c>
      <c r="R939" s="8" t="n">
        <f aca="false">IF(E939=0,0,L939/E939)</f>
        <v>0.0833333333333333</v>
      </c>
      <c r="S939" s="8" t="n">
        <f aca="false">R939+Q939</f>
        <v>0.166666666666667</v>
      </c>
      <c r="T939" s="8" t="n">
        <f aca="false">R939-P939</f>
        <v>0</v>
      </c>
    </row>
    <row r="940" customFormat="false" ht="14.25" hidden="false" customHeight="true" outlineLevel="0" collapsed="false">
      <c r="A940" s="6" t="n">
        <v>2021</v>
      </c>
      <c r="B940" s="6" t="s">
        <v>71</v>
      </c>
      <c r="C940" s="6" t="s">
        <v>375</v>
      </c>
      <c r="D940" s="7" t="n">
        <v>4</v>
      </c>
      <c r="E940" s="7" t="n">
        <v>7</v>
      </c>
      <c r="F940" s="7" t="n">
        <v>1</v>
      </c>
      <c r="G940" s="7" t="n">
        <v>1</v>
      </c>
      <c r="H940" s="7" t="n">
        <v>0</v>
      </c>
      <c r="I940" s="7" t="n">
        <v>0</v>
      </c>
      <c r="J940" s="7" t="n">
        <v>0</v>
      </c>
      <c r="K940" s="7" t="n">
        <v>0</v>
      </c>
      <c r="L940" s="7" t="n">
        <v>1</v>
      </c>
      <c r="M940" s="7" t="n">
        <v>0</v>
      </c>
      <c r="N940" s="7" t="n">
        <v>2</v>
      </c>
      <c r="O940" s="7" t="n">
        <v>0</v>
      </c>
      <c r="P940" s="8" t="n">
        <f aca="false">IF(E940=0,0,G940/E940)</f>
        <v>0.142857142857143</v>
      </c>
      <c r="Q940" s="8" t="n">
        <f aca="false">IF(E940+N940=0,0,(G940+N940)/(E940+N940))</f>
        <v>0.333333333333333</v>
      </c>
      <c r="R940" s="8" t="n">
        <f aca="false">IF(E940=0,0,L940/E940)</f>
        <v>0.142857142857143</v>
      </c>
      <c r="S940" s="8" t="n">
        <f aca="false">R940+Q940</f>
        <v>0.476190476190476</v>
      </c>
      <c r="T940" s="8" t="n">
        <f aca="false">R940-P940</f>
        <v>0</v>
      </c>
    </row>
    <row r="941" customFormat="false" ht="14.25" hidden="false" customHeight="true" outlineLevel="0" collapsed="false">
      <c r="A941" s="6" t="n">
        <v>2021</v>
      </c>
      <c r="B941" s="6" t="s">
        <v>71</v>
      </c>
      <c r="C941" s="6" t="s">
        <v>249</v>
      </c>
      <c r="D941" s="7" t="n">
        <v>2</v>
      </c>
      <c r="E941" s="7" t="n">
        <v>7</v>
      </c>
      <c r="F941" s="7" t="n">
        <v>0</v>
      </c>
      <c r="G941" s="7" t="n">
        <v>1</v>
      </c>
      <c r="H941" s="7" t="n">
        <v>0</v>
      </c>
      <c r="I941" s="7" t="n">
        <v>0</v>
      </c>
      <c r="J941" s="7" t="n">
        <v>0</v>
      </c>
      <c r="K941" s="7" t="n">
        <v>0</v>
      </c>
      <c r="L941" s="7" t="n">
        <v>1</v>
      </c>
      <c r="M941" s="7" t="n">
        <v>0</v>
      </c>
      <c r="N941" s="7" t="n">
        <v>0</v>
      </c>
      <c r="O941" s="7" t="n">
        <v>0</v>
      </c>
      <c r="P941" s="8" t="n">
        <f aca="false">IF(E941=0,0,G941/E941)</f>
        <v>0.142857142857143</v>
      </c>
      <c r="Q941" s="8" t="n">
        <f aca="false">IF(E941+N941=0,0,(G941+N941)/(E941+N941))</f>
        <v>0.142857142857143</v>
      </c>
      <c r="R941" s="8" t="n">
        <f aca="false">IF(E941=0,0,L941/E941)</f>
        <v>0.142857142857143</v>
      </c>
      <c r="S941" s="8" t="n">
        <f aca="false">R941+Q941</f>
        <v>0.285714285714286</v>
      </c>
      <c r="T941" s="8" t="n">
        <f aca="false">R941-P941</f>
        <v>0</v>
      </c>
    </row>
    <row r="942" customFormat="false" ht="14.25" hidden="false" customHeight="true" outlineLevel="0" collapsed="false">
      <c r="A942" s="6" t="n">
        <v>2021</v>
      </c>
      <c r="B942" s="6" t="s">
        <v>71</v>
      </c>
      <c r="C942" s="6" t="s">
        <v>240</v>
      </c>
      <c r="D942" s="7" t="n">
        <v>2</v>
      </c>
      <c r="E942" s="7" t="n">
        <v>5</v>
      </c>
      <c r="F942" s="7" t="n">
        <v>0</v>
      </c>
      <c r="G942" s="7" t="n">
        <v>0</v>
      </c>
      <c r="H942" s="7" t="n">
        <v>0</v>
      </c>
      <c r="I942" s="7" t="n">
        <v>0</v>
      </c>
      <c r="J942" s="7" t="n">
        <v>0</v>
      </c>
      <c r="K942" s="7" t="n">
        <v>0</v>
      </c>
      <c r="L942" s="7" t="n">
        <v>0</v>
      </c>
      <c r="M942" s="7" t="n">
        <v>0</v>
      </c>
      <c r="N942" s="7" t="n">
        <v>0</v>
      </c>
      <c r="O942" s="7" t="n">
        <v>1</v>
      </c>
      <c r="P942" s="8" t="n">
        <f aca="false">IF(E942=0,0,G942/E942)</f>
        <v>0</v>
      </c>
      <c r="Q942" s="8" t="n">
        <f aca="false">IF(E942+N942=0,0,(G942+N942)/(E942+N942))</f>
        <v>0</v>
      </c>
      <c r="R942" s="8" t="n">
        <f aca="false">IF(E942=0,0,L942/E942)</f>
        <v>0</v>
      </c>
      <c r="S942" s="8" t="n">
        <f aca="false">R942+Q942</f>
        <v>0</v>
      </c>
      <c r="T942" s="8" t="n">
        <f aca="false">R942-P942</f>
        <v>0</v>
      </c>
    </row>
    <row r="943" customFormat="false" ht="14.25" hidden="false" customHeight="true" outlineLevel="0" collapsed="false">
      <c r="A943" s="6" t="n">
        <v>2021</v>
      </c>
      <c r="B943" s="6" t="s">
        <v>71</v>
      </c>
      <c r="C943" s="6" t="s">
        <v>412</v>
      </c>
      <c r="D943" s="7" t="n">
        <v>1</v>
      </c>
      <c r="E943" s="7" t="n">
        <v>1</v>
      </c>
      <c r="F943" s="7" t="n">
        <v>0</v>
      </c>
      <c r="G943" s="7" t="n">
        <v>0</v>
      </c>
      <c r="H943" s="7" t="n">
        <v>0</v>
      </c>
      <c r="I943" s="7" t="n">
        <v>0</v>
      </c>
      <c r="J943" s="7" t="n">
        <v>0</v>
      </c>
      <c r="K943" s="7" t="n">
        <v>0</v>
      </c>
      <c r="L943" s="7" t="n">
        <v>0</v>
      </c>
      <c r="M943" s="7" t="n">
        <v>0</v>
      </c>
      <c r="N943" s="7" t="n">
        <v>0</v>
      </c>
      <c r="O943" s="7" t="n">
        <v>1</v>
      </c>
      <c r="P943" s="8" t="n">
        <f aca="false">IF(E943=0,0,G943/E943)</f>
        <v>0</v>
      </c>
      <c r="Q943" s="8" t="n">
        <f aca="false">IF(E943+N943=0,0,(G943+N943)/(E943+N943))</f>
        <v>0</v>
      </c>
      <c r="R943" s="8" t="n">
        <f aca="false">IF(E943=0,0,L943/E943)</f>
        <v>0</v>
      </c>
      <c r="S943" s="8" t="n">
        <f aca="false">R943+Q943</f>
        <v>0</v>
      </c>
      <c r="T943" s="8" t="n">
        <f aca="false">R943-P943</f>
        <v>0</v>
      </c>
    </row>
    <row r="944" customFormat="false" ht="14.25" hidden="false" customHeight="true" outlineLevel="0" collapsed="false">
      <c r="A944" s="6" t="n">
        <v>2021</v>
      </c>
      <c r="B944" s="6" t="s">
        <v>71</v>
      </c>
      <c r="C944" s="6" t="s">
        <v>413</v>
      </c>
      <c r="D944" s="7" t="n">
        <v>1</v>
      </c>
      <c r="E944" s="7" t="n">
        <v>3</v>
      </c>
      <c r="F944" s="7" t="n">
        <v>0</v>
      </c>
      <c r="G944" s="7" t="n">
        <v>0</v>
      </c>
      <c r="H944" s="7" t="n">
        <v>0</v>
      </c>
      <c r="I944" s="7" t="n">
        <v>0</v>
      </c>
      <c r="J944" s="7" t="n">
        <v>0</v>
      </c>
      <c r="K944" s="7" t="n">
        <v>0</v>
      </c>
      <c r="L944" s="7" t="n">
        <v>0</v>
      </c>
      <c r="M944" s="7" t="n">
        <v>0</v>
      </c>
      <c r="N944" s="7" t="n">
        <v>0</v>
      </c>
      <c r="O944" s="7" t="n">
        <v>0</v>
      </c>
      <c r="P944" s="8" t="n">
        <f aca="false">IF(E944=0,0,G944/E944)</f>
        <v>0</v>
      </c>
      <c r="Q944" s="8" t="n">
        <f aca="false">IF(E944+N944=0,0,(G944+N944)/(E944+N944))</f>
        <v>0</v>
      </c>
      <c r="R944" s="8" t="n">
        <f aca="false">IF(E944=0,0,L944/E944)</f>
        <v>0</v>
      </c>
      <c r="S944" s="8" t="n">
        <f aca="false">R944+Q944</f>
        <v>0</v>
      </c>
      <c r="T944" s="8" t="n">
        <f aca="false">R944-P944</f>
        <v>0</v>
      </c>
    </row>
    <row r="945" customFormat="false" ht="14.25" hidden="false" customHeight="true" outlineLevel="0" collapsed="false">
      <c r="A945" s="6" t="n">
        <v>2021</v>
      </c>
      <c r="B945" s="6" t="s">
        <v>71</v>
      </c>
      <c r="C945" s="6" t="s">
        <v>90</v>
      </c>
      <c r="D945" s="7" t="n">
        <v>1</v>
      </c>
      <c r="E945" s="7" t="n">
        <v>2</v>
      </c>
      <c r="F945" s="7" t="n">
        <v>0</v>
      </c>
      <c r="G945" s="7" t="n">
        <v>0</v>
      </c>
      <c r="H945" s="7" t="n">
        <v>0</v>
      </c>
      <c r="I945" s="7" t="n">
        <v>0</v>
      </c>
      <c r="J945" s="7" t="n">
        <v>0</v>
      </c>
      <c r="K945" s="7" t="n">
        <v>0</v>
      </c>
      <c r="L945" s="7" t="n">
        <v>0</v>
      </c>
      <c r="M945" s="7" t="n">
        <v>0</v>
      </c>
      <c r="N945" s="7" t="n">
        <v>0</v>
      </c>
      <c r="O945" s="7" t="n">
        <v>0</v>
      </c>
      <c r="P945" s="8" t="n">
        <f aca="false">IF(E945=0,0,G945/E945)</f>
        <v>0</v>
      </c>
      <c r="Q945" s="8" t="n">
        <f aca="false">IF(E945+N945=0,0,(G945+N945)/(E945+N945))</f>
        <v>0</v>
      </c>
      <c r="R945" s="8" t="n">
        <f aca="false">IF(E945=0,0,L945/E945)</f>
        <v>0</v>
      </c>
      <c r="S945" s="8" t="n">
        <f aca="false">R945+Q945</f>
        <v>0</v>
      </c>
      <c r="T945" s="8" t="n">
        <f aca="false">R945-P945</f>
        <v>0</v>
      </c>
    </row>
    <row r="946" customFormat="false" ht="14.25" hidden="false" customHeight="true" outlineLevel="0" collapsed="false">
      <c r="A946" s="6" t="n">
        <v>2021</v>
      </c>
      <c r="B946" s="6" t="s">
        <v>71</v>
      </c>
      <c r="C946" s="6" t="s">
        <v>403</v>
      </c>
      <c r="D946" s="7" t="n">
        <v>1</v>
      </c>
      <c r="E946" s="7" t="n">
        <v>2</v>
      </c>
      <c r="F946" s="7" t="n">
        <v>0</v>
      </c>
      <c r="G946" s="7" t="n">
        <v>0</v>
      </c>
      <c r="H946" s="7" t="n">
        <v>0</v>
      </c>
      <c r="I946" s="7" t="n">
        <v>0</v>
      </c>
      <c r="J946" s="7" t="n">
        <v>0</v>
      </c>
      <c r="K946" s="7" t="n">
        <v>0</v>
      </c>
      <c r="L946" s="7" t="n">
        <v>0</v>
      </c>
      <c r="M946" s="7" t="n">
        <v>0</v>
      </c>
      <c r="N946" s="7" t="n">
        <v>0</v>
      </c>
      <c r="O946" s="7" t="n">
        <v>0</v>
      </c>
      <c r="P946" s="8" t="n">
        <f aca="false">IF(E946=0,0,G946/E946)</f>
        <v>0</v>
      </c>
      <c r="Q946" s="8" t="n">
        <f aca="false">IF(E946+N946=0,0,(G946+N946)/(E946+N946))</f>
        <v>0</v>
      </c>
      <c r="R946" s="8" t="n">
        <f aca="false">IF(E946=0,0,L946/E946)</f>
        <v>0</v>
      </c>
      <c r="S946" s="8" t="n">
        <f aca="false">R946+Q946</f>
        <v>0</v>
      </c>
      <c r="T946" s="8" t="n">
        <f aca="false">R946-P946</f>
        <v>0</v>
      </c>
    </row>
    <row r="947" customFormat="false" ht="14.25" hidden="false" customHeight="true" outlineLevel="0" collapsed="false">
      <c r="A947" s="6" t="n">
        <v>2021</v>
      </c>
      <c r="B947" s="6" t="s">
        <v>71</v>
      </c>
      <c r="C947" s="6" t="s">
        <v>414</v>
      </c>
      <c r="D947" s="7" t="n">
        <v>1</v>
      </c>
      <c r="E947" s="7" t="n">
        <v>2</v>
      </c>
      <c r="F947" s="7" t="n">
        <v>0</v>
      </c>
      <c r="G947" s="7" t="n">
        <v>0</v>
      </c>
      <c r="H947" s="7" t="n">
        <v>0</v>
      </c>
      <c r="I947" s="7" t="n">
        <v>0</v>
      </c>
      <c r="J947" s="7" t="n">
        <v>0</v>
      </c>
      <c r="K947" s="7" t="n">
        <v>0</v>
      </c>
      <c r="L947" s="7" t="n">
        <v>0</v>
      </c>
      <c r="M947" s="7" t="n">
        <v>0</v>
      </c>
      <c r="N947" s="7" t="n">
        <v>0</v>
      </c>
      <c r="O947" s="7" t="n">
        <v>0</v>
      </c>
      <c r="P947" s="8" t="n">
        <f aca="false">IF(E947=0,0,G947/E947)</f>
        <v>0</v>
      </c>
      <c r="Q947" s="8" t="n">
        <f aca="false">IF(E947+N947=0,0,(G947+N947)/(E947+N947))</f>
        <v>0</v>
      </c>
      <c r="R947" s="8" t="n">
        <f aca="false">IF(E947=0,0,L947/E947)</f>
        <v>0</v>
      </c>
      <c r="S947" s="8" t="n">
        <f aca="false">R947+Q947</f>
        <v>0</v>
      </c>
      <c r="T947" s="8" t="n">
        <f aca="false">R947-P947</f>
        <v>0</v>
      </c>
    </row>
    <row r="948" customFormat="false" ht="14.25" hidden="false" customHeight="true" outlineLevel="0" collapsed="false">
      <c r="A948" s="6" t="n">
        <v>2021</v>
      </c>
      <c r="B948" s="6" t="s">
        <v>71</v>
      </c>
      <c r="C948" s="6" t="s">
        <v>415</v>
      </c>
      <c r="D948" s="7" t="n">
        <v>1</v>
      </c>
      <c r="E948" s="7" t="n">
        <v>2</v>
      </c>
      <c r="F948" s="7" t="n">
        <v>0</v>
      </c>
      <c r="G948" s="7" t="n">
        <v>0</v>
      </c>
      <c r="H948" s="7" t="n">
        <v>0</v>
      </c>
      <c r="I948" s="7" t="n">
        <v>0</v>
      </c>
      <c r="J948" s="7" t="n">
        <v>0</v>
      </c>
      <c r="K948" s="7" t="n">
        <v>0</v>
      </c>
      <c r="L948" s="7" t="n">
        <v>0</v>
      </c>
      <c r="M948" s="7" t="n">
        <v>0</v>
      </c>
      <c r="N948" s="7" t="n">
        <v>0</v>
      </c>
      <c r="O948" s="7" t="n">
        <v>0</v>
      </c>
      <c r="P948" s="8" t="n">
        <f aca="false">IF(E948=0,0,G948/E948)</f>
        <v>0</v>
      </c>
      <c r="Q948" s="8" t="n">
        <f aca="false">IF(E948+N948=0,0,(G948+N948)/(E948+N948))</f>
        <v>0</v>
      </c>
      <c r="R948" s="8" t="n">
        <f aca="false">IF(E948=0,0,L948/E948)</f>
        <v>0</v>
      </c>
      <c r="S948" s="8" t="n">
        <f aca="false">R948+Q948</f>
        <v>0</v>
      </c>
      <c r="T948" s="8" t="n">
        <f aca="false">R948-P948</f>
        <v>0</v>
      </c>
    </row>
    <row r="949" customFormat="false" ht="14.25" hidden="false" customHeight="true" outlineLevel="0" collapsed="false">
      <c r="A949" s="6" t="n">
        <v>2021</v>
      </c>
      <c r="B949" s="6" t="s">
        <v>71</v>
      </c>
      <c r="C949" s="6" t="s">
        <v>416</v>
      </c>
      <c r="D949" s="7" t="n">
        <v>1</v>
      </c>
      <c r="E949" s="7" t="n">
        <v>2</v>
      </c>
      <c r="F949" s="7" t="n">
        <v>0</v>
      </c>
      <c r="G949" s="7" t="n">
        <v>0</v>
      </c>
      <c r="H949" s="7" t="n">
        <v>0</v>
      </c>
      <c r="I949" s="7" t="n">
        <v>0</v>
      </c>
      <c r="J949" s="7" t="n">
        <v>0</v>
      </c>
      <c r="K949" s="7" t="n">
        <v>0</v>
      </c>
      <c r="L949" s="7" t="n">
        <v>0</v>
      </c>
      <c r="M949" s="7" t="n">
        <v>0</v>
      </c>
      <c r="N949" s="7" t="n">
        <v>0</v>
      </c>
      <c r="O949" s="7" t="n">
        <v>0</v>
      </c>
      <c r="P949" s="8" t="n">
        <f aca="false">IF(E949=0,0,G949/E949)</f>
        <v>0</v>
      </c>
      <c r="Q949" s="8" t="n">
        <f aca="false">IF(E949+N949=0,0,(G949+N949)/(E949+N949))</f>
        <v>0</v>
      </c>
      <c r="R949" s="8" t="n">
        <f aca="false">IF(E949=0,0,L949/E949)</f>
        <v>0</v>
      </c>
      <c r="S949" s="8" t="n">
        <f aca="false">R949+Q949</f>
        <v>0</v>
      </c>
      <c r="T949" s="8" t="n">
        <f aca="false">R949-P949</f>
        <v>0</v>
      </c>
    </row>
    <row r="950" customFormat="false" ht="14.25" hidden="false" customHeight="true" outlineLevel="0" collapsed="false">
      <c r="A950" s="6" t="n">
        <v>2021</v>
      </c>
      <c r="B950" s="6" t="s">
        <v>71</v>
      </c>
      <c r="C950" s="6" t="s">
        <v>417</v>
      </c>
      <c r="D950" s="7" t="n">
        <v>1</v>
      </c>
      <c r="E950" s="7" t="n">
        <v>1</v>
      </c>
      <c r="F950" s="7" t="n">
        <v>0</v>
      </c>
      <c r="G950" s="7" t="n">
        <v>0</v>
      </c>
      <c r="H950" s="7" t="n">
        <v>0</v>
      </c>
      <c r="I950" s="7" t="n">
        <v>0</v>
      </c>
      <c r="J950" s="7" t="n">
        <v>0</v>
      </c>
      <c r="K950" s="7" t="n">
        <v>0</v>
      </c>
      <c r="L950" s="7" t="n">
        <v>0</v>
      </c>
      <c r="M950" s="7" t="n">
        <v>0</v>
      </c>
      <c r="N950" s="7" t="n">
        <v>0</v>
      </c>
      <c r="O950" s="7" t="n">
        <v>0</v>
      </c>
      <c r="P950" s="8" t="n">
        <f aca="false">IF(E950=0,0,G950/E950)</f>
        <v>0</v>
      </c>
      <c r="Q950" s="8" t="n">
        <f aca="false">IF(E950+N950=0,0,(G950+N950)/(E950+N950))</f>
        <v>0</v>
      </c>
      <c r="R950" s="8" t="n">
        <f aca="false">IF(E950=0,0,L950/E950)</f>
        <v>0</v>
      </c>
      <c r="S950" s="8" t="n">
        <f aca="false">R950+Q950</f>
        <v>0</v>
      </c>
      <c r="T950" s="8" t="n">
        <f aca="false">R950-P950</f>
        <v>0</v>
      </c>
    </row>
    <row r="951" customFormat="false" ht="14.25" hidden="false" customHeight="true" outlineLevel="0" collapsed="false">
      <c r="A951" s="6" t="n">
        <v>2021</v>
      </c>
      <c r="B951" s="6" t="s">
        <v>97</v>
      </c>
      <c r="C951" s="6" t="s">
        <v>325</v>
      </c>
      <c r="D951" s="7" t="n">
        <v>9</v>
      </c>
      <c r="E951" s="7" t="n">
        <v>30</v>
      </c>
      <c r="F951" s="7" t="n">
        <v>9</v>
      </c>
      <c r="G951" s="7" t="n">
        <v>15</v>
      </c>
      <c r="H951" s="7" t="n">
        <v>4</v>
      </c>
      <c r="I951" s="7" t="n">
        <v>0</v>
      </c>
      <c r="J951" s="7" t="n">
        <v>2</v>
      </c>
      <c r="K951" s="7" t="n">
        <v>6</v>
      </c>
      <c r="L951" s="7" t="n">
        <v>25</v>
      </c>
      <c r="M951" s="7" t="n">
        <v>4</v>
      </c>
      <c r="N951" s="7" t="n">
        <v>1</v>
      </c>
      <c r="O951" s="7" t="n">
        <v>0</v>
      </c>
      <c r="P951" s="8" t="n">
        <f aca="false">IF(E951=0,0,G951/E951)</f>
        <v>0.5</v>
      </c>
      <c r="Q951" s="8" t="n">
        <f aca="false">IF(E951+N951=0,0,(G951+N951)/(E951+N951))</f>
        <v>0.516129032258065</v>
      </c>
      <c r="R951" s="8" t="n">
        <f aca="false">IF(E951=0,0,L951/E951)</f>
        <v>0.833333333333333</v>
      </c>
      <c r="S951" s="8" t="n">
        <f aca="false">R951+Q951</f>
        <v>1.3494623655914</v>
      </c>
      <c r="T951" s="8" t="n">
        <f aca="false">R951-P951</f>
        <v>0.333333333333333</v>
      </c>
    </row>
    <row r="952" customFormat="false" ht="14.25" hidden="false" customHeight="true" outlineLevel="0" collapsed="false">
      <c r="A952" s="6" t="n">
        <v>2021</v>
      </c>
      <c r="B952" s="6" t="s">
        <v>97</v>
      </c>
      <c r="C952" s="6" t="s">
        <v>108</v>
      </c>
      <c r="D952" s="7" t="n">
        <v>8</v>
      </c>
      <c r="E952" s="7" t="n">
        <v>22</v>
      </c>
      <c r="F952" s="7" t="n">
        <v>4</v>
      </c>
      <c r="G952" s="7" t="n">
        <v>11</v>
      </c>
      <c r="H952" s="7" t="n">
        <v>0</v>
      </c>
      <c r="I952" s="7" t="n">
        <v>0</v>
      </c>
      <c r="J952" s="7" t="n">
        <v>0</v>
      </c>
      <c r="K952" s="7" t="n">
        <v>0</v>
      </c>
      <c r="L952" s="7" t="n">
        <v>11</v>
      </c>
      <c r="M952" s="7" t="n">
        <v>6</v>
      </c>
      <c r="N952" s="7" t="n">
        <v>4</v>
      </c>
      <c r="O952" s="7" t="n">
        <v>1</v>
      </c>
      <c r="P952" s="8" t="n">
        <f aca="false">IF(E952=0,0,G952/E952)</f>
        <v>0.5</v>
      </c>
      <c r="Q952" s="8" t="n">
        <f aca="false">IF(E952+N952=0,0,(G952+N952)/(E952+N952))</f>
        <v>0.576923076923077</v>
      </c>
      <c r="R952" s="8" t="n">
        <f aca="false">IF(E952=0,0,L952/E952)</f>
        <v>0.5</v>
      </c>
      <c r="S952" s="8" t="n">
        <f aca="false">R952+Q952</f>
        <v>1.07692307692308</v>
      </c>
      <c r="T952" s="8" t="n">
        <f aca="false">R952-P952</f>
        <v>0</v>
      </c>
    </row>
    <row r="953" customFormat="false" ht="14.25" hidden="false" customHeight="true" outlineLevel="0" collapsed="false">
      <c r="A953" s="6" t="n">
        <v>2021</v>
      </c>
      <c r="B953" s="6" t="s">
        <v>97</v>
      </c>
      <c r="C953" s="6" t="s">
        <v>285</v>
      </c>
      <c r="D953" s="7" t="n">
        <v>9</v>
      </c>
      <c r="E953" s="7" t="n">
        <v>29</v>
      </c>
      <c r="F953" s="7" t="n">
        <v>7</v>
      </c>
      <c r="G953" s="7" t="n">
        <v>9</v>
      </c>
      <c r="H953" s="7" t="n">
        <v>3</v>
      </c>
      <c r="I953" s="7" t="n">
        <v>0</v>
      </c>
      <c r="J953" s="7" t="n">
        <v>1</v>
      </c>
      <c r="K953" s="7" t="n">
        <v>4</v>
      </c>
      <c r="L953" s="7" t="n">
        <v>15</v>
      </c>
      <c r="M953" s="7" t="n">
        <v>7</v>
      </c>
      <c r="N953" s="7" t="n">
        <v>1</v>
      </c>
      <c r="O953" s="7" t="n">
        <v>1</v>
      </c>
      <c r="P953" s="8" t="n">
        <f aca="false">IF(E953=0,0,G953/E953)</f>
        <v>0.310344827586207</v>
      </c>
      <c r="Q953" s="8" t="n">
        <f aca="false">IF(E953+N953=0,0,(G953+N953)/(E953+N953))</f>
        <v>0.333333333333333</v>
      </c>
      <c r="R953" s="8" t="n">
        <f aca="false">IF(E953=0,0,L953/E953)</f>
        <v>0.517241379310345</v>
      </c>
      <c r="S953" s="8" t="n">
        <f aca="false">R953+Q953</f>
        <v>0.850574712643678</v>
      </c>
      <c r="T953" s="8" t="n">
        <f aca="false">R953-P953</f>
        <v>0.206896551724138</v>
      </c>
    </row>
    <row r="954" customFormat="false" ht="14.25" hidden="false" customHeight="true" outlineLevel="0" collapsed="false">
      <c r="A954" s="6" t="n">
        <v>2021</v>
      </c>
      <c r="B954" s="6" t="s">
        <v>97</v>
      </c>
      <c r="C954" s="6" t="s">
        <v>99</v>
      </c>
      <c r="D954" s="7" t="n">
        <v>9</v>
      </c>
      <c r="E954" s="7" t="n">
        <v>32</v>
      </c>
      <c r="F954" s="7" t="n">
        <v>3</v>
      </c>
      <c r="G954" s="7" t="n">
        <v>7</v>
      </c>
      <c r="H954" s="7" t="n">
        <v>0</v>
      </c>
      <c r="I954" s="7" t="n">
        <v>1</v>
      </c>
      <c r="J954" s="7" t="n">
        <v>0</v>
      </c>
      <c r="K954" s="7" t="n">
        <v>1</v>
      </c>
      <c r="L954" s="7" t="n">
        <v>9</v>
      </c>
      <c r="M954" s="7" t="n">
        <v>2</v>
      </c>
      <c r="N954" s="7" t="n">
        <v>1</v>
      </c>
      <c r="O954" s="7" t="n">
        <v>2</v>
      </c>
      <c r="P954" s="8" t="n">
        <f aca="false">IF(E954=0,0,G954/E954)</f>
        <v>0.21875</v>
      </c>
      <c r="Q954" s="8" t="n">
        <f aca="false">IF(E954+N954=0,0,(G954+N954)/(E954+N954))</f>
        <v>0.242424242424242</v>
      </c>
      <c r="R954" s="8" t="n">
        <f aca="false">IF(E954=0,0,L954/E954)</f>
        <v>0.28125</v>
      </c>
      <c r="S954" s="8" t="n">
        <f aca="false">R954+Q954</f>
        <v>0.523674242424242</v>
      </c>
      <c r="T954" s="8" t="n">
        <f aca="false">R954-P954</f>
        <v>0.0625</v>
      </c>
    </row>
    <row r="955" customFormat="false" ht="14.25" hidden="false" customHeight="true" outlineLevel="0" collapsed="false">
      <c r="A955" s="6" t="n">
        <v>2021</v>
      </c>
      <c r="B955" s="6" t="s">
        <v>97</v>
      </c>
      <c r="C955" s="6" t="s">
        <v>418</v>
      </c>
      <c r="D955" s="7" t="n">
        <v>5</v>
      </c>
      <c r="E955" s="7" t="n">
        <v>15</v>
      </c>
      <c r="F955" s="7" t="n">
        <v>3</v>
      </c>
      <c r="G955" s="7" t="n">
        <v>6</v>
      </c>
      <c r="H955" s="7" t="n">
        <v>2</v>
      </c>
      <c r="I955" s="7" t="n">
        <v>0</v>
      </c>
      <c r="J955" s="7" t="n">
        <v>1</v>
      </c>
      <c r="K955" s="7" t="n">
        <v>3</v>
      </c>
      <c r="L955" s="7" t="n">
        <v>11</v>
      </c>
      <c r="M955" s="7" t="n">
        <v>3</v>
      </c>
      <c r="N955" s="7" t="n">
        <v>1</v>
      </c>
      <c r="O955" s="7" t="n">
        <v>0</v>
      </c>
      <c r="P955" s="8" t="n">
        <f aca="false">IF(E955=0,0,G955/E955)</f>
        <v>0.4</v>
      </c>
      <c r="Q955" s="8" t="n">
        <f aca="false">IF(E955+N955=0,0,(G955+N955)/(E955+N955))</f>
        <v>0.4375</v>
      </c>
      <c r="R955" s="8" t="n">
        <f aca="false">IF(E955=0,0,L955/E955)</f>
        <v>0.733333333333333</v>
      </c>
      <c r="S955" s="8" t="n">
        <f aca="false">R955+Q955</f>
        <v>1.17083333333333</v>
      </c>
      <c r="T955" s="8" t="n">
        <f aca="false">R955-P955</f>
        <v>0.333333333333333</v>
      </c>
    </row>
    <row r="956" customFormat="false" ht="14.25" hidden="false" customHeight="true" outlineLevel="0" collapsed="false">
      <c r="A956" s="6" t="n">
        <v>2021</v>
      </c>
      <c r="B956" s="6" t="s">
        <v>97</v>
      </c>
      <c r="C956" s="6" t="s">
        <v>102</v>
      </c>
      <c r="D956" s="7" t="n">
        <v>9</v>
      </c>
      <c r="E956" s="7" t="n">
        <v>24</v>
      </c>
      <c r="F956" s="7" t="n">
        <v>3</v>
      </c>
      <c r="G956" s="7" t="n">
        <v>5</v>
      </c>
      <c r="H956" s="7" t="n">
        <v>0</v>
      </c>
      <c r="I956" s="7" t="n">
        <v>0</v>
      </c>
      <c r="J956" s="7" t="n">
        <v>0</v>
      </c>
      <c r="K956" s="7" t="n">
        <v>0</v>
      </c>
      <c r="L956" s="7" t="n">
        <v>5</v>
      </c>
      <c r="M956" s="7" t="n">
        <v>2</v>
      </c>
      <c r="N956" s="7" t="n">
        <v>3</v>
      </c>
      <c r="O956" s="7" t="n">
        <v>2</v>
      </c>
      <c r="P956" s="8" t="n">
        <f aca="false">IF(E956=0,0,G956/E956)</f>
        <v>0.208333333333333</v>
      </c>
      <c r="Q956" s="8" t="n">
        <f aca="false">IF(E956+N956=0,0,(G956+N956)/(E956+N956))</f>
        <v>0.296296296296296</v>
      </c>
      <c r="R956" s="8" t="n">
        <f aca="false">IF(E956=0,0,L956/E956)</f>
        <v>0.208333333333333</v>
      </c>
      <c r="S956" s="8" t="n">
        <f aca="false">R956+Q956</f>
        <v>0.50462962962963</v>
      </c>
      <c r="T956" s="8" t="n">
        <f aca="false">R956-P956</f>
        <v>0</v>
      </c>
    </row>
    <row r="957" customFormat="false" ht="14.25" hidden="false" customHeight="true" outlineLevel="0" collapsed="false">
      <c r="A957" s="6" t="n">
        <v>2021</v>
      </c>
      <c r="B957" s="6" t="s">
        <v>97</v>
      </c>
      <c r="C957" s="6" t="s">
        <v>286</v>
      </c>
      <c r="D957" s="7" t="n">
        <v>7</v>
      </c>
      <c r="E957" s="7" t="n">
        <v>20</v>
      </c>
      <c r="F957" s="7" t="n">
        <v>2</v>
      </c>
      <c r="G957" s="7" t="n">
        <v>5</v>
      </c>
      <c r="H957" s="7" t="n">
        <v>0</v>
      </c>
      <c r="I957" s="7" t="n">
        <v>0</v>
      </c>
      <c r="J957" s="7" t="n">
        <v>0</v>
      </c>
      <c r="K957" s="7" t="n">
        <v>0</v>
      </c>
      <c r="L957" s="7" t="n">
        <v>5</v>
      </c>
      <c r="M957" s="7" t="n">
        <v>0</v>
      </c>
      <c r="N957" s="7" t="n">
        <v>0</v>
      </c>
      <c r="O957" s="7" t="n">
        <v>0</v>
      </c>
      <c r="P957" s="8" t="n">
        <f aca="false">IF(E957=0,0,G957/E957)</f>
        <v>0.25</v>
      </c>
      <c r="Q957" s="8" t="n">
        <f aca="false">IF(E957+N957=0,0,(G957+N957)/(E957+N957))</f>
        <v>0.25</v>
      </c>
      <c r="R957" s="8" t="n">
        <f aca="false">IF(E957=0,0,L957/E957)</f>
        <v>0.25</v>
      </c>
      <c r="S957" s="8" t="n">
        <f aca="false">R957+Q957</f>
        <v>0.5</v>
      </c>
      <c r="T957" s="8" t="n">
        <f aca="false">R957-P957</f>
        <v>0</v>
      </c>
    </row>
    <row r="958" customFormat="false" ht="14.25" hidden="false" customHeight="true" outlineLevel="0" collapsed="false">
      <c r="A958" s="6" t="n">
        <v>2021</v>
      </c>
      <c r="B958" s="6" t="s">
        <v>97</v>
      </c>
      <c r="C958" s="6" t="s">
        <v>289</v>
      </c>
      <c r="D958" s="7" t="n">
        <v>5</v>
      </c>
      <c r="E958" s="7" t="n">
        <v>12</v>
      </c>
      <c r="F958" s="7" t="n">
        <v>1</v>
      </c>
      <c r="G958" s="7" t="n">
        <v>4</v>
      </c>
      <c r="H958" s="7" t="n">
        <v>2</v>
      </c>
      <c r="I958" s="7" t="n">
        <v>0</v>
      </c>
      <c r="J958" s="7" t="n">
        <v>0</v>
      </c>
      <c r="K958" s="7" t="n">
        <v>2</v>
      </c>
      <c r="L958" s="7" t="n">
        <v>6</v>
      </c>
      <c r="M958" s="7" t="n">
        <v>0</v>
      </c>
      <c r="N958" s="7" t="n">
        <v>3</v>
      </c>
      <c r="O958" s="7" t="n">
        <v>1</v>
      </c>
      <c r="P958" s="8" t="n">
        <f aca="false">IF(E958=0,0,G958/E958)</f>
        <v>0.333333333333333</v>
      </c>
      <c r="Q958" s="8" t="n">
        <f aca="false">IF(E958+N958=0,0,(G958+N958)/(E958+N958))</f>
        <v>0.466666666666667</v>
      </c>
      <c r="R958" s="8" t="n">
        <f aca="false">IF(E958=0,0,L958/E958)</f>
        <v>0.5</v>
      </c>
      <c r="S958" s="8" t="n">
        <f aca="false">R958+Q958</f>
        <v>0.966666666666667</v>
      </c>
      <c r="T958" s="8" t="n">
        <f aca="false">R958-P958</f>
        <v>0.166666666666667</v>
      </c>
    </row>
    <row r="959" customFormat="false" ht="14.25" hidden="false" customHeight="true" outlineLevel="0" collapsed="false">
      <c r="A959" s="6" t="n">
        <v>2021</v>
      </c>
      <c r="B959" s="6" t="s">
        <v>97</v>
      </c>
      <c r="C959" s="6" t="s">
        <v>419</v>
      </c>
      <c r="D959" s="7" t="n">
        <v>3</v>
      </c>
      <c r="E959" s="7" t="n">
        <v>10</v>
      </c>
      <c r="F959" s="7" t="n">
        <v>1</v>
      </c>
      <c r="G959" s="7" t="n">
        <v>4</v>
      </c>
      <c r="H959" s="7" t="n">
        <v>0</v>
      </c>
      <c r="I959" s="7" t="n">
        <v>0</v>
      </c>
      <c r="J959" s="7" t="n">
        <v>0</v>
      </c>
      <c r="K959" s="7" t="n">
        <v>0</v>
      </c>
      <c r="L959" s="7" t="n">
        <v>4</v>
      </c>
      <c r="M959" s="7" t="n">
        <v>4</v>
      </c>
      <c r="N959" s="7" t="n">
        <v>0</v>
      </c>
      <c r="O959" s="7" t="n">
        <v>0</v>
      </c>
      <c r="P959" s="8" t="n">
        <f aca="false">IF(E959=0,0,G959/E959)</f>
        <v>0.4</v>
      </c>
      <c r="Q959" s="8" t="n">
        <f aca="false">IF(E959+N959=0,0,(G959+N959)/(E959+N959))</f>
        <v>0.4</v>
      </c>
      <c r="R959" s="8" t="n">
        <f aca="false">IF(E959=0,0,L959/E959)</f>
        <v>0.4</v>
      </c>
      <c r="S959" s="8" t="n">
        <f aca="false">R959+Q959</f>
        <v>0.8</v>
      </c>
      <c r="T959" s="8" t="n">
        <f aca="false">R959-P959</f>
        <v>0</v>
      </c>
    </row>
    <row r="960" customFormat="false" ht="14.25" hidden="false" customHeight="true" outlineLevel="0" collapsed="false">
      <c r="A960" s="6" t="n">
        <v>2021</v>
      </c>
      <c r="B960" s="6" t="s">
        <v>97</v>
      </c>
      <c r="C960" s="6" t="s">
        <v>288</v>
      </c>
      <c r="D960" s="7" t="n">
        <v>4</v>
      </c>
      <c r="E960" s="7" t="n">
        <v>14</v>
      </c>
      <c r="F960" s="7" t="n">
        <v>3</v>
      </c>
      <c r="G960" s="7" t="n">
        <v>3</v>
      </c>
      <c r="H960" s="7" t="n">
        <v>0</v>
      </c>
      <c r="I960" s="7" t="n">
        <v>0</v>
      </c>
      <c r="J960" s="7" t="n">
        <v>0</v>
      </c>
      <c r="K960" s="7" t="n">
        <v>0</v>
      </c>
      <c r="L960" s="7" t="n">
        <v>3</v>
      </c>
      <c r="M960" s="7" t="n">
        <v>1</v>
      </c>
      <c r="N960" s="7" t="n">
        <v>2</v>
      </c>
      <c r="O960" s="7" t="n">
        <v>2</v>
      </c>
      <c r="P960" s="8" t="n">
        <f aca="false">IF(E960=0,0,G960/E960)</f>
        <v>0.214285714285714</v>
      </c>
      <c r="Q960" s="8" t="n">
        <f aca="false">IF(E960+N960=0,0,(G960+N960)/(E960+N960))</f>
        <v>0.3125</v>
      </c>
      <c r="R960" s="8" t="n">
        <f aca="false">IF(E960=0,0,L960/E960)</f>
        <v>0.214285714285714</v>
      </c>
      <c r="S960" s="8" t="n">
        <f aca="false">R960+Q960</f>
        <v>0.526785714285714</v>
      </c>
      <c r="T960" s="8" t="n">
        <f aca="false">R960-P960</f>
        <v>0</v>
      </c>
    </row>
    <row r="961" customFormat="false" ht="14.25" hidden="false" customHeight="true" outlineLevel="0" collapsed="false">
      <c r="A961" s="6" t="n">
        <v>2021</v>
      </c>
      <c r="B961" s="6" t="s">
        <v>97</v>
      </c>
      <c r="C961" s="6" t="s">
        <v>254</v>
      </c>
      <c r="D961" s="7" t="n">
        <v>5</v>
      </c>
      <c r="E961" s="7" t="n">
        <v>14</v>
      </c>
      <c r="F961" s="7" t="n">
        <v>2</v>
      </c>
      <c r="G961" s="7" t="n">
        <v>2</v>
      </c>
      <c r="H961" s="7" t="n">
        <v>1</v>
      </c>
      <c r="I961" s="7" t="n">
        <v>0</v>
      </c>
      <c r="J961" s="7" t="n">
        <v>1</v>
      </c>
      <c r="K961" s="7" t="n">
        <v>2</v>
      </c>
      <c r="L961" s="7" t="n">
        <v>6</v>
      </c>
      <c r="M961" s="7" t="n">
        <v>5</v>
      </c>
      <c r="N961" s="7" t="n">
        <v>0</v>
      </c>
      <c r="O961" s="7" t="n">
        <v>3</v>
      </c>
      <c r="P961" s="8" t="n">
        <f aca="false">IF(E961=0,0,G961/E961)</f>
        <v>0.142857142857143</v>
      </c>
      <c r="Q961" s="8" t="n">
        <f aca="false">IF(E961+N961=0,0,(G961+N961)/(E961+N961))</f>
        <v>0.142857142857143</v>
      </c>
      <c r="R961" s="8" t="n">
        <f aca="false">IF(E961=0,0,L961/E961)</f>
        <v>0.428571428571429</v>
      </c>
      <c r="S961" s="8" t="n">
        <f aca="false">R961+Q961</f>
        <v>0.571428571428571</v>
      </c>
      <c r="T961" s="8" t="n">
        <f aca="false">R961-P961</f>
        <v>0.285714285714286</v>
      </c>
    </row>
    <row r="962" customFormat="false" ht="14.25" hidden="false" customHeight="true" outlineLevel="0" collapsed="false">
      <c r="A962" s="6" t="n">
        <v>2021</v>
      </c>
      <c r="B962" s="6" t="s">
        <v>97</v>
      </c>
      <c r="C962" s="6" t="s">
        <v>277</v>
      </c>
      <c r="D962" s="7" t="n">
        <v>6</v>
      </c>
      <c r="E962" s="7" t="n">
        <v>13</v>
      </c>
      <c r="F962" s="7" t="n">
        <v>0</v>
      </c>
      <c r="G962" s="7" t="n">
        <v>2</v>
      </c>
      <c r="H962" s="7" t="n">
        <v>0</v>
      </c>
      <c r="I962" s="7" t="n">
        <v>0</v>
      </c>
      <c r="J962" s="7" t="n">
        <v>0</v>
      </c>
      <c r="K962" s="7" t="n">
        <v>0</v>
      </c>
      <c r="L962" s="7" t="n">
        <v>2</v>
      </c>
      <c r="M962" s="7" t="n">
        <v>1</v>
      </c>
      <c r="N962" s="7" t="n">
        <v>1</v>
      </c>
      <c r="O962" s="7" t="n">
        <v>2</v>
      </c>
      <c r="P962" s="8" t="n">
        <f aca="false">IF(E962=0,0,G962/E962)</f>
        <v>0.153846153846154</v>
      </c>
      <c r="Q962" s="8" t="n">
        <f aca="false">IF(E962+N962=0,0,(G962+N962)/(E962+N962))</f>
        <v>0.214285714285714</v>
      </c>
      <c r="R962" s="8" t="n">
        <f aca="false">IF(E962=0,0,L962/E962)</f>
        <v>0.153846153846154</v>
      </c>
      <c r="S962" s="8" t="n">
        <f aca="false">R962+Q962</f>
        <v>0.368131868131868</v>
      </c>
      <c r="T962" s="8" t="n">
        <f aca="false">R962-P962</f>
        <v>0</v>
      </c>
    </row>
    <row r="963" customFormat="false" ht="14.25" hidden="false" customHeight="true" outlineLevel="0" collapsed="false">
      <c r="A963" s="6" t="n">
        <v>2021</v>
      </c>
      <c r="B963" s="6" t="s">
        <v>97</v>
      </c>
      <c r="C963" s="6" t="s">
        <v>420</v>
      </c>
      <c r="D963" s="7" t="n">
        <v>1</v>
      </c>
      <c r="E963" s="7" t="n">
        <v>3</v>
      </c>
      <c r="F963" s="7" t="n">
        <v>0</v>
      </c>
      <c r="G963" s="7" t="n">
        <v>2</v>
      </c>
      <c r="H963" s="7" t="n">
        <v>0</v>
      </c>
      <c r="I963" s="7" t="n">
        <v>0</v>
      </c>
      <c r="J963" s="7" t="n">
        <v>0</v>
      </c>
      <c r="K963" s="7" t="n">
        <v>0</v>
      </c>
      <c r="L963" s="7" t="n">
        <v>2</v>
      </c>
      <c r="M963" s="7" t="n">
        <v>0</v>
      </c>
      <c r="N963" s="7" t="n">
        <v>0</v>
      </c>
      <c r="O963" s="7" t="n">
        <v>0</v>
      </c>
      <c r="P963" s="8" t="n">
        <f aca="false">IF(E963=0,0,G963/E963)</f>
        <v>0.666666666666667</v>
      </c>
      <c r="Q963" s="8" t="n">
        <f aca="false">IF(E963+N963=0,0,(G963+N963)/(E963+N963))</f>
        <v>0.666666666666667</v>
      </c>
      <c r="R963" s="8" t="n">
        <f aca="false">IF(E963=0,0,L963/E963)</f>
        <v>0.666666666666667</v>
      </c>
      <c r="S963" s="8" t="n">
        <f aca="false">R963+Q963</f>
        <v>1.33333333333333</v>
      </c>
      <c r="T963" s="8" t="n">
        <f aca="false">R963-P963</f>
        <v>0</v>
      </c>
    </row>
    <row r="964" customFormat="false" ht="14.25" hidden="false" customHeight="true" outlineLevel="0" collapsed="false">
      <c r="A964" s="6" t="n">
        <v>2021</v>
      </c>
      <c r="B964" s="6" t="s">
        <v>97</v>
      </c>
      <c r="C964" s="6" t="s">
        <v>385</v>
      </c>
      <c r="D964" s="7" t="n">
        <v>4</v>
      </c>
      <c r="E964" s="7" t="n">
        <v>6</v>
      </c>
      <c r="F964" s="7" t="n">
        <v>2</v>
      </c>
      <c r="G964" s="7" t="n">
        <v>1</v>
      </c>
      <c r="H964" s="7" t="n">
        <v>1</v>
      </c>
      <c r="I964" s="7" t="n">
        <v>0</v>
      </c>
      <c r="J964" s="7" t="n">
        <v>0</v>
      </c>
      <c r="K964" s="7" t="n">
        <v>1</v>
      </c>
      <c r="L964" s="7" t="n">
        <v>2</v>
      </c>
      <c r="M964" s="7" t="n">
        <v>3</v>
      </c>
      <c r="N964" s="7" t="n">
        <v>2</v>
      </c>
      <c r="O964" s="7" t="n">
        <v>0</v>
      </c>
      <c r="P964" s="8" t="n">
        <f aca="false">IF(E964=0,0,G964/E964)</f>
        <v>0.166666666666667</v>
      </c>
      <c r="Q964" s="8" t="n">
        <f aca="false">IF(E964+N964=0,0,(G964+N964)/(E964+N964))</f>
        <v>0.375</v>
      </c>
      <c r="R964" s="8" t="n">
        <f aca="false">IF(E964=0,0,L964/E964)</f>
        <v>0.333333333333333</v>
      </c>
      <c r="S964" s="8" t="n">
        <f aca="false">R964+Q964</f>
        <v>0.708333333333333</v>
      </c>
      <c r="T964" s="8" t="n">
        <f aca="false">R964-P964</f>
        <v>0.166666666666667</v>
      </c>
    </row>
    <row r="965" customFormat="false" ht="14.25" hidden="false" customHeight="true" outlineLevel="0" collapsed="false">
      <c r="A965" s="6" t="n">
        <v>2021</v>
      </c>
      <c r="B965" s="6" t="s">
        <v>97</v>
      </c>
      <c r="C965" s="6" t="s">
        <v>255</v>
      </c>
      <c r="D965" s="7" t="n">
        <v>1</v>
      </c>
      <c r="E965" s="7" t="n">
        <v>2</v>
      </c>
      <c r="F965" s="7" t="n">
        <v>1</v>
      </c>
      <c r="G965" s="7" t="n">
        <v>1</v>
      </c>
      <c r="H965" s="7" t="n">
        <v>1</v>
      </c>
      <c r="I965" s="7" t="n">
        <v>0</v>
      </c>
      <c r="J965" s="7" t="n">
        <v>0</v>
      </c>
      <c r="K965" s="7" t="n">
        <v>1</v>
      </c>
      <c r="L965" s="7" t="n">
        <v>2</v>
      </c>
      <c r="M965" s="7" t="n">
        <v>0</v>
      </c>
      <c r="N965" s="7" t="n">
        <v>1</v>
      </c>
      <c r="O965" s="7" t="n">
        <v>0</v>
      </c>
      <c r="P965" s="8" t="n">
        <f aca="false">IF(E965=0,0,G965/E965)</f>
        <v>0.5</v>
      </c>
      <c r="Q965" s="8" t="n">
        <f aca="false">IF(E965+N965=0,0,(G965+N965)/(E965+N965))</f>
        <v>0.666666666666667</v>
      </c>
      <c r="R965" s="8" t="n">
        <f aca="false">IF(E965=0,0,L965/E965)</f>
        <v>1</v>
      </c>
      <c r="S965" s="8" t="n">
        <f aca="false">R965+Q965</f>
        <v>1.66666666666667</v>
      </c>
      <c r="T965" s="8" t="n">
        <f aca="false">R965-P965</f>
        <v>0.5</v>
      </c>
    </row>
    <row r="966" customFormat="false" ht="14.25" hidden="false" customHeight="true" outlineLevel="0" collapsed="false">
      <c r="A966" s="6" t="n">
        <v>2021</v>
      </c>
      <c r="B966" s="6" t="s">
        <v>97</v>
      </c>
      <c r="C966" s="6" t="s">
        <v>191</v>
      </c>
      <c r="D966" s="7" t="n">
        <v>1</v>
      </c>
      <c r="E966" s="7" t="n">
        <v>1</v>
      </c>
      <c r="F966" s="7" t="n">
        <v>0</v>
      </c>
      <c r="G966" s="7" t="n">
        <v>1</v>
      </c>
      <c r="H966" s="7" t="n">
        <v>0</v>
      </c>
      <c r="I966" s="7" t="n">
        <v>0</v>
      </c>
      <c r="J966" s="7" t="n">
        <v>0</v>
      </c>
      <c r="K966" s="7" t="n">
        <v>0</v>
      </c>
      <c r="L966" s="7" t="n">
        <v>1</v>
      </c>
      <c r="M966" s="7" t="n">
        <v>0</v>
      </c>
      <c r="N966" s="7" t="n">
        <v>1</v>
      </c>
      <c r="O966" s="7" t="n">
        <v>0</v>
      </c>
      <c r="P966" s="8" t="n">
        <f aca="false">IF(E966=0,0,G966/E966)</f>
        <v>1</v>
      </c>
      <c r="Q966" s="8" t="n">
        <f aca="false">IF(E966+N966=0,0,(G966+N966)/(E966+N966))</f>
        <v>1</v>
      </c>
      <c r="R966" s="8" t="n">
        <f aca="false">IF(E966=0,0,L966/E966)</f>
        <v>1</v>
      </c>
      <c r="S966" s="8" t="n">
        <f aca="false">R966+Q966</f>
        <v>2</v>
      </c>
      <c r="T966" s="8" t="n">
        <f aca="false">R966-P966</f>
        <v>0</v>
      </c>
    </row>
    <row r="967" customFormat="false" ht="14.25" hidden="false" customHeight="true" outlineLevel="0" collapsed="false">
      <c r="A967" s="6" t="n">
        <v>2021</v>
      </c>
      <c r="B967" s="6" t="s">
        <v>97</v>
      </c>
      <c r="C967" s="6" t="s">
        <v>421</v>
      </c>
      <c r="D967" s="7" t="n">
        <v>1</v>
      </c>
      <c r="E967" s="7" t="n">
        <v>4</v>
      </c>
      <c r="F967" s="7" t="n">
        <v>1</v>
      </c>
      <c r="G967" s="7" t="n">
        <v>1</v>
      </c>
      <c r="H967" s="7" t="n">
        <v>0</v>
      </c>
      <c r="I967" s="7" t="n">
        <v>0</v>
      </c>
      <c r="J967" s="7" t="n">
        <v>0</v>
      </c>
      <c r="K967" s="7" t="n">
        <v>0</v>
      </c>
      <c r="L967" s="7" t="n">
        <v>1</v>
      </c>
      <c r="M967" s="7" t="n">
        <v>0</v>
      </c>
      <c r="N967" s="7" t="n">
        <v>0</v>
      </c>
      <c r="O967" s="7" t="n">
        <v>0</v>
      </c>
      <c r="P967" s="8" t="n">
        <f aca="false">IF(E967=0,0,G967/E967)</f>
        <v>0.25</v>
      </c>
      <c r="Q967" s="8" t="n">
        <f aca="false">IF(E967+N967=0,0,(G967+N967)/(E967+N967))</f>
        <v>0.25</v>
      </c>
      <c r="R967" s="8" t="n">
        <f aca="false">IF(E967=0,0,L967/E967)</f>
        <v>0.25</v>
      </c>
      <c r="S967" s="8" t="n">
        <f aca="false">R967+Q967</f>
        <v>0.5</v>
      </c>
      <c r="T967" s="8" t="n">
        <f aca="false">R967-P967</f>
        <v>0</v>
      </c>
    </row>
    <row r="968" customFormat="false" ht="14.25" hidden="false" customHeight="true" outlineLevel="0" collapsed="false">
      <c r="A968" s="6" t="n">
        <v>2021</v>
      </c>
      <c r="B968" s="6" t="s">
        <v>97</v>
      </c>
      <c r="C968" s="6" t="s">
        <v>366</v>
      </c>
      <c r="D968" s="7" t="n">
        <v>1</v>
      </c>
      <c r="E968" s="7" t="n">
        <v>4</v>
      </c>
      <c r="F968" s="7" t="n">
        <v>1</v>
      </c>
      <c r="G968" s="7" t="n">
        <v>1</v>
      </c>
      <c r="H968" s="7" t="n">
        <v>0</v>
      </c>
      <c r="I968" s="7" t="n">
        <v>0</v>
      </c>
      <c r="J968" s="7" t="n">
        <v>0</v>
      </c>
      <c r="K968" s="7" t="n">
        <v>0</v>
      </c>
      <c r="L968" s="7" t="n">
        <v>1</v>
      </c>
      <c r="M968" s="7" t="n">
        <v>0</v>
      </c>
      <c r="N968" s="7" t="n">
        <v>0</v>
      </c>
      <c r="O968" s="7" t="n">
        <v>0</v>
      </c>
      <c r="P968" s="8" t="n">
        <f aca="false">IF(E968=0,0,G968/E968)</f>
        <v>0.25</v>
      </c>
      <c r="Q968" s="8" t="n">
        <f aca="false">IF(E968+N968=0,0,(G968+N968)/(E968+N968))</f>
        <v>0.25</v>
      </c>
      <c r="R968" s="8" t="n">
        <f aca="false">IF(E968=0,0,L968/E968)</f>
        <v>0.25</v>
      </c>
      <c r="S968" s="8" t="n">
        <f aca="false">R968+Q968</f>
        <v>0.5</v>
      </c>
      <c r="T968" s="8" t="n">
        <f aca="false">R968-P968</f>
        <v>0</v>
      </c>
    </row>
    <row r="969" customFormat="false" ht="14.25" hidden="false" customHeight="true" outlineLevel="0" collapsed="false">
      <c r="A969" s="6" t="n">
        <v>2021</v>
      </c>
      <c r="B969" s="6" t="s">
        <v>97</v>
      </c>
      <c r="C969" s="6" t="s">
        <v>422</v>
      </c>
      <c r="D969" s="7" t="n">
        <v>3</v>
      </c>
      <c r="E969" s="7" t="n">
        <v>7</v>
      </c>
      <c r="F969" s="7" t="n">
        <v>0</v>
      </c>
      <c r="G969" s="7" t="n">
        <v>1</v>
      </c>
      <c r="H969" s="7" t="n">
        <v>0</v>
      </c>
      <c r="I969" s="7" t="n">
        <v>0</v>
      </c>
      <c r="J969" s="7" t="n">
        <v>0</v>
      </c>
      <c r="K969" s="7" t="n">
        <v>0</v>
      </c>
      <c r="L969" s="7" t="n">
        <v>1</v>
      </c>
      <c r="M969" s="7" t="n">
        <v>0</v>
      </c>
      <c r="N969" s="7" t="n">
        <v>0</v>
      </c>
      <c r="O969" s="7" t="n">
        <v>0</v>
      </c>
      <c r="P969" s="8" t="n">
        <f aca="false">IF(E969=0,0,G969/E969)</f>
        <v>0.142857142857143</v>
      </c>
      <c r="Q969" s="8" t="n">
        <f aca="false">IF(E969+N969=0,0,(G969+N969)/(E969+N969))</f>
        <v>0.142857142857143</v>
      </c>
      <c r="R969" s="8" t="n">
        <f aca="false">IF(E969=0,0,L969/E969)</f>
        <v>0.142857142857143</v>
      </c>
      <c r="S969" s="8" t="n">
        <f aca="false">R969+Q969</f>
        <v>0.285714285714286</v>
      </c>
      <c r="T969" s="8" t="n">
        <f aca="false">R969-P969</f>
        <v>0</v>
      </c>
    </row>
    <row r="970" customFormat="false" ht="14.25" hidden="false" customHeight="true" outlineLevel="0" collapsed="false">
      <c r="A970" s="6" t="n">
        <v>2021</v>
      </c>
      <c r="B970" s="6" t="s">
        <v>97</v>
      </c>
      <c r="C970" s="6" t="s">
        <v>423</v>
      </c>
      <c r="D970" s="7" t="n">
        <v>2</v>
      </c>
      <c r="E970" s="7" t="n">
        <v>4</v>
      </c>
      <c r="F970" s="7" t="n">
        <v>0</v>
      </c>
      <c r="G970" s="7" t="n">
        <v>0</v>
      </c>
      <c r="H970" s="7" t="n">
        <v>0</v>
      </c>
      <c r="I970" s="7" t="n">
        <v>0</v>
      </c>
      <c r="J970" s="7" t="n">
        <v>0</v>
      </c>
      <c r="K970" s="7" t="n">
        <v>0</v>
      </c>
      <c r="L970" s="7" t="n">
        <v>0</v>
      </c>
      <c r="M970" s="7" t="n">
        <v>2</v>
      </c>
      <c r="N970" s="7" t="n">
        <v>0</v>
      </c>
      <c r="O970" s="7" t="n">
        <v>0</v>
      </c>
      <c r="P970" s="8" t="n">
        <f aca="false">IF(E970=0,0,G970/E970)</f>
        <v>0</v>
      </c>
      <c r="Q970" s="8" t="n">
        <f aca="false">IF(E970+N970=0,0,(G970+N970)/(E970+N970))</f>
        <v>0</v>
      </c>
      <c r="R970" s="8" t="n">
        <f aca="false">IF(E970=0,0,L970/E970)</f>
        <v>0</v>
      </c>
      <c r="S970" s="8" t="n">
        <f aca="false">R970+Q970</f>
        <v>0</v>
      </c>
      <c r="T970" s="8" t="n">
        <f aca="false">R970-P970</f>
        <v>0</v>
      </c>
    </row>
    <row r="971" customFormat="false" ht="14.25" hidden="false" customHeight="true" outlineLevel="0" collapsed="false">
      <c r="A971" s="6" t="n">
        <v>2021</v>
      </c>
      <c r="B971" s="6" t="s">
        <v>97</v>
      </c>
      <c r="C971" s="6" t="s">
        <v>363</v>
      </c>
      <c r="D971" s="7" t="n">
        <v>3</v>
      </c>
      <c r="E971" s="7" t="n">
        <v>8</v>
      </c>
      <c r="F971" s="7" t="n">
        <v>0</v>
      </c>
      <c r="G971" s="7" t="n">
        <v>0</v>
      </c>
      <c r="H971" s="7" t="n">
        <v>0</v>
      </c>
      <c r="I971" s="7" t="n">
        <v>0</v>
      </c>
      <c r="J971" s="7" t="n">
        <v>0</v>
      </c>
      <c r="K971" s="7" t="n">
        <v>0</v>
      </c>
      <c r="L971" s="7" t="n">
        <v>0</v>
      </c>
      <c r="M971" s="7" t="n">
        <v>0</v>
      </c>
      <c r="N971" s="7" t="n">
        <v>0</v>
      </c>
      <c r="O971" s="7" t="n">
        <v>1</v>
      </c>
      <c r="P971" s="8" t="n">
        <f aca="false">IF(E971=0,0,G971/E971)</f>
        <v>0</v>
      </c>
      <c r="Q971" s="8" t="n">
        <f aca="false">IF(E971+N971=0,0,(G971+N971)/(E971+N971))</f>
        <v>0</v>
      </c>
      <c r="R971" s="8" t="n">
        <f aca="false">IF(E971=0,0,L971/E971)</f>
        <v>0</v>
      </c>
      <c r="S971" s="8" t="n">
        <f aca="false">R971+Q971</f>
        <v>0</v>
      </c>
      <c r="T971" s="8" t="n">
        <f aca="false">R971-P971</f>
        <v>0</v>
      </c>
    </row>
    <row r="972" customFormat="false" ht="14.25" hidden="false" customHeight="true" outlineLevel="0" collapsed="false">
      <c r="A972" s="6" t="n">
        <v>2021</v>
      </c>
      <c r="B972" s="6" t="s">
        <v>97</v>
      </c>
      <c r="C972" s="6" t="s">
        <v>307</v>
      </c>
      <c r="D972" s="7" t="n">
        <v>1</v>
      </c>
      <c r="E972" s="7" t="n">
        <v>1</v>
      </c>
      <c r="F972" s="7" t="n">
        <v>0</v>
      </c>
      <c r="G972" s="7" t="n">
        <v>0</v>
      </c>
      <c r="H972" s="7" t="n">
        <v>0</v>
      </c>
      <c r="I972" s="7" t="n">
        <v>0</v>
      </c>
      <c r="J972" s="7" t="n">
        <v>0</v>
      </c>
      <c r="K972" s="7" t="n">
        <v>0</v>
      </c>
      <c r="L972" s="7" t="n">
        <v>0</v>
      </c>
      <c r="M972" s="7" t="n">
        <v>0</v>
      </c>
      <c r="N972" s="7" t="n">
        <v>0</v>
      </c>
      <c r="O972" s="7" t="n">
        <v>1</v>
      </c>
      <c r="P972" s="8" t="n">
        <f aca="false">IF(E972=0,0,G972/E972)</f>
        <v>0</v>
      </c>
      <c r="Q972" s="8" t="n">
        <f aca="false">IF(E972+N972=0,0,(G972+N972)/(E972+N972))</f>
        <v>0</v>
      </c>
      <c r="R972" s="8" t="n">
        <f aca="false">IF(E972=0,0,L972/E972)</f>
        <v>0</v>
      </c>
      <c r="S972" s="8" t="n">
        <f aca="false">R972+Q972</f>
        <v>0</v>
      </c>
      <c r="T972" s="8" t="n">
        <f aca="false">R972-P972</f>
        <v>0</v>
      </c>
    </row>
    <row r="973" customFormat="false" ht="14.25" hidden="false" customHeight="true" outlineLevel="0" collapsed="false">
      <c r="A973" s="6" t="n">
        <v>2021</v>
      </c>
      <c r="B973" s="6" t="s">
        <v>97</v>
      </c>
      <c r="C973" s="6" t="s">
        <v>333</v>
      </c>
      <c r="D973" s="7" t="n">
        <v>1</v>
      </c>
      <c r="E973" s="7" t="n">
        <v>1</v>
      </c>
      <c r="F973" s="7" t="n">
        <v>0</v>
      </c>
      <c r="G973" s="7" t="n">
        <v>0</v>
      </c>
      <c r="H973" s="7" t="n">
        <v>0</v>
      </c>
      <c r="I973" s="7" t="n">
        <v>0</v>
      </c>
      <c r="J973" s="7" t="n">
        <v>0</v>
      </c>
      <c r="K973" s="7" t="n">
        <v>0</v>
      </c>
      <c r="L973" s="7" t="n">
        <v>0</v>
      </c>
      <c r="M973" s="7" t="n">
        <v>0</v>
      </c>
      <c r="N973" s="7" t="n">
        <v>0</v>
      </c>
      <c r="O973" s="7" t="n">
        <v>0</v>
      </c>
      <c r="P973" s="8" t="n">
        <f aca="false">IF(E973=0,0,G973/E973)</f>
        <v>0</v>
      </c>
      <c r="Q973" s="8" t="n">
        <f aca="false">IF(E973+N973=0,0,(G973+N973)/(E973+N973))</f>
        <v>0</v>
      </c>
      <c r="R973" s="8" t="n">
        <f aca="false">IF(E973=0,0,L973/E973)</f>
        <v>0</v>
      </c>
      <c r="S973" s="8" t="n">
        <f aca="false">R973+Q973</f>
        <v>0</v>
      </c>
      <c r="T973" s="8" t="n">
        <f aca="false">R973-P973</f>
        <v>0</v>
      </c>
    </row>
    <row r="974" customFormat="false" ht="14.25" hidden="false" customHeight="true" outlineLevel="0" collapsed="false">
      <c r="A974" s="6" t="n">
        <v>2021</v>
      </c>
      <c r="B974" s="6" t="s">
        <v>121</v>
      </c>
      <c r="C974" s="6" t="s">
        <v>129</v>
      </c>
      <c r="D974" s="7" t="n">
        <v>10</v>
      </c>
      <c r="E974" s="7" t="n">
        <v>29</v>
      </c>
      <c r="F974" s="7" t="n">
        <v>4</v>
      </c>
      <c r="G974" s="7" t="n">
        <v>14</v>
      </c>
      <c r="H974" s="7" t="n">
        <v>1</v>
      </c>
      <c r="I974" s="7" t="n">
        <v>0</v>
      </c>
      <c r="J974" s="7" t="n">
        <v>0</v>
      </c>
      <c r="K974" s="7" t="n">
        <v>1</v>
      </c>
      <c r="L974" s="7" t="n">
        <v>15</v>
      </c>
      <c r="M974" s="7" t="n">
        <v>4</v>
      </c>
      <c r="N974" s="7" t="n">
        <v>1</v>
      </c>
      <c r="O974" s="7" t="n">
        <v>0</v>
      </c>
      <c r="P974" s="8" t="n">
        <f aca="false">IF(E974=0,0,G974/E974)</f>
        <v>0.482758620689655</v>
      </c>
      <c r="Q974" s="8" t="n">
        <f aca="false">IF(E974+N974=0,0,(G974+N974)/(E974+N974))</f>
        <v>0.5</v>
      </c>
      <c r="R974" s="8" t="n">
        <f aca="false">IF(E974=0,0,L974/E974)</f>
        <v>0.517241379310345</v>
      </c>
      <c r="S974" s="8" t="n">
        <f aca="false">R974+Q974</f>
        <v>1.01724137931034</v>
      </c>
      <c r="T974" s="8" t="n">
        <f aca="false">R974-P974</f>
        <v>0.0344827586206897</v>
      </c>
    </row>
    <row r="975" customFormat="false" ht="14.25" hidden="false" customHeight="true" outlineLevel="0" collapsed="false">
      <c r="A975" s="6" t="n">
        <v>2021</v>
      </c>
      <c r="B975" s="6" t="s">
        <v>121</v>
      </c>
      <c r="C975" s="6" t="s">
        <v>130</v>
      </c>
      <c r="D975" s="7" t="n">
        <v>12</v>
      </c>
      <c r="E975" s="7" t="n">
        <v>33</v>
      </c>
      <c r="F975" s="7" t="n">
        <v>8</v>
      </c>
      <c r="G975" s="7" t="n">
        <v>11</v>
      </c>
      <c r="H975" s="7" t="n">
        <v>0</v>
      </c>
      <c r="I975" s="7" t="n">
        <v>0</v>
      </c>
      <c r="J975" s="7" t="n">
        <v>0</v>
      </c>
      <c r="K975" s="7" t="n">
        <v>0</v>
      </c>
      <c r="L975" s="7" t="n">
        <v>11</v>
      </c>
      <c r="M975" s="7" t="n">
        <v>6</v>
      </c>
      <c r="N975" s="7" t="n">
        <v>6</v>
      </c>
      <c r="O975" s="7" t="n">
        <v>0</v>
      </c>
      <c r="P975" s="8" t="n">
        <f aca="false">IF(E975=0,0,G975/E975)</f>
        <v>0.333333333333333</v>
      </c>
      <c r="Q975" s="8" t="n">
        <f aca="false">IF(E975+N975=0,0,(G975+N975)/(E975+N975))</f>
        <v>0.435897435897436</v>
      </c>
      <c r="R975" s="8" t="n">
        <f aca="false">IF(E975=0,0,L975/E975)</f>
        <v>0.333333333333333</v>
      </c>
      <c r="S975" s="8" t="n">
        <f aca="false">R975+Q975</f>
        <v>0.769230769230769</v>
      </c>
      <c r="T975" s="8" t="n">
        <f aca="false">R975-P975</f>
        <v>0</v>
      </c>
    </row>
    <row r="976" customFormat="false" ht="14.25" hidden="false" customHeight="true" outlineLevel="0" collapsed="false">
      <c r="A976" s="6" t="n">
        <v>2021</v>
      </c>
      <c r="B976" s="6" t="s">
        <v>121</v>
      </c>
      <c r="C976" s="6" t="s">
        <v>144</v>
      </c>
      <c r="D976" s="7" t="n">
        <v>12</v>
      </c>
      <c r="E976" s="7" t="n">
        <v>32</v>
      </c>
      <c r="F976" s="7" t="n">
        <v>5</v>
      </c>
      <c r="G976" s="7" t="n">
        <v>11</v>
      </c>
      <c r="H976" s="7" t="n">
        <v>0</v>
      </c>
      <c r="I976" s="7" t="n">
        <v>0</v>
      </c>
      <c r="J976" s="7" t="n">
        <v>0</v>
      </c>
      <c r="K976" s="7" t="n">
        <v>0</v>
      </c>
      <c r="L976" s="7" t="n">
        <v>11</v>
      </c>
      <c r="M976" s="7" t="n">
        <v>2</v>
      </c>
      <c r="N976" s="7" t="n">
        <v>10</v>
      </c>
      <c r="O976" s="7" t="n">
        <v>1</v>
      </c>
      <c r="P976" s="8" t="n">
        <f aca="false">IF(E976=0,0,G976/E976)</f>
        <v>0.34375</v>
      </c>
      <c r="Q976" s="8" t="n">
        <f aca="false">IF(E976+N976=0,0,(G976+N976)/(E976+N976))</f>
        <v>0.5</v>
      </c>
      <c r="R976" s="8" t="n">
        <f aca="false">IF(E976=0,0,L976/E976)</f>
        <v>0.34375</v>
      </c>
      <c r="S976" s="8" t="n">
        <f aca="false">R976+Q976</f>
        <v>0.84375</v>
      </c>
      <c r="T976" s="8" t="n">
        <f aca="false">R976-P976</f>
        <v>0</v>
      </c>
    </row>
    <row r="977" customFormat="false" ht="14.25" hidden="false" customHeight="true" outlineLevel="0" collapsed="false">
      <c r="A977" s="6" t="n">
        <v>2021</v>
      </c>
      <c r="B977" s="6" t="s">
        <v>121</v>
      </c>
      <c r="C977" s="6" t="s">
        <v>122</v>
      </c>
      <c r="D977" s="7" t="n">
        <v>5</v>
      </c>
      <c r="E977" s="7" t="n">
        <v>13</v>
      </c>
      <c r="F977" s="7" t="n">
        <v>4</v>
      </c>
      <c r="G977" s="7" t="n">
        <v>8</v>
      </c>
      <c r="H977" s="7" t="n">
        <v>2</v>
      </c>
      <c r="I977" s="7" t="n">
        <v>0</v>
      </c>
      <c r="J977" s="7" t="n">
        <v>0</v>
      </c>
      <c r="K977" s="7" t="n">
        <v>2</v>
      </c>
      <c r="L977" s="7" t="n">
        <v>10</v>
      </c>
      <c r="M977" s="7" t="n">
        <v>0</v>
      </c>
      <c r="N977" s="7" t="n">
        <v>5</v>
      </c>
      <c r="O977" s="7" t="n">
        <v>1</v>
      </c>
      <c r="P977" s="8" t="n">
        <f aca="false">IF(E977=0,0,G977/E977)</f>
        <v>0.615384615384615</v>
      </c>
      <c r="Q977" s="8" t="n">
        <f aca="false">IF(E977+N977=0,0,(G977+N977)/(E977+N977))</f>
        <v>0.722222222222222</v>
      </c>
      <c r="R977" s="8" t="n">
        <f aca="false">IF(E977=0,0,L977/E977)</f>
        <v>0.769230769230769</v>
      </c>
      <c r="S977" s="8" t="n">
        <f aca="false">R977+Q977</f>
        <v>1.49145299145299</v>
      </c>
      <c r="T977" s="8" t="n">
        <f aca="false">R977-P977</f>
        <v>0.153846153846154</v>
      </c>
    </row>
    <row r="978" customFormat="false" ht="14.25" hidden="false" customHeight="true" outlineLevel="0" collapsed="false">
      <c r="A978" s="6" t="n">
        <v>2021</v>
      </c>
      <c r="B978" s="6" t="s">
        <v>121</v>
      </c>
      <c r="C978" s="6" t="s">
        <v>126</v>
      </c>
      <c r="D978" s="7" t="n">
        <v>8</v>
      </c>
      <c r="E978" s="7" t="n">
        <v>27</v>
      </c>
      <c r="F978" s="7" t="n">
        <v>4</v>
      </c>
      <c r="G978" s="7" t="n">
        <v>7</v>
      </c>
      <c r="H978" s="7" t="n">
        <v>0</v>
      </c>
      <c r="I978" s="7" t="n">
        <v>0</v>
      </c>
      <c r="J978" s="7" t="n">
        <v>2</v>
      </c>
      <c r="K978" s="7" t="n">
        <v>2</v>
      </c>
      <c r="L978" s="7" t="n">
        <v>13</v>
      </c>
      <c r="M978" s="7" t="n">
        <v>6</v>
      </c>
      <c r="N978" s="7" t="n">
        <v>1</v>
      </c>
      <c r="O978" s="7" t="n">
        <v>0</v>
      </c>
      <c r="P978" s="8" t="n">
        <f aca="false">IF(E978=0,0,G978/E978)</f>
        <v>0.259259259259259</v>
      </c>
      <c r="Q978" s="8" t="n">
        <f aca="false">IF(E978+N978=0,0,(G978+N978)/(E978+N978))</f>
        <v>0.285714285714286</v>
      </c>
      <c r="R978" s="8" t="n">
        <f aca="false">IF(E978=0,0,L978/E978)</f>
        <v>0.481481481481481</v>
      </c>
      <c r="S978" s="8" t="n">
        <f aca="false">R978+Q978</f>
        <v>0.767195767195767</v>
      </c>
      <c r="T978" s="8" t="n">
        <f aca="false">R978-P978</f>
        <v>0.222222222222222</v>
      </c>
    </row>
    <row r="979" customFormat="false" ht="14.25" hidden="false" customHeight="true" outlineLevel="0" collapsed="false">
      <c r="A979" s="6" t="n">
        <v>2021</v>
      </c>
      <c r="B979" s="6" t="s">
        <v>121</v>
      </c>
      <c r="C979" s="6" t="s">
        <v>125</v>
      </c>
      <c r="D979" s="7" t="n">
        <v>10</v>
      </c>
      <c r="E979" s="7" t="n">
        <v>25</v>
      </c>
      <c r="F979" s="7" t="n">
        <v>4</v>
      </c>
      <c r="G979" s="7" t="n">
        <v>7</v>
      </c>
      <c r="H979" s="7" t="n">
        <v>2</v>
      </c>
      <c r="I979" s="7" t="n">
        <v>0</v>
      </c>
      <c r="J979" s="7" t="n">
        <v>0</v>
      </c>
      <c r="K979" s="7" t="n">
        <v>2</v>
      </c>
      <c r="L979" s="7" t="n">
        <v>9</v>
      </c>
      <c r="M979" s="7" t="n">
        <v>5</v>
      </c>
      <c r="N979" s="7" t="n">
        <v>2</v>
      </c>
      <c r="O979" s="7" t="n">
        <v>2</v>
      </c>
      <c r="P979" s="8" t="n">
        <f aca="false">IF(E979=0,0,G979/E979)</f>
        <v>0.28</v>
      </c>
      <c r="Q979" s="8" t="n">
        <f aca="false">IF(E979+N979=0,0,(G979+N979)/(E979+N979))</f>
        <v>0.333333333333333</v>
      </c>
      <c r="R979" s="8" t="n">
        <f aca="false">IF(E979=0,0,L979/E979)</f>
        <v>0.36</v>
      </c>
      <c r="S979" s="8" t="n">
        <f aca="false">R979+Q979</f>
        <v>0.693333333333333</v>
      </c>
      <c r="T979" s="8" t="n">
        <f aca="false">R979-P979</f>
        <v>0.08</v>
      </c>
    </row>
    <row r="980" customFormat="false" ht="14.25" hidden="false" customHeight="true" outlineLevel="0" collapsed="false">
      <c r="A980" s="6" t="n">
        <v>2021</v>
      </c>
      <c r="B980" s="6" t="s">
        <v>121</v>
      </c>
      <c r="C980" s="6" t="s">
        <v>143</v>
      </c>
      <c r="D980" s="7" t="n">
        <v>4</v>
      </c>
      <c r="E980" s="7" t="n">
        <v>14</v>
      </c>
      <c r="F980" s="7" t="n">
        <v>3</v>
      </c>
      <c r="G980" s="7" t="n">
        <v>5</v>
      </c>
      <c r="H980" s="7" t="n">
        <v>2</v>
      </c>
      <c r="I980" s="7" t="n">
        <v>0</v>
      </c>
      <c r="J980" s="7" t="n">
        <v>1</v>
      </c>
      <c r="K980" s="7" t="n">
        <v>3</v>
      </c>
      <c r="L980" s="7" t="n">
        <v>10</v>
      </c>
      <c r="M980" s="7" t="n">
        <v>3</v>
      </c>
      <c r="N980" s="7" t="n">
        <v>0</v>
      </c>
      <c r="O980" s="7" t="n">
        <v>0</v>
      </c>
      <c r="P980" s="8" t="n">
        <f aca="false">IF(E980=0,0,G980/E980)</f>
        <v>0.357142857142857</v>
      </c>
      <c r="Q980" s="8" t="n">
        <f aca="false">IF(E980+N980=0,0,(G980+N980)/(E980+N980))</f>
        <v>0.357142857142857</v>
      </c>
      <c r="R980" s="8" t="n">
        <f aca="false">IF(E980=0,0,L980/E980)</f>
        <v>0.714285714285714</v>
      </c>
      <c r="S980" s="8" t="n">
        <f aca="false">R980+Q980</f>
        <v>1.07142857142857</v>
      </c>
      <c r="T980" s="8" t="n">
        <f aca="false">R980-P980</f>
        <v>0.357142857142857</v>
      </c>
    </row>
    <row r="981" customFormat="false" ht="14.25" hidden="false" customHeight="true" outlineLevel="0" collapsed="false">
      <c r="A981" s="6" t="n">
        <v>2021</v>
      </c>
      <c r="B981" s="6" t="s">
        <v>121</v>
      </c>
      <c r="C981" s="6" t="s">
        <v>123</v>
      </c>
      <c r="D981" s="7" t="n">
        <v>6</v>
      </c>
      <c r="E981" s="7" t="n">
        <v>19</v>
      </c>
      <c r="F981" s="7" t="n">
        <v>3</v>
      </c>
      <c r="G981" s="7" t="n">
        <v>5</v>
      </c>
      <c r="H981" s="7" t="n">
        <v>1</v>
      </c>
      <c r="I981" s="7" t="n">
        <v>0</v>
      </c>
      <c r="J981" s="7" t="n">
        <v>0</v>
      </c>
      <c r="K981" s="7" t="n">
        <v>1</v>
      </c>
      <c r="L981" s="7" t="n">
        <v>6</v>
      </c>
      <c r="M981" s="7" t="n">
        <v>6</v>
      </c>
      <c r="N981" s="7" t="n">
        <v>0</v>
      </c>
      <c r="O981" s="7" t="n">
        <v>0</v>
      </c>
      <c r="P981" s="8" t="n">
        <f aca="false">IF(E981=0,0,G981/E981)</f>
        <v>0.263157894736842</v>
      </c>
      <c r="Q981" s="8" t="n">
        <f aca="false">IF(E981+N981=0,0,(G981+N981)/(E981+N981))</f>
        <v>0.263157894736842</v>
      </c>
      <c r="R981" s="8" t="n">
        <f aca="false">IF(E981=0,0,L981/E981)</f>
        <v>0.315789473684211</v>
      </c>
      <c r="S981" s="8" t="n">
        <f aca="false">R981+Q981</f>
        <v>0.578947368421053</v>
      </c>
      <c r="T981" s="8" t="n">
        <f aca="false">R981-P981</f>
        <v>0.0526315789473684</v>
      </c>
    </row>
    <row r="982" customFormat="false" ht="14.25" hidden="false" customHeight="true" outlineLevel="0" collapsed="false">
      <c r="A982" s="6" t="n">
        <v>2021</v>
      </c>
      <c r="B982" s="6" t="s">
        <v>121</v>
      </c>
      <c r="C982" s="6" t="s">
        <v>271</v>
      </c>
      <c r="D982" s="7" t="n">
        <v>7</v>
      </c>
      <c r="E982" s="7" t="n">
        <v>11</v>
      </c>
      <c r="F982" s="7" t="n">
        <v>2</v>
      </c>
      <c r="G982" s="7" t="n">
        <v>5</v>
      </c>
      <c r="H982" s="7" t="n">
        <v>0</v>
      </c>
      <c r="I982" s="7" t="n">
        <v>0</v>
      </c>
      <c r="J982" s="7" t="n">
        <v>0</v>
      </c>
      <c r="K982" s="7" t="n">
        <v>0</v>
      </c>
      <c r="L982" s="7" t="n">
        <v>5</v>
      </c>
      <c r="M982" s="7" t="n">
        <v>0</v>
      </c>
      <c r="N982" s="7" t="n">
        <v>1</v>
      </c>
      <c r="O982" s="7" t="n">
        <v>0</v>
      </c>
      <c r="P982" s="8" t="n">
        <f aca="false">IF(E982=0,0,G982/E982)</f>
        <v>0.454545454545455</v>
      </c>
      <c r="Q982" s="8" t="n">
        <f aca="false">IF(E982+N982=0,0,(G982+N982)/(E982+N982))</f>
        <v>0.5</v>
      </c>
      <c r="R982" s="8" t="n">
        <f aca="false">IF(E982=0,0,L982/E982)</f>
        <v>0.454545454545455</v>
      </c>
      <c r="S982" s="8" t="n">
        <f aca="false">R982+Q982</f>
        <v>0.954545454545455</v>
      </c>
      <c r="T982" s="8" t="n">
        <f aca="false">R982-P982</f>
        <v>0</v>
      </c>
    </row>
    <row r="983" customFormat="false" ht="14.25" hidden="false" customHeight="true" outlineLevel="0" collapsed="false">
      <c r="A983" s="6" t="n">
        <v>2021</v>
      </c>
      <c r="B983" s="6" t="s">
        <v>121</v>
      </c>
      <c r="C983" s="6" t="s">
        <v>136</v>
      </c>
      <c r="D983" s="7" t="n">
        <v>6</v>
      </c>
      <c r="E983" s="7" t="n">
        <v>19</v>
      </c>
      <c r="F983" s="7" t="n">
        <v>4</v>
      </c>
      <c r="G983" s="7" t="n">
        <v>4</v>
      </c>
      <c r="H983" s="7" t="n">
        <v>1</v>
      </c>
      <c r="I983" s="7" t="n">
        <v>0</v>
      </c>
      <c r="J983" s="7" t="n">
        <v>0</v>
      </c>
      <c r="K983" s="7" t="n">
        <v>1</v>
      </c>
      <c r="L983" s="7" t="n">
        <v>5</v>
      </c>
      <c r="M983" s="7" t="n">
        <v>4</v>
      </c>
      <c r="N983" s="7" t="n">
        <v>2</v>
      </c>
      <c r="O983" s="7" t="n">
        <v>1</v>
      </c>
      <c r="P983" s="8" t="n">
        <f aca="false">IF(E983=0,0,G983/E983)</f>
        <v>0.210526315789474</v>
      </c>
      <c r="Q983" s="8" t="n">
        <f aca="false">IF(E983+N983=0,0,(G983+N983)/(E983+N983))</f>
        <v>0.285714285714286</v>
      </c>
      <c r="R983" s="8" t="n">
        <f aca="false">IF(E983=0,0,L983/E983)</f>
        <v>0.263157894736842</v>
      </c>
      <c r="S983" s="8" t="n">
        <f aca="false">R983+Q983</f>
        <v>0.548872180451128</v>
      </c>
      <c r="T983" s="8" t="n">
        <f aca="false">R983-P983</f>
        <v>0.0526315789473684</v>
      </c>
    </row>
    <row r="984" customFormat="false" ht="14.25" hidden="false" customHeight="true" outlineLevel="0" collapsed="false">
      <c r="A984" s="6" t="n">
        <v>2021</v>
      </c>
      <c r="B984" s="6" t="s">
        <v>121</v>
      </c>
      <c r="C984" s="6" t="s">
        <v>133</v>
      </c>
      <c r="D984" s="7" t="n">
        <v>8</v>
      </c>
      <c r="E984" s="7" t="n">
        <v>19</v>
      </c>
      <c r="F984" s="7" t="n">
        <v>2</v>
      </c>
      <c r="G984" s="7" t="n">
        <v>4</v>
      </c>
      <c r="H984" s="7" t="n">
        <v>0</v>
      </c>
      <c r="I984" s="7" t="n">
        <v>0</v>
      </c>
      <c r="J984" s="7" t="n">
        <v>0</v>
      </c>
      <c r="K984" s="7" t="n">
        <v>0</v>
      </c>
      <c r="L984" s="7" t="n">
        <v>4</v>
      </c>
      <c r="M984" s="7" t="n">
        <v>3</v>
      </c>
      <c r="N984" s="7" t="n">
        <v>2</v>
      </c>
      <c r="O984" s="7" t="n">
        <v>0</v>
      </c>
      <c r="P984" s="8" t="n">
        <f aca="false">IF(E984=0,0,G984/E984)</f>
        <v>0.210526315789474</v>
      </c>
      <c r="Q984" s="8" t="n">
        <f aca="false">IF(E984+N984=0,0,(G984+N984)/(E984+N984))</f>
        <v>0.285714285714286</v>
      </c>
      <c r="R984" s="8" t="n">
        <f aca="false">IF(E984=0,0,L984/E984)</f>
        <v>0.210526315789474</v>
      </c>
      <c r="S984" s="8" t="n">
        <f aca="false">R984+Q984</f>
        <v>0.496240601503759</v>
      </c>
      <c r="T984" s="8" t="n">
        <f aca="false">R984-P984</f>
        <v>0</v>
      </c>
    </row>
    <row r="985" customFormat="false" ht="14.25" hidden="false" customHeight="true" outlineLevel="0" collapsed="false">
      <c r="A985" s="6" t="n">
        <v>2021</v>
      </c>
      <c r="B985" s="6" t="s">
        <v>121</v>
      </c>
      <c r="C985" s="6" t="s">
        <v>145</v>
      </c>
      <c r="D985" s="7" t="n">
        <v>7</v>
      </c>
      <c r="E985" s="7" t="n">
        <v>14</v>
      </c>
      <c r="F985" s="7" t="n">
        <v>3</v>
      </c>
      <c r="G985" s="7" t="n">
        <v>4</v>
      </c>
      <c r="H985" s="7" t="n">
        <v>0</v>
      </c>
      <c r="I985" s="7" t="n">
        <v>0</v>
      </c>
      <c r="J985" s="7" t="n">
        <v>0</v>
      </c>
      <c r="K985" s="7" t="n">
        <v>0</v>
      </c>
      <c r="L985" s="7" t="n">
        <v>4</v>
      </c>
      <c r="M985" s="7" t="n">
        <v>2</v>
      </c>
      <c r="N985" s="7" t="n">
        <v>3</v>
      </c>
      <c r="O985" s="7" t="n">
        <v>0</v>
      </c>
      <c r="P985" s="8" t="n">
        <f aca="false">IF(E985=0,0,G985/E985)</f>
        <v>0.285714285714286</v>
      </c>
      <c r="Q985" s="8" t="n">
        <f aca="false">IF(E985+N985=0,0,(G985+N985)/(E985+N985))</f>
        <v>0.411764705882353</v>
      </c>
      <c r="R985" s="8" t="n">
        <f aca="false">IF(E985=0,0,L985/E985)</f>
        <v>0.285714285714286</v>
      </c>
      <c r="S985" s="8" t="n">
        <f aca="false">R985+Q985</f>
        <v>0.697478991596639</v>
      </c>
      <c r="T985" s="8" t="n">
        <f aca="false">R985-P985</f>
        <v>0</v>
      </c>
    </row>
    <row r="986" customFormat="false" ht="14.25" hidden="false" customHeight="true" outlineLevel="0" collapsed="false">
      <c r="A986" s="6" t="n">
        <v>2021</v>
      </c>
      <c r="B986" s="6" t="s">
        <v>121</v>
      </c>
      <c r="C986" s="6" t="s">
        <v>138</v>
      </c>
      <c r="D986" s="7" t="n">
        <v>7</v>
      </c>
      <c r="E986" s="7" t="n">
        <v>19</v>
      </c>
      <c r="F986" s="7" t="n">
        <v>1</v>
      </c>
      <c r="G986" s="7" t="n">
        <v>3</v>
      </c>
      <c r="H986" s="7" t="n">
        <v>1</v>
      </c>
      <c r="I986" s="7" t="n">
        <v>0</v>
      </c>
      <c r="J986" s="7" t="n">
        <v>0</v>
      </c>
      <c r="K986" s="7" t="n">
        <v>1</v>
      </c>
      <c r="L986" s="7" t="n">
        <v>4</v>
      </c>
      <c r="M986" s="7" t="n">
        <v>1</v>
      </c>
      <c r="N986" s="7" t="n">
        <v>1</v>
      </c>
      <c r="O986" s="7" t="n">
        <v>0</v>
      </c>
      <c r="P986" s="8" t="n">
        <f aca="false">IF(E986=0,0,G986/E986)</f>
        <v>0.157894736842105</v>
      </c>
      <c r="Q986" s="8" t="n">
        <f aca="false">IF(E986+N986=0,0,(G986+N986)/(E986+N986))</f>
        <v>0.2</v>
      </c>
      <c r="R986" s="8" t="n">
        <f aca="false">IF(E986=0,0,L986/E986)</f>
        <v>0.210526315789474</v>
      </c>
      <c r="S986" s="8" t="n">
        <f aca="false">R986+Q986</f>
        <v>0.410526315789474</v>
      </c>
      <c r="T986" s="8" t="n">
        <f aca="false">R986-P986</f>
        <v>0.0526315789473684</v>
      </c>
    </row>
    <row r="987" customFormat="false" ht="14.25" hidden="false" customHeight="true" outlineLevel="0" collapsed="false">
      <c r="A987" s="6" t="n">
        <v>2021</v>
      </c>
      <c r="B987" s="6" t="s">
        <v>121</v>
      </c>
      <c r="C987" s="6" t="s">
        <v>140</v>
      </c>
      <c r="D987" s="7" t="n">
        <v>5</v>
      </c>
      <c r="E987" s="7" t="n">
        <v>8</v>
      </c>
      <c r="F987" s="7" t="n">
        <v>0</v>
      </c>
      <c r="G987" s="7" t="n">
        <v>3</v>
      </c>
      <c r="H987" s="7" t="n">
        <v>0</v>
      </c>
      <c r="I987" s="7" t="n">
        <v>0</v>
      </c>
      <c r="J987" s="7" t="n">
        <v>0</v>
      </c>
      <c r="K987" s="7" t="n">
        <v>0</v>
      </c>
      <c r="L987" s="7" t="n">
        <v>3</v>
      </c>
      <c r="M987" s="7" t="n">
        <v>1</v>
      </c>
      <c r="N987" s="7" t="n">
        <v>3</v>
      </c>
      <c r="O987" s="7" t="n">
        <v>1</v>
      </c>
      <c r="P987" s="8" t="n">
        <f aca="false">IF(E987=0,0,G987/E987)</f>
        <v>0.375</v>
      </c>
      <c r="Q987" s="8" t="n">
        <f aca="false">IF(E987+N987=0,0,(G987+N987)/(E987+N987))</f>
        <v>0.545454545454545</v>
      </c>
      <c r="R987" s="8" t="n">
        <f aca="false">IF(E987=0,0,L987/E987)</f>
        <v>0.375</v>
      </c>
      <c r="S987" s="8" t="n">
        <f aca="false">R987+Q987</f>
        <v>0.920454545454545</v>
      </c>
      <c r="T987" s="8" t="n">
        <f aca="false">R987-P987</f>
        <v>0</v>
      </c>
    </row>
    <row r="988" customFormat="false" ht="14.25" hidden="false" customHeight="true" outlineLevel="0" collapsed="false">
      <c r="A988" s="6" t="n">
        <v>2021</v>
      </c>
      <c r="B988" s="6" t="s">
        <v>121</v>
      </c>
      <c r="C988" s="6" t="s">
        <v>132</v>
      </c>
      <c r="D988" s="7" t="n">
        <v>6</v>
      </c>
      <c r="E988" s="7" t="n">
        <v>12</v>
      </c>
      <c r="F988" s="7" t="n">
        <v>1</v>
      </c>
      <c r="G988" s="7" t="n">
        <v>2</v>
      </c>
      <c r="H988" s="7" t="n">
        <v>0</v>
      </c>
      <c r="I988" s="7" t="n">
        <v>0</v>
      </c>
      <c r="J988" s="7" t="n">
        <v>0</v>
      </c>
      <c r="K988" s="7" t="n">
        <v>0</v>
      </c>
      <c r="L988" s="7" t="n">
        <v>2</v>
      </c>
      <c r="M988" s="7" t="n">
        <v>1</v>
      </c>
      <c r="N988" s="7" t="n">
        <v>2</v>
      </c>
      <c r="O988" s="7" t="n">
        <v>0</v>
      </c>
      <c r="P988" s="8" t="n">
        <f aca="false">IF(E988=0,0,G988/E988)</f>
        <v>0.166666666666667</v>
      </c>
      <c r="Q988" s="8" t="n">
        <f aca="false">IF(E988+N988=0,0,(G988+N988)/(E988+N988))</f>
        <v>0.285714285714286</v>
      </c>
      <c r="R988" s="8" t="n">
        <f aca="false">IF(E988=0,0,L988/E988)</f>
        <v>0.166666666666667</v>
      </c>
      <c r="S988" s="8" t="n">
        <f aca="false">R988+Q988</f>
        <v>0.452380952380952</v>
      </c>
      <c r="T988" s="8" t="n">
        <f aca="false">R988-P988</f>
        <v>0</v>
      </c>
    </row>
    <row r="989" customFormat="false" ht="14.25" hidden="false" customHeight="true" outlineLevel="0" collapsed="false">
      <c r="A989" s="6" t="n">
        <v>2021</v>
      </c>
      <c r="B989" s="6" t="s">
        <v>121</v>
      </c>
      <c r="C989" s="6" t="s">
        <v>135</v>
      </c>
      <c r="D989" s="7" t="n">
        <v>6</v>
      </c>
      <c r="E989" s="7" t="n">
        <v>15</v>
      </c>
      <c r="F989" s="7" t="n">
        <v>0</v>
      </c>
      <c r="G989" s="7" t="n">
        <v>2</v>
      </c>
      <c r="H989" s="7" t="n">
        <v>0</v>
      </c>
      <c r="I989" s="7" t="n">
        <v>0</v>
      </c>
      <c r="J989" s="7" t="n">
        <v>0</v>
      </c>
      <c r="K989" s="7" t="n">
        <v>0</v>
      </c>
      <c r="L989" s="7" t="n">
        <v>2</v>
      </c>
      <c r="M989" s="7" t="n">
        <v>0</v>
      </c>
      <c r="N989" s="7" t="n">
        <v>2</v>
      </c>
      <c r="O989" s="7" t="n">
        <v>2</v>
      </c>
      <c r="P989" s="8" t="n">
        <f aca="false">IF(E989=0,0,G989/E989)</f>
        <v>0.133333333333333</v>
      </c>
      <c r="Q989" s="8" t="n">
        <f aca="false">IF(E989+N989=0,0,(G989+N989)/(E989+N989))</f>
        <v>0.235294117647059</v>
      </c>
      <c r="R989" s="8" t="n">
        <f aca="false">IF(E989=0,0,L989/E989)</f>
        <v>0.133333333333333</v>
      </c>
      <c r="S989" s="8" t="n">
        <f aca="false">R989+Q989</f>
        <v>0.368627450980392</v>
      </c>
      <c r="T989" s="8" t="n">
        <f aca="false">R989-P989</f>
        <v>0</v>
      </c>
    </row>
    <row r="990" customFormat="false" ht="14.25" hidden="false" customHeight="true" outlineLevel="0" collapsed="false">
      <c r="A990" s="6" t="n">
        <v>2021</v>
      </c>
      <c r="B990" s="6" t="s">
        <v>121</v>
      </c>
      <c r="C990" s="6" t="s">
        <v>131</v>
      </c>
      <c r="D990" s="7" t="n">
        <v>1</v>
      </c>
      <c r="E990" s="7" t="n">
        <v>2</v>
      </c>
      <c r="F990" s="7" t="n">
        <v>0</v>
      </c>
      <c r="G990" s="7" t="n">
        <v>1</v>
      </c>
      <c r="H990" s="7" t="n">
        <v>0</v>
      </c>
      <c r="I990" s="7" t="n">
        <v>0</v>
      </c>
      <c r="J990" s="7" t="n">
        <v>0</v>
      </c>
      <c r="K990" s="7" t="n">
        <v>0</v>
      </c>
      <c r="L990" s="7" t="n">
        <v>1</v>
      </c>
      <c r="M990" s="7" t="n">
        <v>1</v>
      </c>
      <c r="N990" s="7" t="n">
        <v>0</v>
      </c>
      <c r="O990" s="7" t="n">
        <v>0</v>
      </c>
      <c r="P990" s="8" t="n">
        <f aca="false">IF(E990=0,0,G990/E990)</f>
        <v>0.5</v>
      </c>
      <c r="Q990" s="8" t="n">
        <f aca="false">IF(E990+N990=0,0,(G990+N990)/(E990+N990))</f>
        <v>0.5</v>
      </c>
      <c r="R990" s="8" t="n">
        <f aca="false">IF(E990=0,0,L990/E990)</f>
        <v>0.5</v>
      </c>
      <c r="S990" s="8" t="n">
        <f aca="false">R990+Q990</f>
        <v>1</v>
      </c>
      <c r="T990" s="8" t="n">
        <f aca="false">R990-P990</f>
        <v>0</v>
      </c>
    </row>
    <row r="991" customFormat="false" ht="14.25" hidden="false" customHeight="true" outlineLevel="0" collapsed="false">
      <c r="A991" s="6" t="n">
        <v>2021</v>
      </c>
      <c r="B991" s="6" t="s">
        <v>121</v>
      </c>
      <c r="C991" s="6" t="s">
        <v>142</v>
      </c>
      <c r="D991" s="7" t="n">
        <v>6</v>
      </c>
      <c r="E991" s="7" t="n">
        <v>12</v>
      </c>
      <c r="F991" s="7" t="n">
        <v>1</v>
      </c>
      <c r="G991" s="7" t="n">
        <v>1</v>
      </c>
      <c r="H991" s="7" t="n">
        <v>0</v>
      </c>
      <c r="I991" s="7" t="n">
        <v>0</v>
      </c>
      <c r="J991" s="7" t="n">
        <v>0</v>
      </c>
      <c r="K991" s="7" t="n">
        <v>0</v>
      </c>
      <c r="L991" s="7" t="n">
        <v>1</v>
      </c>
      <c r="M991" s="7" t="n">
        <v>0</v>
      </c>
      <c r="N991" s="7" t="n">
        <v>6</v>
      </c>
      <c r="O991" s="7" t="n">
        <v>1</v>
      </c>
      <c r="P991" s="8" t="n">
        <f aca="false">IF(E991=0,0,G991/E991)</f>
        <v>0.0833333333333333</v>
      </c>
      <c r="Q991" s="8" t="n">
        <f aca="false">IF(E991+N991=0,0,(G991+N991)/(E991+N991))</f>
        <v>0.388888888888889</v>
      </c>
      <c r="R991" s="8" t="n">
        <f aca="false">IF(E991=0,0,L991/E991)</f>
        <v>0.0833333333333333</v>
      </c>
      <c r="S991" s="8" t="n">
        <f aca="false">R991+Q991</f>
        <v>0.472222222222222</v>
      </c>
      <c r="T991" s="8" t="n">
        <f aca="false">R991-P991</f>
        <v>0</v>
      </c>
    </row>
    <row r="992" customFormat="false" ht="14.25" hidden="false" customHeight="true" outlineLevel="0" collapsed="false">
      <c r="A992" s="6" t="n">
        <v>2021</v>
      </c>
      <c r="B992" s="6" t="s">
        <v>121</v>
      </c>
      <c r="C992" s="6" t="s">
        <v>424</v>
      </c>
      <c r="D992" s="7" t="n">
        <v>1</v>
      </c>
      <c r="E992" s="7" t="n">
        <v>2</v>
      </c>
      <c r="F992" s="7" t="n">
        <v>0</v>
      </c>
      <c r="G992" s="7" t="n">
        <v>1</v>
      </c>
      <c r="H992" s="7" t="n">
        <v>0</v>
      </c>
      <c r="I992" s="7" t="n">
        <v>0</v>
      </c>
      <c r="J992" s="7" t="n">
        <v>0</v>
      </c>
      <c r="K992" s="7" t="n">
        <v>0</v>
      </c>
      <c r="L992" s="7" t="n">
        <v>1</v>
      </c>
      <c r="M992" s="7" t="n">
        <v>0</v>
      </c>
      <c r="N992" s="7" t="n">
        <v>1</v>
      </c>
      <c r="O992" s="7" t="n">
        <v>0</v>
      </c>
      <c r="P992" s="8" t="n">
        <f aca="false">IF(E992=0,0,G992/E992)</f>
        <v>0.5</v>
      </c>
      <c r="Q992" s="8" t="n">
        <f aca="false">IF(E992+N992=0,0,(G992+N992)/(E992+N992))</f>
        <v>0.666666666666667</v>
      </c>
      <c r="R992" s="8" t="n">
        <f aca="false">IF(E992=0,0,L992/E992)</f>
        <v>0.5</v>
      </c>
      <c r="S992" s="8" t="n">
        <f aca="false">R992+Q992</f>
        <v>1.16666666666667</v>
      </c>
      <c r="T992" s="8" t="n">
        <f aca="false">R992-P992</f>
        <v>0</v>
      </c>
    </row>
    <row r="993" customFormat="false" ht="14.25" hidden="false" customHeight="true" outlineLevel="0" collapsed="false">
      <c r="A993" s="6" t="n">
        <v>2021</v>
      </c>
      <c r="B993" s="6" t="s">
        <v>121</v>
      </c>
      <c r="C993" s="6" t="s">
        <v>425</v>
      </c>
      <c r="D993" s="7" t="n">
        <v>1</v>
      </c>
      <c r="E993" s="7" t="n">
        <v>2</v>
      </c>
      <c r="F993" s="7" t="n">
        <v>0</v>
      </c>
      <c r="G993" s="7" t="n">
        <v>1</v>
      </c>
      <c r="H993" s="7" t="n">
        <v>0</v>
      </c>
      <c r="I993" s="7" t="n">
        <v>0</v>
      </c>
      <c r="J993" s="7" t="n">
        <v>0</v>
      </c>
      <c r="K993" s="7" t="n">
        <v>0</v>
      </c>
      <c r="L993" s="7" t="n">
        <v>1</v>
      </c>
      <c r="M993" s="7" t="n">
        <v>0</v>
      </c>
      <c r="N993" s="7" t="n">
        <v>0</v>
      </c>
      <c r="O993" s="7" t="n">
        <v>0</v>
      </c>
      <c r="P993" s="8" t="n">
        <f aca="false">IF(E993=0,0,G993/E993)</f>
        <v>0.5</v>
      </c>
      <c r="Q993" s="8" t="n">
        <f aca="false">IF(E993+N993=0,0,(G993+N993)/(E993+N993))</f>
        <v>0.5</v>
      </c>
      <c r="R993" s="8" t="n">
        <f aca="false">IF(E993=0,0,L993/E993)</f>
        <v>0.5</v>
      </c>
      <c r="S993" s="8" t="n">
        <f aca="false">R993+Q993</f>
        <v>1</v>
      </c>
      <c r="T993" s="8" t="n">
        <f aca="false">R993-P993</f>
        <v>0</v>
      </c>
    </row>
    <row r="994" customFormat="false" ht="14.25" hidden="false" customHeight="true" outlineLevel="0" collapsed="false">
      <c r="A994" s="6" t="n">
        <v>2021</v>
      </c>
      <c r="B994" s="6" t="s">
        <v>121</v>
      </c>
      <c r="C994" s="6" t="s">
        <v>426</v>
      </c>
      <c r="D994" s="7" t="n">
        <v>1</v>
      </c>
      <c r="E994" s="7" t="n">
        <v>3</v>
      </c>
      <c r="F994" s="7" t="n">
        <v>0</v>
      </c>
      <c r="G994" s="7" t="n">
        <v>0</v>
      </c>
      <c r="H994" s="7" t="n">
        <v>0</v>
      </c>
      <c r="I994" s="7" t="n">
        <v>0</v>
      </c>
      <c r="J994" s="7" t="n">
        <v>0</v>
      </c>
      <c r="K994" s="7" t="n">
        <v>0</v>
      </c>
      <c r="L994" s="7" t="n">
        <v>0</v>
      </c>
      <c r="M994" s="7" t="n">
        <v>1</v>
      </c>
      <c r="N994" s="7" t="n">
        <v>0</v>
      </c>
      <c r="O994" s="7" t="n">
        <v>0</v>
      </c>
      <c r="P994" s="8" t="n">
        <f aca="false">IF(E994=0,0,G994/E994)</f>
        <v>0</v>
      </c>
      <c r="Q994" s="8" t="n">
        <f aca="false">IF(E994+N994=0,0,(G994+N994)/(E994+N994))</f>
        <v>0</v>
      </c>
      <c r="R994" s="8" t="n">
        <f aca="false">IF(E994=0,0,L994/E994)</f>
        <v>0</v>
      </c>
      <c r="S994" s="8" t="n">
        <f aca="false">R994+Q994</f>
        <v>0</v>
      </c>
      <c r="T994" s="8" t="n">
        <f aca="false">R994-P994</f>
        <v>0</v>
      </c>
    </row>
    <row r="995" customFormat="false" ht="14.25" hidden="false" customHeight="true" outlineLevel="0" collapsed="false">
      <c r="A995" s="6" t="n">
        <v>2021</v>
      </c>
      <c r="B995" s="6" t="s">
        <v>121</v>
      </c>
      <c r="C995" s="6" t="s">
        <v>360</v>
      </c>
      <c r="D995" s="7" t="n">
        <v>1</v>
      </c>
      <c r="E995" s="7" t="n">
        <v>3</v>
      </c>
      <c r="F995" s="7" t="n">
        <v>0</v>
      </c>
      <c r="G995" s="7" t="n">
        <v>0</v>
      </c>
      <c r="H995" s="7" t="n">
        <v>0</v>
      </c>
      <c r="I995" s="7" t="n">
        <v>0</v>
      </c>
      <c r="J995" s="7" t="n">
        <v>0</v>
      </c>
      <c r="K995" s="7" t="n">
        <v>0</v>
      </c>
      <c r="L995" s="7" t="n">
        <v>0</v>
      </c>
      <c r="M995" s="7" t="n">
        <v>0</v>
      </c>
      <c r="N995" s="7" t="n">
        <v>0</v>
      </c>
      <c r="O995" s="7" t="n">
        <v>1</v>
      </c>
      <c r="P995" s="8" t="n">
        <f aca="false">IF(E995=0,0,G995/E995)</f>
        <v>0</v>
      </c>
      <c r="Q995" s="8" t="n">
        <f aca="false">IF(E995+N995=0,0,(G995+N995)/(E995+N995))</f>
        <v>0</v>
      </c>
      <c r="R995" s="8" t="n">
        <f aca="false">IF(E995=0,0,L995/E995)</f>
        <v>0</v>
      </c>
      <c r="S995" s="8" t="n">
        <f aca="false">R995+Q995</f>
        <v>0</v>
      </c>
      <c r="T995" s="8" t="n">
        <f aca="false">R995-P995</f>
        <v>0</v>
      </c>
    </row>
    <row r="996" customFormat="false" ht="14.25" hidden="false" customHeight="true" outlineLevel="0" collapsed="false">
      <c r="A996" s="6" t="n">
        <v>2021</v>
      </c>
      <c r="B996" s="6" t="s">
        <v>121</v>
      </c>
      <c r="C996" s="6" t="s">
        <v>427</v>
      </c>
      <c r="D996" s="7" t="n">
        <v>1</v>
      </c>
      <c r="E996" s="7" t="n">
        <v>2</v>
      </c>
      <c r="F996" s="7" t="n">
        <v>0</v>
      </c>
      <c r="G996" s="7" t="n">
        <v>0</v>
      </c>
      <c r="H996" s="7" t="n">
        <v>0</v>
      </c>
      <c r="I996" s="7" t="n">
        <v>0</v>
      </c>
      <c r="J996" s="7" t="n">
        <v>0</v>
      </c>
      <c r="K996" s="7" t="n">
        <v>0</v>
      </c>
      <c r="L996" s="7" t="n">
        <v>0</v>
      </c>
      <c r="M996" s="7" t="n">
        <v>0</v>
      </c>
      <c r="N996" s="7" t="n">
        <v>0</v>
      </c>
      <c r="O996" s="7" t="n">
        <v>1</v>
      </c>
      <c r="P996" s="8" t="n">
        <f aca="false">IF(E996=0,0,G996/E996)</f>
        <v>0</v>
      </c>
      <c r="Q996" s="8" t="n">
        <f aca="false">IF(E996+N996=0,0,(G996+N996)/(E996+N996))</f>
        <v>0</v>
      </c>
      <c r="R996" s="8" t="n">
        <f aca="false">IF(E996=0,0,L996/E996)</f>
        <v>0</v>
      </c>
      <c r="S996" s="8" t="n">
        <f aca="false">R996+Q996</f>
        <v>0</v>
      </c>
      <c r="T996" s="8" t="n">
        <f aca="false">R996-P996</f>
        <v>0</v>
      </c>
    </row>
    <row r="997" customFormat="false" ht="14.25" hidden="false" customHeight="true" outlineLevel="0" collapsed="false">
      <c r="A997" s="6" t="n">
        <v>2021</v>
      </c>
      <c r="B997" s="6" t="s">
        <v>121</v>
      </c>
      <c r="C997" s="6" t="s">
        <v>301</v>
      </c>
      <c r="D997" s="7" t="n">
        <v>2</v>
      </c>
      <c r="E997" s="7" t="n">
        <v>4</v>
      </c>
      <c r="F997" s="7" t="n">
        <v>2</v>
      </c>
      <c r="G997" s="7" t="n">
        <v>0</v>
      </c>
      <c r="H997" s="7" t="n">
        <v>0</v>
      </c>
      <c r="I997" s="7" t="n">
        <v>0</v>
      </c>
      <c r="J997" s="7" t="n">
        <v>0</v>
      </c>
      <c r="K997" s="7" t="n">
        <v>0</v>
      </c>
      <c r="L997" s="7" t="n">
        <v>0</v>
      </c>
      <c r="M997" s="7" t="n">
        <v>0</v>
      </c>
      <c r="N997" s="7" t="n">
        <v>2</v>
      </c>
      <c r="O997" s="7" t="n">
        <v>0</v>
      </c>
      <c r="P997" s="8" t="n">
        <f aca="false">IF(E997=0,0,G997/E997)</f>
        <v>0</v>
      </c>
      <c r="Q997" s="8" t="n">
        <f aca="false">IF(E997+N997=0,0,(G997+N997)/(E997+N997))</f>
        <v>0.333333333333333</v>
      </c>
      <c r="R997" s="8" t="n">
        <f aca="false">IF(E997=0,0,L997/E997)</f>
        <v>0</v>
      </c>
      <c r="S997" s="8" t="n">
        <f aca="false">R997+Q997</f>
        <v>0.333333333333333</v>
      </c>
      <c r="T997" s="8" t="n">
        <f aca="false">R997-P997</f>
        <v>0</v>
      </c>
    </row>
    <row r="998" customFormat="false" ht="14.25" hidden="false" customHeight="true" outlineLevel="0" collapsed="false">
      <c r="A998" s="6" t="n">
        <v>2021</v>
      </c>
      <c r="B998" s="6" t="s">
        <v>121</v>
      </c>
      <c r="C998" s="6" t="s">
        <v>428</v>
      </c>
      <c r="D998" s="7" t="n">
        <v>2</v>
      </c>
      <c r="E998" s="7" t="n">
        <v>5</v>
      </c>
      <c r="F998" s="7" t="n">
        <v>0</v>
      </c>
      <c r="G998" s="7" t="n">
        <v>0</v>
      </c>
      <c r="H998" s="7" t="n">
        <v>0</v>
      </c>
      <c r="I998" s="7" t="n">
        <v>0</v>
      </c>
      <c r="J998" s="7" t="n">
        <v>0</v>
      </c>
      <c r="K998" s="7" t="n">
        <v>0</v>
      </c>
      <c r="L998" s="7" t="n">
        <v>0</v>
      </c>
      <c r="M998" s="7" t="n">
        <v>0</v>
      </c>
      <c r="N998" s="7" t="n">
        <v>0</v>
      </c>
      <c r="O998" s="7" t="n">
        <v>0</v>
      </c>
      <c r="P998" s="8" t="n">
        <f aca="false">IF(E998=0,0,G998/E998)</f>
        <v>0</v>
      </c>
      <c r="Q998" s="8" t="n">
        <f aca="false">IF(E998+N998=0,0,(G998+N998)/(E998+N998))</f>
        <v>0</v>
      </c>
      <c r="R998" s="8" t="n">
        <f aca="false">IF(E998=0,0,L998/E998)</f>
        <v>0</v>
      </c>
      <c r="S998" s="8" t="n">
        <f aca="false">R998+Q998</f>
        <v>0</v>
      </c>
      <c r="T998" s="8" t="n">
        <f aca="false">R998-P998</f>
        <v>0</v>
      </c>
    </row>
    <row r="999" customFormat="false" ht="14.25" hidden="false" customHeight="true" outlineLevel="0" collapsed="false">
      <c r="A999" s="6" t="n">
        <v>2021</v>
      </c>
      <c r="B999" s="6" t="s">
        <v>121</v>
      </c>
      <c r="C999" s="6" t="s">
        <v>341</v>
      </c>
      <c r="D999" s="7" t="n">
        <v>3</v>
      </c>
      <c r="E999" s="7" t="n">
        <v>5</v>
      </c>
      <c r="F999" s="7" t="n">
        <v>0</v>
      </c>
      <c r="G999" s="7" t="n">
        <v>0</v>
      </c>
      <c r="H999" s="7" t="n">
        <v>0</v>
      </c>
      <c r="I999" s="7" t="n">
        <v>0</v>
      </c>
      <c r="J999" s="7" t="n">
        <v>0</v>
      </c>
      <c r="K999" s="7" t="n">
        <v>0</v>
      </c>
      <c r="L999" s="7" t="n">
        <v>0</v>
      </c>
      <c r="M999" s="7" t="n">
        <v>0</v>
      </c>
      <c r="N999" s="7" t="n">
        <v>0</v>
      </c>
      <c r="O999" s="7" t="n">
        <v>0</v>
      </c>
      <c r="P999" s="8" t="n">
        <f aca="false">IF(E999=0,0,G999/E999)</f>
        <v>0</v>
      </c>
      <c r="Q999" s="8" t="n">
        <f aca="false">IF(E999+N999=0,0,(G999+N999)/(E999+N999))</f>
        <v>0</v>
      </c>
      <c r="R999" s="8" t="n">
        <f aca="false">IF(E999=0,0,L999/E999)</f>
        <v>0</v>
      </c>
      <c r="S999" s="8" t="n">
        <f aca="false">R999+Q999</f>
        <v>0</v>
      </c>
      <c r="T999" s="8" t="n">
        <f aca="false">R999-P999</f>
        <v>0</v>
      </c>
    </row>
    <row r="1000" customFormat="false" ht="14.25" hidden="false" customHeight="true" outlineLevel="0" collapsed="false">
      <c r="A1000" s="6" t="n">
        <v>2021</v>
      </c>
      <c r="B1000" s="6" t="s">
        <v>121</v>
      </c>
      <c r="C1000" s="6" t="s">
        <v>429</v>
      </c>
      <c r="D1000" s="7" t="n">
        <v>1</v>
      </c>
      <c r="E1000" s="7" t="n">
        <v>3</v>
      </c>
      <c r="F1000" s="7" t="n">
        <v>0</v>
      </c>
      <c r="G1000" s="7" t="n">
        <v>0</v>
      </c>
      <c r="H1000" s="7" t="n">
        <v>0</v>
      </c>
      <c r="I1000" s="7" t="n">
        <v>0</v>
      </c>
      <c r="J1000" s="7" t="n">
        <v>0</v>
      </c>
      <c r="K1000" s="7" t="n">
        <v>0</v>
      </c>
      <c r="L1000" s="7" t="n">
        <v>0</v>
      </c>
      <c r="M1000" s="7" t="n">
        <v>0</v>
      </c>
      <c r="N1000" s="7" t="n">
        <v>0</v>
      </c>
      <c r="O1000" s="7" t="n">
        <v>0</v>
      </c>
      <c r="P1000" s="8" t="n">
        <f aca="false">IF(E1000=0,0,G1000/E1000)</f>
        <v>0</v>
      </c>
      <c r="Q1000" s="8" t="n">
        <f aca="false">IF(E1000+N1000=0,0,(G1000+N1000)/(E1000+N1000))</f>
        <v>0</v>
      </c>
      <c r="R1000" s="8" t="n">
        <f aca="false">IF(E1000=0,0,L1000/E1000)</f>
        <v>0</v>
      </c>
      <c r="S1000" s="8" t="n">
        <f aca="false">R1000+Q1000</f>
        <v>0</v>
      </c>
      <c r="T1000" s="8" t="n">
        <f aca="false">R1000-P1000</f>
        <v>0</v>
      </c>
    </row>
    <row r="1001" customFormat="false" ht="14.25" hidden="false" customHeight="true" outlineLevel="0" collapsed="false">
      <c r="A1001" s="6" t="n">
        <v>2021</v>
      </c>
      <c r="B1001" s="6" t="s">
        <v>121</v>
      </c>
      <c r="C1001" s="6" t="s">
        <v>270</v>
      </c>
      <c r="D1001" s="7" t="n">
        <v>2</v>
      </c>
      <c r="E1001" s="7" t="n">
        <v>2</v>
      </c>
      <c r="F1001" s="7" t="n">
        <v>0</v>
      </c>
      <c r="G1001" s="7" t="n">
        <v>0</v>
      </c>
      <c r="H1001" s="7" t="n">
        <v>0</v>
      </c>
      <c r="I1001" s="7" t="n">
        <v>0</v>
      </c>
      <c r="J1001" s="7" t="n">
        <v>0</v>
      </c>
      <c r="K1001" s="7" t="n">
        <v>0</v>
      </c>
      <c r="L1001" s="7" t="n">
        <v>0</v>
      </c>
      <c r="M1001" s="7" t="n">
        <v>0</v>
      </c>
      <c r="N1001" s="7" t="n">
        <v>0</v>
      </c>
      <c r="O1001" s="7" t="n">
        <v>0</v>
      </c>
      <c r="P1001" s="8" t="n">
        <f aca="false">IF(E1001=0,0,G1001/E1001)</f>
        <v>0</v>
      </c>
      <c r="Q1001" s="8" t="n">
        <f aca="false">IF(E1001+N1001=0,0,(G1001+N1001)/(E1001+N1001))</f>
        <v>0</v>
      </c>
      <c r="R1001" s="8" t="n">
        <f aca="false">IF(E1001=0,0,L1001/E1001)</f>
        <v>0</v>
      </c>
      <c r="S1001" s="8" t="n">
        <f aca="false">R1001+Q1001</f>
        <v>0</v>
      </c>
      <c r="T1001" s="8" t="n">
        <f aca="false">R1001-P1001</f>
        <v>0</v>
      </c>
    </row>
    <row r="1002" customFormat="false" ht="14.25" hidden="false" customHeight="true" outlineLevel="0" collapsed="false">
      <c r="A1002" s="6" t="n">
        <v>2021</v>
      </c>
      <c r="B1002" s="6" t="s">
        <v>121</v>
      </c>
      <c r="C1002" s="6" t="s">
        <v>430</v>
      </c>
      <c r="D1002" s="7" t="n">
        <v>1</v>
      </c>
      <c r="E1002" s="7" t="n">
        <v>2</v>
      </c>
      <c r="F1002" s="7" t="n">
        <v>0</v>
      </c>
      <c r="G1002" s="7" t="n">
        <v>0</v>
      </c>
      <c r="H1002" s="7" t="n">
        <v>0</v>
      </c>
      <c r="I1002" s="7" t="n">
        <v>0</v>
      </c>
      <c r="J1002" s="7" t="n">
        <v>0</v>
      </c>
      <c r="K1002" s="7" t="n">
        <v>0</v>
      </c>
      <c r="L1002" s="7" t="n">
        <v>0</v>
      </c>
      <c r="M1002" s="7" t="n">
        <v>0</v>
      </c>
      <c r="N1002" s="7" t="n">
        <v>0</v>
      </c>
      <c r="O1002" s="7" t="n">
        <v>0</v>
      </c>
      <c r="P1002" s="8" t="n">
        <f aca="false">IF(E1002=0,0,G1002/E1002)</f>
        <v>0</v>
      </c>
      <c r="Q1002" s="8" t="n">
        <f aca="false">IF(E1002+N1002=0,0,(G1002+N1002)/(E1002+N1002))</f>
        <v>0</v>
      </c>
      <c r="R1002" s="8" t="n">
        <f aca="false">IF(E1002=0,0,L1002/E1002)</f>
        <v>0</v>
      </c>
      <c r="S1002" s="8" t="n">
        <f aca="false">R1002+Q1002</f>
        <v>0</v>
      </c>
      <c r="T1002" s="8" t="n">
        <f aca="false">R1002-P1002</f>
        <v>0</v>
      </c>
    </row>
    <row r="1003" customFormat="false" ht="14.25" hidden="false" customHeight="true" outlineLevel="0" collapsed="false">
      <c r="A1003" s="6" t="n">
        <v>2021</v>
      </c>
      <c r="B1003" s="6" t="s">
        <v>121</v>
      </c>
      <c r="C1003" s="6" t="s">
        <v>431</v>
      </c>
      <c r="D1003" s="7" t="n">
        <v>1</v>
      </c>
      <c r="E1003" s="7" t="n">
        <v>2</v>
      </c>
      <c r="F1003" s="7" t="n">
        <v>0</v>
      </c>
      <c r="G1003" s="7" t="n">
        <v>0</v>
      </c>
      <c r="H1003" s="7" t="n">
        <v>0</v>
      </c>
      <c r="I1003" s="7" t="n">
        <v>0</v>
      </c>
      <c r="J1003" s="7" t="n">
        <v>0</v>
      </c>
      <c r="K1003" s="7" t="n">
        <v>0</v>
      </c>
      <c r="L1003" s="7" t="n">
        <v>0</v>
      </c>
      <c r="M1003" s="7" t="n">
        <v>0</v>
      </c>
      <c r="N1003" s="7" t="n">
        <v>0</v>
      </c>
      <c r="O1003" s="7" t="n">
        <v>0</v>
      </c>
      <c r="P1003" s="8" t="n">
        <f aca="false">IF(E1003=0,0,G1003/E1003)</f>
        <v>0</v>
      </c>
      <c r="Q1003" s="8" t="n">
        <f aca="false">IF(E1003+N1003=0,0,(G1003+N1003)/(E1003+N1003))</f>
        <v>0</v>
      </c>
      <c r="R1003" s="8" t="n">
        <f aca="false">IF(E1003=0,0,L1003/E1003)</f>
        <v>0</v>
      </c>
      <c r="S1003" s="8" t="n">
        <f aca="false">R1003+Q1003</f>
        <v>0</v>
      </c>
      <c r="T1003" s="8" t="n">
        <f aca="false">R1003-P1003</f>
        <v>0</v>
      </c>
    </row>
    <row r="1004" customFormat="false" ht="14.25" hidden="false" customHeight="true" outlineLevel="0" collapsed="false">
      <c r="A1004" s="6" t="n">
        <v>2021</v>
      </c>
      <c r="B1004" s="6" t="s">
        <v>121</v>
      </c>
      <c r="C1004" s="6" t="s">
        <v>432</v>
      </c>
      <c r="D1004" s="7" t="n">
        <v>1</v>
      </c>
      <c r="E1004" s="7" t="n">
        <v>0</v>
      </c>
      <c r="F1004" s="7" t="n">
        <v>0</v>
      </c>
      <c r="G1004" s="7" t="n">
        <v>0</v>
      </c>
      <c r="H1004" s="7" t="n">
        <v>0</v>
      </c>
      <c r="I1004" s="7" t="n">
        <v>0</v>
      </c>
      <c r="J1004" s="7" t="n">
        <v>0</v>
      </c>
      <c r="K1004" s="7" t="n">
        <v>0</v>
      </c>
      <c r="L1004" s="7" t="n">
        <v>0</v>
      </c>
      <c r="M1004" s="7" t="n">
        <v>0</v>
      </c>
      <c r="N1004" s="7" t="n">
        <v>0</v>
      </c>
      <c r="O1004" s="7" t="n">
        <v>0</v>
      </c>
      <c r="P1004" s="8" t="n">
        <f aca="false">IF(E1004=0,0,G1004/E1004)</f>
        <v>0</v>
      </c>
      <c r="Q1004" s="8" t="n">
        <f aca="false">IF(E1004+N1004=0,0,(G1004+N1004)/(E1004+N1004))</f>
        <v>0</v>
      </c>
      <c r="R1004" s="8" t="n">
        <f aca="false">IF(E1004=0,0,L1004/E1004)</f>
        <v>0</v>
      </c>
      <c r="S1004" s="8" t="n">
        <f aca="false">R1004+Q1004</f>
        <v>0</v>
      </c>
      <c r="T1004" s="8" t="n">
        <f aca="false">R1004-P1004</f>
        <v>0</v>
      </c>
    </row>
    <row r="1005" customFormat="false" ht="14.25" hidden="false" customHeight="true" outlineLevel="0" collapsed="false">
      <c r="A1005" s="6" t="n">
        <v>2021</v>
      </c>
      <c r="B1005" s="6" t="s">
        <v>147</v>
      </c>
      <c r="C1005" s="6" t="s">
        <v>148</v>
      </c>
      <c r="D1005" s="7" t="n">
        <v>8</v>
      </c>
      <c r="E1005" s="7" t="n">
        <v>25</v>
      </c>
      <c r="F1005" s="7" t="n">
        <v>15</v>
      </c>
      <c r="G1005" s="7" t="n">
        <v>11</v>
      </c>
      <c r="H1005" s="7" t="n">
        <v>0</v>
      </c>
      <c r="I1005" s="7" t="n">
        <v>0</v>
      </c>
      <c r="J1005" s="7" t="n">
        <v>5</v>
      </c>
      <c r="K1005" s="7" t="n">
        <v>5</v>
      </c>
      <c r="L1005" s="7" t="n">
        <v>26</v>
      </c>
      <c r="M1005" s="7" t="n">
        <v>11</v>
      </c>
      <c r="N1005" s="7" t="n">
        <v>5</v>
      </c>
      <c r="O1005" s="7" t="n">
        <v>0</v>
      </c>
      <c r="P1005" s="8" t="n">
        <f aca="false">IF(E1005=0,0,G1005/E1005)</f>
        <v>0.44</v>
      </c>
      <c r="Q1005" s="8" t="n">
        <f aca="false">IF(E1005+N1005=0,0,(G1005+N1005)/(E1005+N1005))</f>
        <v>0.533333333333333</v>
      </c>
      <c r="R1005" s="8" t="n">
        <f aca="false">IF(E1005=0,0,L1005/E1005)</f>
        <v>1.04</v>
      </c>
      <c r="S1005" s="8" t="n">
        <f aca="false">R1005+Q1005</f>
        <v>1.57333333333333</v>
      </c>
      <c r="T1005" s="8" t="n">
        <f aca="false">R1005-P1005</f>
        <v>0.6</v>
      </c>
    </row>
    <row r="1006" customFormat="false" ht="14.25" hidden="false" customHeight="true" outlineLevel="0" collapsed="false">
      <c r="A1006" s="6" t="n">
        <v>2021</v>
      </c>
      <c r="B1006" s="6" t="s">
        <v>147</v>
      </c>
      <c r="C1006" s="6" t="s">
        <v>154</v>
      </c>
      <c r="D1006" s="7" t="n">
        <v>8</v>
      </c>
      <c r="E1006" s="7" t="n">
        <v>27</v>
      </c>
      <c r="F1006" s="7" t="n">
        <v>4</v>
      </c>
      <c r="G1006" s="7" t="n">
        <v>9</v>
      </c>
      <c r="H1006" s="7" t="n">
        <v>2</v>
      </c>
      <c r="I1006" s="7" t="n">
        <v>0</v>
      </c>
      <c r="J1006" s="7" t="n">
        <v>0</v>
      </c>
      <c r="K1006" s="7" t="n">
        <v>2</v>
      </c>
      <c r="L1006" s="7" t="n">
        <v>11</v>
      </c>
      <c r="M1006" s="7" t="n">
        <v>6</v>
      </c>
      <c r="N1006" s="7" t="n">
        <v>1</v>
      </c>
      <c r="O1006" s="7" t="n">
        <v>0</v>
      </c>
      <c r="P1006" s="8" t="n">
        <f aca="false">IF(E1006=0,0,G1006/E1006)</f>
        <v>0.333333333333333</v>
      </c>
      <c r="Q1006" s="8" t="n">
        <f aca="false">IF(E1006+N1006=0,0,(G1006+N1006)/(E1006+N1006))</f>
        <v>0.357142857142857</v>
      </c>
      <c r="R1006" s="8" t="n">
        <f aca="false">IF(E1006=0,0,L1006/E1006)</f>
        <v>0.407407407407407</v>
      </c>
      <c r="S1006" s="8" t="n">
        <f aca="false">R1006+Q1006</f>
        <v>0.764550264550265</v>
      </c>
      <c r="T1006" s="8" t="n">
        <f aca="false">R1006-P1006</f>
        <v>0.0740740740740741</v>
      </c>
    </row>
    <row r="1007" customFormat="false" ht="14.25" hidden="false" customHeight="true" outlineLevel="0" collapsed="false">
      <c r="A1007" s="6" t="n">
        <v>2021</v>
      </c>
      <c r="B1007" s="6" t="s">
        <v>147</v>
      </c>
      <c r="C1007" s="6" t="s">
        <v>151</v>
      </c>
      <c r="D1007" s="7" t="n">
        <v>8</v>
      </c>
      <c r="E1007" s="7" t="n">
        <v>21</v>
      </c>
      <c r="F1007" s="7" t="n">
        <v>14</v>
      </c>
      <c r="G1007" s="7" t="n">
        <v>8</v>
      </c>
      <c r="H1007" s="7" t="n">
        <v>2</v>
      </c>
      <c r="I1007" s="7" t="n">
        <v>0</v>
      </c>
      <c r="J1007" s="7" t="n">
        <v>3</v>
      </c>
      <c r="K1007" s="7" t="n">
        <v>5</v>
      </c>
      <c r="L1007" s="7" t="n">
        <v>19</v>
      </c>
      <c r="M1007" s="7" t="n">
        <v>6</v>
      </c>
      <c r="N1007" s="7" t="n">
        <v>10</v>
      </c>
      <c r="O1007" s="7" t="n">
        <v>1</v>
      </c>
      <c r="P1007" s="8" t="n">
        <f aca="false">IF(E1007=0,0,G1007/E1007)</f>
        <v>0.380952380952381</v>
      </c>
      <c r="Q1007" s="8" t="n">
        <f aca="false">IF(E1007+N1007=0,0,(G1007+N1007)/(E1007+N1007))</f>
        <v>0.580645161290323</v>
      </c>
      <c r="R1007" s="8" t="n">
        <f aca="false">IF(E1007=0,0,L1007/E1007)</f>
        <v>0.904761904761905</v>
      </c>
      <c r="S1007" s="8" t="n">
        <f aca="false">R1007+Q1007</f>
        <v>1.48540706605223</v>
      </c>
      <c r="T1007" s="8" t="n">
        <f aca="false">R1007-P1007</f>
        <v>0.523809523809524</v>
      </c>
    </row>
    <row r="1008" customFormat="false" ht="14.25" hidden="false" customHeight="true" outlineLevel="0" collapsed="false">
      <c r="A1008" s="6" t="n">
        <v>2021</v>
      </c>
      <c r="B1008" s="6" t="s">
        <v>147</v>
      </c>
      <c r="C1008" s="6" t="s">
        <v>149</v>
      </c>
      <c r="D1008" s="7" t="n">
        <v>6</v>
      </c>
      <c r="E1008" s="7" t="n">
        <v>18</v>
      </c>
      <c r="F1008" s="7" t="n">
        <v>5</v>
      </c>
      <c r="G1008" s="7" t="n">
        <v>7</v>
      </c>
      <c r="H1008" s="7" t="n">
        <v>1</v>
      </c>
      <c r="I1008" s="7" t="n">
        <v>0</v>
      </c>
      <c r="J1008" s="7" t="n">
        <v>2</v>
      </c>
      <c r="K1008" s="7" t="n">
        <v>3</v>
      </c>
      <c r="L1008" s="7" t="n">
        <v>14</v>
      </c>
      <c r="M1008" s="7" t="n">
        <v>7</v>
      </c>
      <c r="N1008" s="7" t="n">
        <v>0</v>
      </c>
      <c r="O1008" s="7" t="n">
        <v>1</v>
      </c>
      <c r="P1008" s="8" t="n">
        <f aca="false">IF(E1008=0,0,G1008/E1008)</f>
        <v>0.388888888888889</v>
      </c>
      <c r="Q1008" s="8" t="n">
        <f aca="false">IF(E1008+N1008=0,0,(G1008+N1008)/(E1008+N1008))</f>
        <v>0.388888888888889</v>
      </c>
      <c r="R1008" s="8" t="n">
        <f aca="false">IF(E1008=0,0,L1008/E1008)</f>
        <v>0.777777777777778</v>
      </c>
      <c r="S1008" s="8" t="n">
        <f aca="false">R1008+Q1008</f>
        <v>1.16666666666667</v>
      </c>
      <c r="T1008" s="8" t="n">
        <f aca="false">R1008-P1008</f>
        <v>0.388888888888889</v>
      </c>
    </row>
    <row r="1009" customFormat="false" ht="14.25" hidden="false" customHeight="true" outlineLevel="0" collapsed="false">
      <c r="A1009" s="6" t="n">
        <v>2021</v>
      </c>
      <c r="B1009" s="6" t="s">
        <v>147</v>
      </c>
      <c r="C1009" s="6" t="s">
        <v>150</v>
      </c>
      <c r="D1009" s="7" t="n">
        <v>8</v>
      </c>
      <c r="E1009" s="7" t="n">
        <v>22</v>
      </c>
      <c r="F1009" s="7" t="n">
        <v>3</v>
      </c>
      <c r="G1009" s="7" t="n">
        <v>7</v>
      </c>
      <c r="H1009" s="7" t="n">
        <v>1</v>
      </c>
      <c r="I1009" s="7" t="n">
        <v>1</v>
      </c>
      <c r="J1009" s="7" t="n">
        <v>1</v>
      </c>
      <c r="K1009" s="7" t="n">
        <v>3</v>
      </c>
      <c r="L1009" s="7" t="n">
        <v>13</v>
      </c>
      <c r="M1009" s="7" t="n">
        <v>9</v>
      </c>
      <c r="N1009" s="7" t="n">
        <v>4</v>
      </c>
      <c r="O1009" s="7" t="n">
        <v>4</v>
      </c>
      <c r="P1009" s="8" t="n">
        <f aca="false">IF(E1009=0,0,G1009/E1009)</f>
        <v>0.318181818181818</v>
      </c>
      <c r="Q1009" s="8" t="n">
        <f aca="false">IF(E1009+N1009=0,0,(G1009+N1009)/(E1009+N1009))</f>
        <v>0.423076923076923</v>
      </c>
      <c r="R1009" s="8" t="n">
        <f aca="false">IF(E1009=0,0,L1009/E1009)</f>
        <v>0.590909090909091</v>
      </c>
      <c r="S1009" s="8" t="n">
        <f aca="false">R1009+Q1009</f>
        <v>1.01398601398601</v>
      </c>
      <c r="T1009" s="8" t="n">
        <f aca="false">R1009-P1009</f>
        <v>0.272727272727273</v>
      </c>
    </row>
    <row r="1010" customFormat="false" ht="14.25" hidden="false" customHeight="true" outlineLevel="0" collapsed="false">
      <c r="A1010" s="6" t="n">
        <v>2021</v>
      </c>
      <c r="B1010" s="6" t="s">
        <v>147</v>
      </c>
      <c r="C1010" s="6" t="s">
        <v>347</v>
      </c>
      <c r="D1010" s="7" t="n">
        <v>4</v>
      </c>
      <c r="E1010" s="7" t="n">
        <v>13</v>
      </c>
      <c r="F1010" s="7" t="n">
        <v>5</v>
      </c>
      <c r="G1010" s="7" t="n">
        <v>7</v>
      </c>
      <c r="H1010" s="7" t="n">
        <v>2</v>
      </c>
      <c r="I1010" s="7" t="n">
        <v>0</v>
      </c>
      <c r="J1010" s="7" t="n">
        <v>1</v>
      </c>
      <c r="K1010" s="7" t="n">
        <v>3</v>
      </c>
      <c r="L1010" s="7" t="n">
        <v>12</v>
      </c>
      <c r="M1010" s="7" t="n">
        <v>7</v>
      </c>
      <c r="N1010" s="7" t="n">
        <v>3</v>
      </c>
      <c r="O1010" s="7" t="n">
        <v>1</v>
      </c>
      <c r="P1010" s="8" t="n">
        <f aca="false">IF(E1010=0,0,G1010/E1010)</f>
        <v>0.538461538461538</v>
      </c>
      <c r="Q1010" s="8" t="n">
        <f aca="false">IF(E1010+N1010=0,0,(G1010+N1010)/(E1010+N1010))</f>
        <v>0.625</v>
      </c>
      <c r="R1010" s="8" t="n">
        <f aca="false">IF(E1010=0,0,L1010/E1010)</f>
        <v>0.923076923076923</v>
      </c>
      <c r="S1010" s="8" t="n">
        <f aca="false">R1010+Q1010</f>
        <v>1.54807692307692</v>
      </c>
      <c r="T1010" s="8" t="n">
        <f aca="false">R1010-P1010</f>
        <v>0.384615384615385</v>
      </c>
    </row>
    <row r="1011" customFormat="false" ht="14.25" hidden="false" customHeight="true" outlineLevel="0" collapsed="false">
      <c r="A1011" s="6" t="n">
        <v>2021</v>
      </c>
      <c r="B1011" s="6" t="s">
        <v>147</v>
      </c>
      <c r="C1011" s="6" t="s">
        <v>302</v>
      </c>
      <c r="D1011" s="7" t="n">
        <v>4</v>
      </c>
      <c r="E1011" s="7" t="n">
        <v>15</v>
      </c>
      <c r="F1011" s="7" t="n">
        <v>5</v>
      </c>
      <c r="G1011" s="7" t="n">
        <v>5</v>
      </c>
      <c r="H1011" s="7" t="n">
        <v>0</v>
      </c>
      <c r="I1011" s="7" t="n">
        <v>0</v>
      </c>
      <c r="J1011" s="7" t="n">
        <v>1</v>
      </c>
      <c r="K1011" s="7" t="n">
        <v>1</v>
      </c>
      <c r="L1011" s="7" t="n">
        <v>8</v>
      </c>
      <c r="M1011" s="7" t="n">
        <v>1</v>
      </c>
      <c r="N1011" s="7" t="n">
        <v>1</v>
      </c>
      <c r="O1011" s="7" t="n">
        <v>0</v>
      </c>
      <c r="P1011" s="8" t="n">
        <f aca="false">IF(E1011=0,0,G1011/E1011)</f>
        <v>0.333333333333333</v>
      </c>
      <c r="Q1011" s="8" t="n">
        <f aca="false">IF(E1011+N1011=0,0,(G1011+N1011)/(E1011+N1011))</f>
        <v>0.375</v>
      </c>
      <c r="R1011" s="8" t="n">
        <f aca="false">IF(E1011=0,0,L1011/E1011)</f>
        <v>0.533333333333333</v>
      </c>
      <c r="S1011" s="8" t="n">
        <f aca="false">R1011+Q1011</f>
        <v>0.908333333333333</v>
      </c>
      <c r="T1011" s="8" t="n">
        <f aca="false">R1011-P1011</f>
        <v>0.2</v>
      </c>
    </row>
    <row r="1012" customFormat="false" ht="14.25" hidden="false" customHeight="true" outlineLevel="0" collapsed="false">
      <c r="A1012" s="6" t="n">
        <v>2021</v>
      </c>
      <c r="B1012" s="6" t="s">
        <v>147</v>
      </c>
      <c r="C1012" s="6" t="s">
        <v>155</v>
      </c>
      <c r="D1012" s="7" t="n">
        <v>8</v>
      </c>
      <c r="E1012" s="7" t="n">
        <v>21</v>
      </c>
      <c r="F1012" s="7" t="n">
        <v>7</v>
      </c>
      <c r="G1012" s="7" t="n">
        <v>5</v>
      </c>
      <c r="H1012" s="7" t="n">
        <v>0</v>
      </c>
      <c r="I1012" s="7" t="n">
        <v>0</v>
      </c>
      <c r="J1012" s="7" t="n">
        <v>1</v>
      </c>
      <c r="K1012" s="7" t="n">
        <v>1</v>
      </c>
      <c r="L1012" s="7" t="n">
        <v>8</v>
      </c>
      <c r="M1012" s="7" t="n">
        <v>4</v>
      </c>
      <c r="N1012" s="7" t="n">
        <v>9</v>
      </c>
      <c r="O1012" s="7" t="n">
        <v>1</v>
      </c>
      <c r="P1012" s="8" t="n">
        <f aca="false">IF(E1012=0,0,G1012/E1012)</f>
        <v>0.238095238095238</v>
      </c>
      <c r="Q1012" s="8" t="n">
        <f aca="false">IF(E1012+N1012=0,0,(G1012+N1012)/(E1012+N1012))</f>
        <v>0.466666666666667</v>
      </c>
      <c r="R1012" s="8" t="n">
        <f aca="false">IF(E1012=0,0,L1012/E1012)</f>
        <v>0.380952380952381</v>
      </c>
      <c r="S1012" s="8" t="n">
        <f aca="false">R1012+Q1012</f>
        <v>0.847619047619048</v>
      </c>
      <c r="T1012" s="8" t="n">
        <f aca="false">R1012-P1012</f>
        <v>0.142857142857143</v>
      </c>
    </row>
    <row r="1013" customFormat="false" ht="14.25" hidden="false" customHeight="true" outlineLevel="0" collapsed="false">
      <c r="A1013" s="6" t="n">
        <v>2021</v>
      </c>
      <c r="B1013" s="6" t="s">
        <v>147</v>
      </c>
      <c r="C1013" s="6" t="s">
        <v>330</v>
      </c>
      <c r="D1013" s="7" t="n">
        <v>3</v>
      </c>
      <c r="E1013" s="7" t="n">
        <v>10</v>
      </c>
      <c r="F1013" s="7" t="n">
        <v>1</v>
      </c>
      <c r="G1013" s="7" t="n">
        <v>3</v>
      </c>
      <c r="H1013" s="7" t="n">
        <v>0</v>
      </c>
      <c r="I1013" s="7" t="n">
        <v>0</v>
      </c>
      <c r="J1013" s="7" t="n">
        <v>0</v>
      </c>
      <c r="K1013" s="7" t="n">
        <v>0</v>
      </c>
      <c r="L1013" s="7" t="n">
        <v>3</v>
      </c>
      <c r="M1013" s="7" t="n">
        <v>4</v>
      </c>
      <c r="N1013" s="7" t="n">
        <v>0</v>
      </c>
      <c r="O1013" s="7" t="n">
        <v>1</v>
      </c>
      <c r="P1013" s="8" t="n">
        <f aca="false">IF(E1013=0,0,G1013/E1013)</f>
        <v>0.3</v>
      </c>
      <c r="Q1013" s="8" t="n">
        <f aca="false">IF(E1013+N1013=0,0,(G1013+N1013)/(E1013+N1013))</f>
        <v>0.3</v>
      </c>
      <c r="R1013" s="8" t="n">
        <f aca="false">IF(E1013=0,0,L1013/E1013)</f>
        <v>0.3</v>
      </c>
      <c r="S1013" s="8" t="n">
        <f aca="false">R1013+Q1013</f>
        <v>0.6</v>
      </c>
      <c r="T1013" s="8" t="n">
        <f aca="false">R1013-P1013</f>
        <v>0</v>
      </c>
    </row>
    <row r="1014" customFormat="false" ht="14.25" hidden="false" customHeight="true" outlineLevel="0" collapsed="false">
      <c r="A1014" s="6" t="n">
        <v>2021</v>
      </c>
      <c r="B1014" s="6" t="s">
        <v>147</v>
      </c>
      <c r="C1014" s="6" t="s">
        <v>160</v>
      </c>
      <c r="D1014" s="7" t="n">
        <v>2</v>
      </c>
      <c r="E1014" s="7" t="n">
        <v>6</v>
      </c>
      <c r="F1014" s="7" t="n">
        <v>0</v>
      </c>
      <c r="G1014" s="7" t="n">
        <v>2</v>
      </c>
      <c r="H1014" s="7" t="n">
        <v>0</v>
      </c>
      <c r="I1014" s="7" t="n">
        <v>0</v>
      </c>
      <c r="J1014" s="7" t="n">
        <v>0</v>
      </c>
      <c r="K1014" s="7" t="n">
        <v>0</v>
      </c>
      <c r="L1014" s="7" t="n">
        <v>2</v>
      </c>
      <c r="M1014" s="7" t="n">
        <v>0</v>
      </c>
      <c r="N1014" s="7" t="n">
        <v>0</v>
      </c>
      <c r="O1014" s="7" t="n">
        <v>0</v>
      </c>
      <c r="P1014" s="8" t="n">
        <f aca="false">IF(E1014=0,0,G1014/E1014)</f>
        <v>0.333333333333333</v>
      </c>
      <c r="Q1014" s="8" t="n">
        <f aca="false">IF(E1014+N1014=0,0,(G1014+N1014)/(E1014+N1014))</f>
        <v>0.333333333333333</v>
      </c>
      <c r="R1014" s="8" t="n">
        <f aca="false">IF(E1014=0,0,L1014/E1014)</f>
        <v>0.333333333333333</v>
      </c>
      <c r="S1014" s="8" t="n">
        <f aca="false">R1014+Q1014</f>
        <v>0.666666666666667</v>
      </c>
      <c r="T1014" s="8" t="n">
        <f aca="false">R1014-P1014</f>
        <v>0</v>
      </c>
    </row>
    <row r="1015" customFormat="false" ht="14.25" hidden="false" customHeight="true" outlineLevel="0" collapsed="false">
      <c r="A1015" s="6" t="n">
        <v>2021</v>
      </c>
      <c r="B1015" s="6" t="s">
        <v>147</v>
      </c>
      <c r="C1015" s="6" t="s">
        <v>344</v>
      </c>
      <c r="D1015" s="7" t="n">
        <v>3</v>
      </c>
      <c r="E1015" s="7" t="n">
        <v>9</v>
      </c>
      <c r="F1015" s="7" t="n">
        <v>0</v>
      </c>
      <c r="G1015" s="7" t="n">
        <v>2</v>
      </c>
      <c r="H1015" s="7" t="n">
        <v>0</v>
      </c>
      <c r="I1015" s="7" t="n">
        <v>0</v>
      </c>
      <c r="J1015" s="7" t="n">
        <v>0</v>
      </c>
      <c r="K1015" s="7" t="n">
        <v>0</v>
      </c>
      <c r="L1015" s="7" t="n">
        <v>2</v>
      </c>
      <c r="M1015" s="7" t="n">
        <v>0</v>
      </c>
      <c r="N1015" s="7" t="n">
        <v>0</v>
      </c>
      <c r="O1015" s="7" t="n">
        <v>0</v>
      </c>
      <c r="P1015" s="8" t="n">
        <f aca="false">IF(E1015=0,0,G1015/E1015)</f>
        <v>0.222222222222222</v>
      </c>
      <c r="Q1015" s="8" t="n">
        <f aca="false">IF(E1015+N1015=0,0,(G1015+N1015)/(E1015+N1015))</f>
        <v>0.222222222222222</v>
      </c>
      <c r="R1015" s="8" t="n">
        <f aca="false">IF(E1015=0,0,L1015/E1015)</f>
        <v>0.222222222222222</v>
      </c>
      <c r="S1015" s="8" t="n">
        <f aca="false">R1015+Q1015</f>
        <v>0.444444444444444</v>
      </c>
      <c r="T1015" s="8" t="n">
        <f aca="false">R1015-P1015</f>
        <v>0</v>
      </c>
    </row>
    <row r="1016" customFormat="false" ht="14.25" hidden="false" customHeight="true" outlineLevel="0" collapsed="false">
      <c r="A1016" s="6" t="n">
        <v>2021</v>
      </c>
      <c r="B1016" s="6" t="s">
        <v>147</v>
      </c>
      <c r="C1016" s="6" t="s">
        <v>152</v>
      </c>
      <c r="D1016" s="7" t="n">
        <v>5</v>
      </c>
      <c r="E1016" s="7" t="n">
        <v>12</v>
      </c>
      <c r="F1016" s="7" t="n">
        <v>3</v>
      </c>
      <c r="G1016" s="7" t="n">
        <v>1</v>
      </c>
      <c r="H1016" s="7" t="n">
        <v>0</v>
      </c>
      <c r="I1016" s="7" t="n">
        <v>0</v>
      </c>
      <c r="J1016" s="7" t="n">
        <v>0</v>
      </c>
      <c r="K1016" s="7" t="n">
        <v>0</v>
      </c>
      <c r="L1016" s="7" t="n">
        <v>1</v>
      </c>
      <c r="M1016" s="7" t="n">
        <v>4</v>
      </c>
      <c r="N1016" s="7" t="n">
        <v>6</v>
      </c>
      <c r="O1016" s="7" t="n">
        <v>1</v>
      </c>
      <c r="P1016" s="8" t="n">
        <f aca="false">IF(E1016=0,0,G1016/E1016)</f>
        <v>0.0833333333333333</v>
      </c>
      <c r="Q1016" s="8" t="n">
        <f aca="false">IF(E1016+N1016=0,0,(G1016+N1016)/(E1016+N1016))</f>
        <v>0.388888888888889</v>
      </c>
      <c r="R1016" s="8" t="n">
        <f aca="false">IF(E1016=0,0,L1016/E1016)</f>
        <v>0.0833333333333333</v>
      </c>
      <c r="S1016" s="8" t="n">
        <f aca="false">R1016+Q1016</f>
        <v>0.472222222222222</v>
      </c>
      <c r="T1016" s="8" t="n">
        <f aca="false">R1016-P1016</f>
        <v>0</v>
      </c>
    </row>
    <row r="1017" customFormat="false" ht="14.25" hidden="false" customHeight="true" outlineLevel="0" collapsed="false">
      <c r="A1017" s="6" t="n">
        <v>2021</v>
      </c>
      <c r="B1017" s="6" t="s">
        <v>147</v>
      </c>
      <c r="C1017" s="6" t="s">
        <v>433</v>
      </c>
      <c r="D1017" s="7" t="n">
        <v>1</v>
      </c>
      <c r="E1017" s="7" t="n">
        <v>3</v>
      </c>
      <c r="F1017" s="7" t="n">
        <v>2</v>
      </c>
      <c r="G1017" s="7" t="n">
        <v>1</v>
      </c>
      <c r="H1017" s="7" t="n">
        <v>0</v>
      </c>
      <c r="I1017" s="7" t="n">
        <v>0</v>
      </c>
      <c r="J1017" s="7" t="n">
        <v>0</v>
      </c>
      <c r="K1017" s="7" t="n">
        <v>0</v>
      </c>
      <c r="L1017" s="7" t="n">
        <v>1</v>
      </c>
      <c r="M1017" s="7" t="n">
        <v>1</v>
      </c>
      <c r="N1017" s="7" t="n">
        <v>1</v>
      </c>
      <c r="O1017" s="7" t="n">
        <v>0</v>
      </c>
      <c r="P1017" s="8" t="n">
        <f aca="false">IF(E1017=0,0,G1017/E1017)</f>
        <v>0.333333333333333</v>
      </c>
      <c r="Q1017" s="8" t="n">
        <f aca="false">IF(E1017+N1017=0,0,(G1017+N1017)/(E1017+N1017))</f>
        <v>0.5</v>
      </c>
      <c r="R1017" s="8" t="n">
        <f aca="false">IF(E1017=0,0,L1017/E1017)</f>
        <v>0.333333333333333</v>
      </c>
      <c r="S1017" s="8" t="n">
        <f aca="false">R1017+Q1017</f>
        <v>0.833333333333333</v>
      </c>
      <c r="T1017" s="8" t="n">
        <f aca="false">R1017-P1017</f>
        <v>0</v>
      </c>
    </row>
    <row r="1018" customFormat="false" ht="14.25" hidden="false" customHeight="true" outlineLevel="0" collapsed="false">
      <c r="A1018" s="6" t="n">
        <v>2021</v>
      </c>
      <c r="B1018" s="6" t="s">
        <v>147</v>
      </c>
      <c r="C1018" s="6" t="s">
        <v>343</v>
      </c>
      <c r="D1018" s="7" t="n">
        <v>3</v>
      </c>
      <c r="E1018" s="7" t="n">
        <v>8</v>
      </c>
      <c r="F1018" s="7" t="n">
        <v>0</v>
      </c>
      <c r="G1018" s="7" t="n">
        <v>1</v>
      </c>
      <c r="H1018" s="7" t="n">
        <v>0</v>
      </c>
      <c r="I1018" s="7" t="n">
        <v>0</v>
      </c>
      <c r="J1018" s="7" t="n">
        <v>0</v>
      </c>
      <c r="K1018" s="7" t="n">
        <v>0</v>
      </c>
      <c r="L1018" s="7" t="n">
        <v>1</v>
      </c>
      <c r="M1018" s="7" t="n">
        <v>1</v>
      </c>
      <c r="N1018" s="7" t="n">
        <v>0</v>
      </c>
      <c r="O1018" s="7" t="n">
        <v>0</v>
      </c>
      <c r="P1018" s="8" t="n">
        <f aca="false">IF(E1018=0,0,G1018/E1018)</f>
        <v>0.125</v>
      </c>
      <c r="Q1018" s="8" t="n">
        <f aca="false">IF(E1018+N1018=0,0,(G1018+N1018)/(E1018+N1018))</f>
        <v>0.125</v>
      </c>
      <c r="R1018" s="8" t="n">
        <f aca="false">IF(E1018=0,0,L1018/E1018)</f>
        <v>0.125</v>
      </c>
      <c r="S1018" s="8" t="n">
        <f aca="false">R1018+Q1018</f>
        <v>0.25</v>
      </c>
      <c r="T1018" s="8" t="n">
        <f aca="false">R1018-P1018</f>
        <v>0</v>
      </c>
    </row>
    <row r="1019" customFormat="false" ht="14.25" hidden="false" customHeight="true" outlineLevel="0" collapsed="false">
      <c r="A1019" s="6" t="n">
        <v>2021</v>
      </c>
      <c r="B1019" s="6" t="s">
        <v>147</v>
      </c>
      <c r="C1019" s="6" t="s">
        <v>304</v>
      </c>
      <c r="D1019" s="7" t="n">
        <v>1</v>
      </c>
      <c r="E1019" s="7" t="n">
        <v>3</v>
      </c>
      <c r="F1019" s="7" t="n">
        <v>0</v>
      </c>
      <c r="G1019" s="7" t="n">
        <v>1</v>
      </c>
      <c r="H1019" s="7" t="n">
        <v>0</v>
      </c>
      <c r="I1019" s="7" t="n">
        <v>0</v>
      </c>
      <c r="J1019" s="7" t="n">
        <v>0</v>
      </c>
      <c r="K1019" s="7" t="n">
        <v>0</v>
      </c>
      <c r="L1019" s="7" t="n">
        <v>1</v>
      </c>
      <c r="M1019" s="7" t="n">
        <v>0</v>
      </c>
      <c r="N1019" s="7" t="n">
        <v>0</v>
      </c>
      <c r="O1019" s="7" t="n">
        <v>0</v>
      </c>
      <c r="P1019" s="8" t="n">
        <f aca="false">IF(E1019=0,0,G1019/E1019)</f>
        <v>0.333333333333333</v>
      </c>
      <c r="Q1019" s="8" t="n">
        <f aca="false">IF(E1019+N1019=0,0,(G1019+N1019)/(E1019+N1019))</f>
        <v>0.333333333333333</v>
      </c>
      <c r="R1019" s="8" t="n">
        <f aca="false">IF(E1019=0,0,L1019/E1019)</f>
        <v>0.333333333333333</v>
      </c>
      <c r="S1019" s="8" t="n">
        <f aca="false">R1019+Q1019</f>
        <v>0.666666666666667</v>
      </c>
      <c r="T1019" s="8" t="n">
        <f aca="false">R1019-P1019</f>
        <v>0</v>
      </c>
    </row>
    <row r="1020" customFormat="false" ht="14.25" hidden="false" customHeight="true" outlineLevel="0" collapsed="false">
      <c r="A1020" s="6" t="n">
        <v>2021</v>
      </c>
      <c r="B1020" s="6" t="s">
        <v>147</v>
      </c>
      <c r="C1020" s="6" t="s">
        <v>390</v>
      </c>
      <c r="D1020" s="7" t="n">
        <v>1</v>
      </c>
      <c r="E1020" s="7" t="n">
        <v>2</v>
      </c>
      <c r="F1020" s="7" t="n">
        <v>0</v>
      </c>
      <c r="G1020" s="7" t="n">
        <v>0</v>
      </c>
      <c r="H1020" s="7" t="n">
        <v>0</v>
      </c>
      <c r="I1020" s="7" t="n">
        <v>0</v>
      </c>
      <c r="J1020" s="7" t="n">
        <v>0</v>
      </c>
      <c r="K1020" s="7" t="n">
        <v>0</v>
      </c>
      <c r="L1020" s="7" t="n">
        <v>0</v>
      </c>
      <c r="M1020" s="7" t="n">
        <v>0</v>
      </c>
      <c r="N1020" s="7" t="n">
        <v>1</v>
      </c>
      <c r="O1020" s="7" t="n">
        <v>1</v>
      </c>
      <c r="P1020" s="8" t="n">
        <f aca="false">IF(E1020=0,0,G1020/E1020)</f>
        <v>0</v>
      </c>
      <c r="Q1020" s="8" t="n">
        <f aca="false">IF(E1020+N1020=0,0,(G1020+N1020)/(E1020+N1020))</f>
        <v>0.333333333333333</v>
      </c>
      <c r="R1020" s="8" t="n">
        <f aca="false">IF(E1020=0,0,L1020/E1020)</f>
        <v>0</v>
      </c>
      <c r="S1020" s="8" t="n">
        <f aca="false">R1020+Q1020</f>
        <v>0.333333333333333</v>
      </c>
      <c r="T1020" s="8" t="n">
        <f aca="false">R1020-P1020</f>
        <v>0</v>
      </c>
    </row>
    <row r="1021" customFormat="false" ht="14.25" hidden="false" customHeight="true" outlineLevel="0" collapsed="false">
      <c r="A1021" s="6" t="n">
        <v>2021</v>
      </c>
      <c r="B1021" s="6" t="s">
        <v>147</v>
      </c>
      <c r="C1021" s="6" t="s">
        <v>434</v>
      </c>
      <c r="D1021" s="7" t="n">
        <v>1</v>
      </c>
      <c r="E1021" s="7" t="n">
        <v>1</v>
      </c>
      <c r="F1021" s="7" t="n">
        <v>1</v>
      </c>
      <c r="G1021" s="7" t="n">
        <v>0</v>
      </c>
      <c r="H1021" s="7" t="n">
        <v>0</v>
      </c>
      <c r="I1021" s="7" t="n">
        <v>0</v>
      </c>
      <c r="J1021" s="7" t="n">
        <v>0</v>
      </c>
      <c r="K1021" s="7" t="n">
        <v>0</v>
      </c>
      <c r="L1021" s="7" t="n">
        <v>0</v>
      </c>
      <c r="M1021" s="7" t="n">
        <v>0</v>
      </c>
      <c r="N1021" s="7" t="n">
        <v>1</v>
      </c>
      <c r="O1021" s="7" t="n">
        <v>0</v>
      </c>
      <c r="P1021" s="8" t="n">
        <f aca="false">IF(E1021=0,0,G1021/E1021)</f>
        <v>0</v>
      </c>
      <c r="Q1021" s="8" t="n">
        <f aca="false">IF(E1021+N1021=0,0,(G1021+N1021)/(E1021+N1021))</f>
        <v>0.5</v>
      </c>
      <c r="R1021" s="8" t="n">
        <f aca="false">IF(E1021=0,0,L1021/E1021)</f>
        <v>0</v>
      </c>
      <c r="S1021" s="8" t="n">
        <f aca="false">R1021+Q1021</f>
        <v>0.5</v>
      </c>
      <c r="T1021" s="8" t="n">
        <f aca="false">R1021-P1021</f>
        <v>0</v>
      </c>
    </row>
    <row r="1022" customFormat="false" ht="14.25" hidden="false" customHeight="true" outlineLevel="0" collapsed="false">
      <c r="A1022" s="6" t="n">
        <v>2021</v>
      </c>
      <c r="B1022" s="6" t="s">
        <v>147</v>
      </c>
      <c r="C1022" s="6" t="s">
        <v>435</v>
      </c>
      <c r="D1022" s="7" t="n">
        <v>1</v>
      </c>
      <c r="E1022" s="7" t="n">
        <v>3</v>
      </c>
      <c r="F1022" s="7" t="n">
        <v>0</v>
      </c>
      <c r="G1022" s="7" t="n">
        <v>0</v>
      </c>
      <c r="H1022" s="7" t="n">
        <v>0</v>
      </c>
      <c r="I1022" s="7" t="n">
        <v>0</v>
      </c>
      <c r="J1022" s="7" t="n">
        <v>0</v>
      </c>
      <c r="K1022" s="7" t="n">
        <v>0</v>
      </c>
      <c r="L1022" s="7" t="n">
        <v>0</v>
      </c>
      <c r="M1022" s="7" t="n">
        <v>0</v>
      </c>
      <c r="N1022" s="7" t="n">
        <v>0</v>
      </c>
      <c r="O1022" s="7" t="n">
        <v>0</v>
      </c>
      <c r="P1022" s="8" t="n">
        <f aca="false">IF(E1022=0,0,G1022/E1022)</f>
        <v>0</v>
      </c>
      <c r="Q1022" s="8" t="n">
        <f aca="false">IF(E1022+N1022=0,0,(G1022+N1022)/(E1022+N1022))</f>
        <v>0</v>
      </c>
      <c r="R1022" s="8" t="n">
        <f aca="false">IF(E1022=0,0,L1022/E1022)</f>
        <v>0</v>
      </c>
      <c r="S1022" s="8" t="n">
        <f aca="false">R1022+Q1022</f>
        <v>0</v>
      </c>
      <c r="T1022" s="8" t="n">
        <f aca="false">R1022-P1022</f>
        <v>0</v>
      </c>
    </row>
    <row r="1023" customFormat="false" ht="14.25" hidden="false" customHeight="true" outlineLevel="0" collapsed="false">
      <c r="A1023" s="6" t="n">
        <v>2021</v>
      </c>
      <c r="B1023" s="6" t="s">
        <v>147</v>
      </c>
      <c r="C1023" s="6" t="s">
        <v>120</v>
      </c>
      <c r="D1023" s="7" t="n">
        <v>1</v>
      </c>
      <c r="E1023" s="7" t="n">
        <v>1</v>
      </c>
      <c r="F1023" s="7" t="n">
        <v>0</v>
      </c>
      <c r="G1023" s="7" t="n">
        <v>0</v>
      </c>
      <c r="H1023" s="7" t="n">
        <v>0</v>
      </c>
      <c r="I1023" s="7" t="n">
        <v>0</v>
      </c>
      <c r="J1023" s="7" t="n">
        <v>0</v>
      </c>
      <c r="K1023" s="7" t="n">
        <v>0</v>
      </c>
      <c r="L1023" s="7" t="n">
        <v>0</v>
      </c>
      <c r="M1023" s="7" t="n">
        <v>0</v>
      </c>
      <c r="N1023" s="7" t="n">
        <v>0</v>
      </c>
      <c r="O1023" s="7" t="n">
        <v>0</v>
      </c>
      <c r="P1023" s="8" t="n">
        <f aca="false">IF(E1023=0,0,G1023/E1023)</f>
        <v>0</v>
      </c>
      <c r="Q1023" s="8" t="n">
        <f aca="false">IF(E1023+N1023=0,0,(G1023+N1023)/(E1023+N1023))</f>
        <v>0</v>
      </c>
      <c r="R1023" s="8" t="n">
        <f aca="false">IF(E1023=0,0,L1023/E1023)</f>
        <v>0</v>
      </c>
      <c r="S1023" s="8" t="n">
        <f aca="false">R1023+Q1023</f>
        <v>0</v>
      </c>
      <c r="T1023" s="8" t="n">
        <f aca="false">R1023-P1023</f>
        <v>0</v>
      </c>
    </row>
    <row r="1024" customFormat="false" ht="14.25" hidden="false" customHeight="true" outlineLevel="0" collapsed="false">
      <c r="A1024" s="6" t="n">
        <v>2021</v>
      </c>
      <c r="B1024" s="6" t="s">
        <v>147</v>
      </c>
      <c r="C1024" s="6" t="s">
        <v>162</v>
      </c>
      <c r="D1024" s="7" t="n">
        <v>5</v>
      </c>
      <c r="E1024" s="7" t="n">
        <v>15</v>
      </c>
      <c r="F1024" s="7" t="n">
        <v>1</v>
      </c>
      <c r="G1024" s="7" t="n">
        <v>0</v>
      </c>
      <c r="H1024" s="7" t="n">
        <v>0</v>
      </c>
      <c r="I1024" s="7" t="n">
        <v>0</v>
      </c>
      <c r="J1024" s="7" t="n">
        <v>0</v>
      </c>
      <c r="K1024" s="7" t="n">
        <v>0</v>
      </c>
      <c r="L1024" s="7" t="n">
        <v>0</v>
      </c>
      <c r="M1024" s="7" t="n">
        <v>1</v>
      </c>
      <c r="N1024" s="7" t="n">
        <v>0</v>
      </c>
      <c r="O1024" s="7" t="n">
        <v>0</v>
      </c>
      <c r="P1024" s="8" t="n">
        <f aca="false">IF(E1024=0,0,G1024/E1024)</f>
        <v>0</v>
      </c>
      <c r="Q1024" s="8" t="n">
        <f aca="false">IF(E1024+N1024=0,0,(G1024+N1024)/(E1024+N1024))</f>
        <v>0</v>
      </c>
      <c r="R1024" s="8" t="n">
        <f aca="false">IF(E1024=0,0,L1024/E1024)</f>
        <v>0</v>
      </c>
      <c r="S1024" s="8" t="n">
        <f aca="false">R1024+Q1024</f>
        <v>0</v>
      </c>
      <c r="T1024" s="8" t="n">
        <f aca="false">R1024-P1024</f>
        <v>0</v>
      </c>
    </row>
    <row r="1025" customFormat="false" ht="14.25" hidden="false" customHeight="true" outlineLevel="0" collapsed="false">
      <c r="A1025" s="6" t="n">
        <v>2021</v>
      </c>
      <c r="B1025" s="6" t="s">
        <v>166</v>
      </c>
      <c r="C1025" s="6" t="s">
        <v>172</v>
      </c>
      <c r="D1025" s="7" t="n">
        <v>12</v>
      </c>
      <c r="E1025" s="7" t="n">
        <v>40</v>
      </c>
      <c r="F1025" s="7" t="n">
        <v>12</v>
      </c>
      <c r="G1025" s="7" t="n">
        <v>21</v>
      </c>
      <c r="H1025" s="7" t="n">
        <v>5</v>
      </c>
      <c r="I1025" s="7" t="n">
        <v>0</v>
      </c>
      <c r="J1025" s="7" t="n">
        <v>5</v>
      </c>
      <c r="K1025" s="7" t="n">
        <v>10</v>
      </c>
      <c r="L1025" s="7" t="n">
        <v>41</v>
      </c>
      <c r="M1025" s="7" t="n">
        <v>8</v>
      </c>
      <c r="N1025" s="7" t="n">
        <v>3</v>
      </c>
      <c r="O1025" s="7" t="n">
        <v>1</v>
      </c>
      <c r="P1025" s="8" t="n">
        <f aca="false">IF(E1025=0,0,G1025/E1025)</f>
        <v>0.525</v>
      </c>
      <c r="Q1025" s="8" t="n">
        <f aca="false">IF(E1025+N1025=0,0,(G1025+N1025)/(E1025+N1025))</f>
        <v>0.558139534883721</v>
      </c>
      <c r="R1025" s="8" t="n">
        <f aca="false">IF(E1025=0,0,L1025/E1025)</f>
        <v>1.025</v>
      </c>
      <c r="S1025" s="8" t="n">
        <f aca="false">R1025+Q1025</f>
        <v>1.58313953488372</v>
      </c>
      <c r="T1025" s="8" t="n">
        <f aca="false">R1025-P1025</f>
        <v>0.5</v>
      </c>
    </row>
    <row r="1026" customFormat="false" ht="14.25" hidden="false" customHeight="true" outlineLevel="0" collapsed="false">
      <c r="A1026" s="6" t="n">
        <v>2021</v>
      </c>
      <c r="B1026" s="6" t="s">
        <v>166</v>
      </c>
      <c r="C1026" s="6" t="s">
        <v>178</v>
      </c>
      <c r="D1026" s="7" t="n">
        <v>11</v>
      </c>
      <c r="E1026" s="7" t="n">
        <v>33</v>
      </c>
      <c r="F1026" s="7" t="n">
        <v>9</v>
      </c>
      <c r="G1026" s="7" t="n">
        <v>13</v>
      </c>
      <c r="H1026" s="7" t="n">
        <v>0</v>
      </c>
      <c r="I1026" s="7" t="n">
        <v>0</v>
      </c>
      <c r="J1026" s="7" t="n">
        <v>4</v>
      </c>
      <c r="K1026" s="7" t="n">
        <v>4</v>
      </c>
      <c r="L1026" s="7" t="n">
        <v>25</v>
      </c>
      <c r="M1026" s="7" t="n">
        <v>6</v>
      </c>
      <c r="N1026" s="7" t="n">
        <v>7</v>
      </c>
      <c r="O1026" s="7" t="n">
        <v>0</v>
      </c>
      <c r="P1026" s="8" t="n">
        <f aca="false">IF(E1026=0,0,G1026/E1026)</f>
        <v>0.393939393939394</v>
      </c>
      <c r="Q1026" s="8" t="n">
        <f aca="false">IF(E1026+N1026=0,0,(G1026+N1026)/(E1026+N1026))</f>
        <v>0.5</v>
      </c>
      <c r="R1026" s="8" t="n">
        <f aca="false">IF(E1026=0,0,L1026/E1026)</f>
        <v>0.757575757575758</v>
      </c>
      <c r="S1026" s="8" t="n">
        <f aca="false">R1026+Q1026</f>
        <v>1.25757575757576</v>
      </c>
      <c r="T1026" s="8" t="n">
        <f aca="false">R1026-P1026</f>
        <v>0.363636363636364</v>
      </c>
    </row>
    <row r="1027" customFormat="false" ht="14.25" hidden="false" customHeight="true" outlineLevel="0" collapsed="false">
      <c r="A1027" s="6" t="n">
        <v>2021</v>
      </c>
      <c r="B1027" s="6" t="s">
        <v>166</v>
      </c>
      <c r="C1027" s="6" t="s">
        <v>167</v>
      </c>
      <c r="D1027" s="7" t="n">
        <v>9</v>
      </c>
      <c r="E1027" s="7" t="n">
        <v>24</v>
      </c>
      <c r="F1027" s="7" t="n">
        <v>2</v>
      </c>
      <c r="G1027" s="7" t="n">
        <v>10</v>
      </c>
      <c r="H1027" s="7" t="n">
        <v>0</v>
      </c>
      <c r="I1027" s="7" t="n">
        <v>0</v>
      </c>
      <c r="J1027" s="7" t="n">
        <v>1</v>
      </c>
      <c r="K1027" s="7" t="n">
        <v>1</v>
      </c>
      <c r="L1027" s="7" t="n">
        <v>13</v>
      </c>
      <c r="M1027" s="7" t="n">
        <v>8</v>
      </c>
      <c r="N1027" s="7" t="n">
        <v>3</v>
      </c>
      <c r="O1027" s="7" t="n">
        <v>0</v>
      </c>
      <c r="P1027" s="8" t="n">
        <f aca="false">IF(E1027=0,0,G1027/E1027)</f>
        <v>0.416666666666667</v>
      </c>
      <c r="Q1027" s="8" t="n">
        <f aca="false">IF(E1027+N1027=0,0,(G1027+N1027)/(E1027+N1027))</f>
        <v>0.481481481481481</v>
      </c>
      <c r="R1027" s="8" t="n">
        <f aca="false">IF(E1027=0,0,L1027/E1027)</f>
        <v>0.541666666666667</v>
      </c>
      <c r="S1027" s="8" t="n">
        <f aca="false">R1027+Q1027</f>
        <v>1.02314814814815</v>
      </c>
      <c r="T1027" s="8" t="n">
        <f aca="false">R1027-P1027</f>
        <v>0.125</v>
      </c>
    </row>
    <row r="1028" customFormat="false" ht="14.25" hidden="false" customHeight="true" outlineLevel="0" collapsed="false">
      <c r="A1028" s="6" t="n">
        <v>2021</v>
      </c>
      <c r="B1028" s="6" t="s">
        <v>166</v>
      </c>
      <c r="C1028" s="6" t="s">
        <v>182</v>
      </c>
      <c r="D1028" s="7" t="n">
        <v>10</v>
      </c>
      <c r="E1028" s="7" t="n">
        <v>27</v>
      </c>
      <c r="F1028" s="7" t="n">
        <v>3</v>
      </c>
      <c r="G1028" s="7" t="n">
        <v>9</v>
      </c>
      <c r="H1028" s="7" t="n">
        <v>2</v>
      </c>
      <c r="I1028" s="7" t="n">
        <v>0</v>
      </c>
      <c r="J1028" s="7" t="n">
        <v>0</v>
      </c>
      <c r="K1028" s="7" t="n">
        <v>2</v>
      </c>
      <c r="L1028" s="7" t="n">
        <v>11</v>
      </c>
      <c r="M1028" s="7" t="n">
        <v>3</v>
      </c>
      <c r="N1028" s="7" t="n">
        <v>6</v>
      </c>
      <c r="O1028" s="7" t="n">
        <v>2</v>
      </c>
      <c r="P1028" s="8" t="n">
        <f aca="false">IF(E1028=0,0,G1028/E1028)</f>
        <v>0.333333333333333</v>
      </c>
      <c r="Q1028" s="8" t="n">
        <f aca="false">IF(E1028+N1028=0,0,(G1028+N1028)/(E1028+N1028))</f>
        <v>0.454545454545455</v>
      </c>
      <c r="R1028" s="8" t="n">
        <f aca="false">IF(E1028=0,0,L1028/E1028)</f>
        <v>0.407407407407407</v>
      </c>
      <c r="S1028" s="8" t="n">
        <f aca="false">R1028+Q1028</f>
        <v>0.861952861952862</v>
      </c>
      <c r="T1028" s="8" t="n">
        <f aca="false">R1028-P1028</f>
        <v>0.0740740740740741</v>
      </c>
    </row>
    <row r="1029" customFormat="false" ht="14.25" hidden="false" customHeight="true" outlineLevel="0" collapsed="false">
      <c r="A1029" s="6" t="n">
        <v>2021</v>
      </c>
      <c r="B1029" s="6" t="s">
        <v>166</v>
      </c>
      <c r="C1029" s="6" t="s">
        <v>175</v>
      </c>
      <c r="D1029" s="7" t="n">
        <v>8</v>
      </c>
      <c r="E1029" s="7" t="n">
        <v>28</v>
      </c>
      <c r="F1029" s="7" t="n">
        <v>8</v>
      </c>
      <c r="G1029" s="7" t="n">
        <v>8</v>
      </c>
      <c r="H1029" s="7" t="n">
        <v>0</v>
      </c>
      <c r="I1029" s="7" t="n">
        <v>0</v>
      </c>
      <c r="J1029" s="7" t="n">
        <v>4</v>
      </c>
      <c r="K1029" s="7" t="n">
        <v>4</v>
      </c>
      <c r="L1029" s="7" t="n">
        <v>20</v>
      </c>
      <c r="M1029" s="7" t="n">
        <v>8</v>
      </c>
      <c r="N1029" s="7" t="n">
        <v>1</v>
      </c>
      <c r="O1029" s="7" t="n">
        <v>0</v>
      </c>
      <c r="P1029" s="8" t="n">
        <f aca="false">IF(E1029=0,0,G1029/E1029)</f>
        <v>0.285714285714286</v>
      </c>
      <c r="Q1029" s="8" t="n">
        <f aca="false">IF(E1029+N1029=0,0,(G1029+N1029)/(E1029+N1029))</f>
        <v>0.310344827586207</v>
      </c>
      <c r="R1029" s="8" t="n">
        <f aca="false">IF(E1029=0,0,L1029/E1029)</f>
        <v>0.714285714285714</v>
      </c>
      <c r="S1029" s="8" t="n">
        <f aca="false">R1029+Q1029</f>
        <v>1.02463054187192</v>
      </c>
      <c r="T1029" s="8" t="n">
        <f aca="false">R1029-P1029</f>
        <v>0.428571428571429</v>
      </c>
    </row>
    <row r="1030" customFormat="false" ht="14.25" hidden="false" customHeight="true" outlineLevel="0" collapsed="false">
      <c r="A1030" s="6" t="n">
        <v>2021</v>
      </c>
      <c r="B1030" s="6" t="s">
        <v>166</v>
      </c>
      <c r="C1030" s="6" t="s">
        <v>185</v>
      </c>
      <c r="D1030" s="7" t="n">
        <v>5</v>
      </c>
      <c r="E1030" s="7" t="n">
        <v>18</v>
      </c>
      <c r="F1030" s="7" t="n">
        <v>7</v>
      </c>
      <c r="G1030" s="7" t="n">
        <v>8</v>
      </c>
      <c r="H1030" s="7" t="n">
        <v>0</v>
      </c>
      <c r="I1030" s="7" t="n">
        <v>0</v>
      </c>
      <c r="J1030" s="7" t="n">
        <v>2</v>
      </c>
      <c r="K1030" s="7" t="n">
        <v>2</v>
      </c>
      <c r="L1030" s="7" t="n">
        <v>14</v>
      </c>
      <c r="M1030" s="7" t="n">
        <v>3</v>
      </c>
      <c r="N1030" s="7" t="n">
        <v>1</v>
      </c>
      <c r="O1030" s="7" t="n">
        <v>0</v>
      </c>
      <c r="P1030" s="8" t="n">
        <f aca="false">IF(E1030=0,0,G1030/E1030)</f>
        <v>0.444444444444444</v>
      </c>
      <c r="Q1030" s="8" t="n">
        <f aca="false">IF(E1030+N1030=0,0,(G1030+N1030)/(E1030+N1030))</f>
        <v>0.473684210526316</v>
      </c>
      <c r="R1030" s="8" t="n">
        <f aca="false">IF(E1030=0,0,L1030/E1030)</f>
        <v>0.777777777777778</v>
      </c>
      <c r="S1030" s="8" t="n">
        <f aca="false">R1030+Q1030</f>
        <v>1.25146198830409</v>
      </c>
      <c r="T1030" s="8" t="n">
        <f aca="false">R1030-P1030</f>
        <v>0.333333333333333</v>
      </c>
    </row>
    <row r="1031" customFormat="false" ht="14.25" hidden="false" customHeight="true" outlineLevel="0" collapsed="false">
      <c r="A1031" s="6" t="n">
        <v>2021</v>
      </c>
      <c r="B1031" s="6" t="s">
        <v>166</v>
      </c>
      <c r="C1031" s="6" t="s">
        <v>436</v>
      </c>
      <c r="D1031" s="7" t="n">
        <v>9</v>
      </c>
      <c r="E1031" s="7" t="n">
        <v>24</v>
      </c>
      <c r="F1031" s="7" t="n">
        <v>3</v>
      </c>
      <c r="G1031" s="7" t="n">
        <v>6</v>
      </c>
      <c r="H1031" s="7" t="n">
        <v>1</v>
      </c>
      <c r="I1031" s="7" t="n">
        <v>0</v>
      </c>
      <c r="J1031" s="7" t="n">
        <v>1</v>
      </c>
      <c r="K1031" s="7" t="n">
        <v>2</v>
      </c>
      <c r="L1031" s="7" t="n">
        <v>10</v>
      </c>
      <c r="M1031" s="7" t="n">
        <v>5</v>
      </c>
      <c r="N1031" s="7" t="n">
        <v>6</v>
      </c>
      <c r="O1031" s="7" t="n">
        <v>2</v>
      </c>
      <c r="P1031" s="8" t="n">
        <f aca="false">IF(E1031=0,0,G1031/E1031)</f>
        <v>0.25</v>
      </c>
      <c r="Q1031" s="8" t="n">
        <f aca="false">IF(E1031+N1031=0,0,(G1031+N1031)/(E1031+N1031))</f>
        <v>0.4</v>
      </c>
      <c r="R1031" s="8" t="n">
        <f aca="false">IF(E1031=0,0,L1031/E1031)</f>
        <v>0.416666666666667</v>
      </c>
      <c r="S1031" s="8" t="n">
        <f aca="false">R1031+Q1031</f>
        <v>0.816666666666667</v>
      </c>
      <c r="T1031" s="8" t="n">
        <f aca="false">R1031-P1031</f>
        <v>0.166666666666667</v>
      </c>
    </row>
    <row r="1032" customFormat="false" ht="14.25" hidden="false" customHeight="true" outlineLevel="0" collapsed="false">
      <c r="A1032" s="6" t="n">
        <v>2021</v>
      </c>
      <c r="B1032" s="6" t="s">
        <v>166</v>
      </c>
      <c r="C1032" s="6" t="s">
        <v>170</v>
      </c>
      <c r="D1032" s="7" t="n">
        <v>12</v>
      </c>
      <c r="E1032" s="7" t="n">
        <v>32</v>
      </c>
      <c r="F1032" s="7" t="n">
        <v>6</v>
      </c>
      <c r="G1032" s="7" t="n">
        <v>6</v>
      </c>
      <c r="H1032" s="7" t="n">
        <v>0</v>
      </c>
      <c r="I1032" s="7" t="n">
        <v>0</v>
      </c>
      <c r="J1032" s="7" t="n">
        <v>0</v>
      </c>
      <c r="K1032" s="7" t="n">
        <v>0</v>
      </c>
      <c r="L1032" s="7" t="n">
        <v>6</v>
      </c>
      <c r="M1032" s="7" t="n">
        <v>2</v>
      </c>
      <c r="N1032" s="7" t="n">
        <v>7</v>
      </c>
      <c r="O1032" s="7" t="n">
        <v>0</v>
      </c>
      <c r="P1032" s="8" t="n">
        <f aca="false">IF(E1032=0,0,G1032/E1032)</f>
        <v>0.1875</v>
      </c>
      <c r="Q1032" s="8" t="n">
        <f aca="false">IF(E1032+N1032=0,0,(G1032+N1032)/(E1032+N1032))</f>
        <v>0.333333333333333</v>
      </c>
      <c r="R1032" s="8" t="n">
        <f aca="false">IF(E1032=0,0,L1032/E1032)</f>
        <v>0.1875</v>
      </c>
      <c r="S1032" s="8" t="n">
        <f aca="false">R1032+Q1032</f>
        <v>0.520833333333333</v>
      </c>
      <c r="T1032" s="8" t="n">
        <f aca="false">R1032-P1032</f>
        <v>0</v>
      </c>
    </row>
    <row r="1033" customFormat="false" ht="14.25" hidden="false" customHeight="true" outlineLevel="0" collapsed="false">
      <c r="A1033" s="6" t="n">
        <v>2021</v>
      </c>
      <c r="B1033" s="6" t="s">
        <v>166</v>
      </c>
      <c r="C1033" s="6" t="s">
        <v>173</v>
      </c>
      <c r="D1033" s="7" t="n">
        <v>8</v>
      </c>
      <c r="E1033" s="7" t="n">
        <v>16</v>
      </c>
      <c r="F1033" s="7" t="n">
        <v>1</v>
      </c>
      <c r="G1033" s="7" t="n">
        <v>5</v>
      </c>
      <c r="H1033" s="7" t="n">
        <v>1</v>
      </c>
      <c r="I1033" s="7" t="n">
        <v>0</v>
      </c>
      <c r="J1033" s="7" t="n">
        <v>0</v>
      </c>
      <c r="K1033" s="7" t="n">
        <v>1</v>
      </c>
      <c r="L1033" s="7" t="n">
        <v>6</v>
      </c>
      <c r="M1033" s="7" t="n">
        <v>5</v>
      </c>
      <c r="N1033" s="7" t="n">
        <v>1</v>
      </c>
      <c r="O1033" s="7" t="n">
        <v>0</v>
      </c>
      <c r="P1033" s="8" t="n">
        <f aca="false">IF(E1033=0,0,G1033/E1033)</f>
        <v>0.3125</v>
      </c>
      <c r="Q1033" s="8" t="n">
        <f aca="false">IF(E1033+N1033=0,0,(G1033+N1033)/(E1033+N1033))</f>
        <v>0.352941176470588</v>
      </c>
      <c r="R1033" s="8" t="n">
        <f aca="false">IF(E1033=0,0,L1033/E1033)</f>
        <v>0.375</v>
      </c>
      <c r="S1033" s="8" t="n">
        <f aca="false">R1033+Q1033</f>
        <v>0.727941176470588</v>
      </c>
      <c r="T1033" s="8" t="n">
        <f aca="false">R1033-P1033</f>
        <v>0.0625</v>
      </c>
    </row>
    <row r="1034" customFormat="false" ht="14.25" hidden="false" customHeight="true" outlineLevel="0" collapsed="false">
      <c r="A1034" s="6" t="n">
        <v>2021</v>
      </c>
      <c r="B1034" s="6" t="s">
        <v>166</v>
      </c>
      <c r="C1034" s="6" t="s">
        <v>177</v>
      </c>
      <c r="D1034" s="7" t="n">
        <v>10</v>
      </c>
      <c r="E1034" s="7" t="n">
        <v>21</v>
      </c>
      <c r="F1034" s="7" t="n">
        <v>4</v>
      </c>
      <c r="G1034" s="7" t="n">
        <v>5</v>
      </c>
      <c r="H1034" s="7" t="n">
        <v>0</v>
      </c>
      <c r="I1034" s="7" t="n">
        <v>0</v>
      </c>
      <c r="J1034" s="7" t="n">
        <v>0</v>
      </c>
      <c r="K1034" s="7" t="n">
        <v>0</v>
      </c>
      <c r="L1034" s="7" t="n">
        <v>5</v>
      </c>
      <c r="M1034" s="7" t="n">
        <v>4</v>
      </c>
      <c r="N1034" s="7" t="n">
        <v>3</v>
      </c>
      <c r="O1034" s="7" t="n">
        <v>2</v>
      </c>
      <c r="P1034" s="8" t="n">
        <f aca="false">IF(E1034=0,0,G1034/E1034)</f>
        <v>0.238095238095238</v>
      </c>
      <c r="Q1034" s="8" t="n">
        <f aca="false">IF(E1034+N1034=0,0,(G1034+N1034)/(E1034+N1034))</f>
        <v>0.333333333333333</v>
      </c>
      <c r="R1034" s="8" t="n">
        <f aca="false">IF(E1034=0,0,L1034/E1034)</f>
        <v>0.238095238095238</v>
      </c>
      <c r="S1034" s="8" t="n">
        <f aca="false">R1034+Q1034</f>
        <v>0.571428571428571</v>
      </c>
      <c r="T1034" s="8" t="n">
        <f aca="false">R1034-P1034</f>
        <v>0</v>
      </c>
    </row>
    <row r="1035" customFormat="false" ht="14.25" hidden="false" customHeight="true" outlineLevel="0" collapsed="false">
      <c r="A1035" s="6" t="n">
        <v>2021</v>
      </c>
      <c r="B1035" s="6" t="s">
        <v>166</v>
      </c>
      <c r="C1035" s="6" t="s">
        <v>176</v>
      </c>
      <c r="D1035" s="7" t="n">
        <v>11</v>
      </c>
      <c r="E1035" s="7" t="n">
        <v>22</v>
      </c>
      <c r="F1035" s="7" t="n">
        <v>2</v>
      </c>
      <c r="G1035" s="7" t="n">
        <v>2</v>
      </c>
      <c r="H1035" s="7" t="n">
        <v>0</v>
      </c>
      <c r="I1035" s="7" t="n">
        <v>0</v>
      </c>
      <c r="J1035" s="7" t="n">
        <v>0</v>
      </c>
      <c r="K1035" s="7" t="n">
        <v>0</v>
      </c>
      <c r="L1035" s="7" t="n">
        <v>2</v>
      </c>
      <c r="M1035" s="7" t="n">
        <v>1</v>
      </c>
      <c r="N1035" s="7" t="n">
        <v>4</v>
      </c>
      <c r="O1035" s="7" t="n">
        <v>0</v>
      </c>
      <c r="P1035" s="8" t="n">
        <f aca="false">IF(E1035=0,0,G1035/E1035)</f>
        <v>0.0909090909090909</v>
      </c>
      <c r="Q1035" s="8" t="n">
        <f aca="false">IF(E1035+N1035=0,0,(G1035+N1035)/(E1035+N1035))</f>
        <v>0.230769230769231</v>
      </c>
      <c r="R1035" s="8" t="n">
        <f aca="false">IF(E1035=0,0,L1035/E1035)</f>
        <v>0.0909090909090909</v>
      </c>
      <c r="S1035" s="8" t="n">
        <f aca="false">R1035+Q1035</f>
        <v>0.321678321678322</v>
      </c>
      <c r="T1035" s="8" t="n">
        <f aca="false">R1035-P1035</f>
        <v>0</v>
      </c>
    </row>
    <row r="1036" customFormat="false" ht="14.25" hidden="false" customHeight="true" outlineLevel="0" collapsed="false">
      <c r="A1036" s="6" t="n">
        <v>2021</v>
      </c>
      <c r="B1036" s="6" t="s">
        <v>166</v>
      </c>
      <c r="C1036" s="6" t="s">
        <v>437</v>
      </c>
      <c r="D1036" s="7" t="n">
        <v>2</v>
      </c>
      <c r="E1036" s="7" t="n">
        <v>4</v>
      </c>
      <c r="F1036" s="7" t="n">
        <v>1</v>
      </c>
      <c r="G1036" s="7" t="n">
        <v>1</v>
      </c>
      <c r="H1036" s="7" t="n">
        <v>0</v>
      </c>
      <c r="I1036" s="7" t="n">
        <v>0</v>
      </c>
      <c r="J1036" s="7" t="n">
        <v>1</v>
      </c>
      <c r="K1036" s="7" t="n">
        <v>1</v>
      </c>
      <c r="L1036" s="7" t="n">
        <v>4</v>
      </c>
      <c r="M1036" s="7" t="n">
        <v>4</v>
      </c>
      <c r="N1036" s="7" t="n">
        <v>1</v>
      </c>
      <c r="O1036" s="7" t="n">
        <v>1</v>
      </c>
      <c r="P1036" s="8" t="n">
        <f aca="false">IF(E1036=0,0,G1036/E1036)</f>
        <v>0.25</v>
      </c>
      <c r="Q1036" s="8" t="n">
        <f aca="false">IF(E1036+N1036=0,0,(G1036+N1036)/(E1036+N1036))</f>
        <v>0.4</v>
      </c>
      <c r="R1036" s="8" t="n">
        <f aca="false">IF(E1036=0,0,L1036/E1036)</f>
        <v>1</v>
      </c>
      <c r="S1036" s="8" t="n">
        <f aca="false">R1036+Q1036</f>
        <v>1.4</v>
      </c>
      <c r="T1036" s="8" t="n">
        <f aca="false">R1036-P1036</f>
        <v>0.75</v>
      </c>
    </row>
    <row r="1037" customFormat="false" ht="14.25" hidden="false" customHeight="true" outlineLevel="0" collapsed="false">
      <c r="A1037" s="6" t="n">
        <v>2021</v>
      </c>
      <c r="B1037" s="6" t="s">
        <v>166</v>
      </c>
      <c r="C1037" s="6" t="s">
        <v>438</v>
      </c>
      <c r="D1037" s="7" t="n">
        <v>1</v>
      </c>
      <c r="E1037" s="7" t="n">
        <v>3</v>
      </c>
      <c r="F1037" s="7" t="n">
        <v>0</v>
      </c>
      <c r="G1037" s="7" t="n">
        <v>1</v>
      </c>
      <c r="H1037" s="7" t="n">
        <v>0</v>
      </c>
      <c r="I1037" s="7" t="n">
        <v>0</v>
      </c>
      <c r="J1037" s="7" t="n">
        <v>0</v>
      </c>
      <c r="K1037" s="7" t="n">
        <v>0</v>
      </c>
      <c r="L1037" s="7" t="n">
        <v>1</v>
      </c>
      <c r="M1037" s="7" t="n">
        <v>1</v>
      </c>
      <c r="N1037" s="7" t="n">
        <v>0</v>
      </c>
      <c r="O1037" s="7" t="n">
        <v>0</v>
      </c>
      <c r="P1037" s="8" t="n">
        <f aca="false">IF(E1037=0,0,G1037/E1037)</f>
        <v>0.333333333333333</v>
      </c>
      <c r="Q1037" s="8" t="n">
        <f aca="false">IF(E1037+N1037=0,0,(G1037+N1037)/(E1037+N1037))</f>
        <v>0.333333333333333</v>
      </c>
      <c r="R1037" s="8" t="n">
        <f aca="false">IF(E1037=0,0,L1037/E1037)</f>
        <v>0.333333333333333</v>
      </c>
      <c r="S1037" s="8" t="n">
        <f aca="false">R1037+Q1037</f>
        <v>0.666666666666667</v>
      </c>
      <c r="T1037" s="8" t="n">
        <f aca="false">R1037-P1037</f>
        <v>0</v>
      </c>
    </row>
    <row r="1038" customFormat="false" ht="14.25" hidden="false" customHeight="true" outlineLevel="0" collapsed="false">
      <c r="A1038" s="6" t="n">
        <v>2021</v>
      </c>
      <c r="B1038" s="6" t="s">
        <v>166</v>
      </c>
      <c r="C1038" s="6" t="s">
        <v>260</v>
      </c>
      <c r="D1038" s="7" t="n">
        <v>2</v>
      </c>
      <c r="E1038" s="7" t="n">
        <v>6</v>
      </c>
      <c r="F1038" s="7" t="n">
        <v>0</v>
      </c>
      <c r="G1038" s="7" t="n">
        <v>1</v>
      </c>
      <c r="H1038" s="7" t="n">
        <v>0</v>
      </c>
      <c r="I1038" s="7" t="n">
        <v>0</v>
      </c>
      <c r="J1038" s="7" t="n">
        <v>0</v>
      </c>
      <c r="K1038" s="7" t="n">
        <v>0</v>
      </c>
      <c r="L1038" s="7" t="n">
        <v>1</v>
      </c>
      <c r="M1038" s="7" t="n">
        <v>1</v>
      </c>
      <c r="N1038" s="7" t="n">
        <v>0</v>
      </c>
      <c r="O1038" s="7" t="n">
        <v>0</v>
      </c>
      <c r="P1038" s="8" t="n">
        <f aca="false">IF(E1038=0,0,G1038/E1038)</f>
        <v>0.166666666666667</v>
      </c>
      <c r="Q1038" s="8" t="n">
        <f aca="false">IF(E1038+N1038=0,0,(G1038+N1038)/(E1038+N1038))</f>
        <v>0.166666666666667</v>
      </c>
      <c r="R1038" s="8" t="n">
        <f aca="false">IF(E1038=0,0,L1038/E1038)</f>
        <v>0.166666666666667</v>
      </c>
      <c r="S1038" s="8" t="n">
        <f aca="false">R1038+Q1038</f>
        <v>0.333333333333333</v>
      </c>
      <c r="T1038" s="8" t="n">
        <f aca="false">R1038-P1038</f>
        <v>0</v>
      </c>
    </row>
    <row r="1039" customFormat="false" ht="14.25" hidden="false" customHeight="true" outlineLevel="0" collapsed="false">
      <c r="A1039" s="6" t="n">
        <v>2021</v>
      </c>
      <c r="B1039" s="6" t="s">
        <v>166</v>
      </c>
      <c r="C1039" s="6" t="s">
        <v>275</v>
      </c>
      <c r="D1039" s="7" t="n">
        <v>10</v>
      </c>
      <c r="E1039" s="7" t="n">
        <v>14</v>
      </c>
      <c r="F1039" s="7" t="n">
        <v>0</v>
      </c>
      <c r="G1039" s="7" t="n">
        <v>1</v>
      </c>
      <c r="H1039" s="7" t="n">
        <v>0</v>
      </c>
      <c r="I1039" s="7" t="n">
        <v>0</v>
      </c>
      <c r="J1039" s="7" t="n">
        <v>0</v>
      </c>
      <c r="K1039" s="7" t="n">
        <v>0</v>
      </c>
      <c r="L1039" s="7" t="n">
        <v>1</v>
      </c>
      <c r="M1039" s="7" t="n">
        <v>0</v>
      </c>
      <c r="N1039" s="7" t="n">
        <v>3</v>
      </c>
      <c r="O1039" s="7" t="n">
        <v>2</v>
      </c>
      <c r="P1039" s="8" t="n">
        <f aca="false">IF(E1039=0,0,G1039/E1039)</f>
        <v>0.0714285714285714</v>
      </c>
      <c r="Q1039" s="8" t="n">
        <f aca="false">IF(E1039+N1039=0,0,(G1039+N1039)/(E1039+N1039))</f>
        <v>0.235294117647059</v>
      </c>
      <c r="R1039" s="8" t="n">
        <f aca="false">IF(E1039=0,0,L1039/E1039)</f>
        <v>0.0714285714285714</v>
      </c>
      <c r="S1039" s="8" t="n">
        <f aca="false">R1039+Q1039</f>
        <v>0.30672268907563</v>
      </c>
      <c r="T1039" s="8" t="n">
        <f aca="false">R1039-P1039</f>
        <v>0</v>
      </c>
    </row>
    <row r="1040" customFormat="false" ht="14.25" hidden="false" customHeight="true" outlineLevel="0" collapsed="false">
      <c r="A1040" s="6" t="n">
        <v>2021</v>
      </c>
      <c r="B1040" s="6" t="s">
        <v>166</v>
      </c>
      <c r="C1040" s="6" t="s">
        <v>188</v>
      </c>
      <c r="D1040" s="7" t="n">
        <v>3</v>
      </c>
      <c r="E1040" s="7" t="n">
        <v>5</v>
      </c>
      <c r="F1040" s="7" t="n">
        <v>1</v>
      </c>
      <c r="G1040" s="7" t="n">
        <v>1</v>
      </c>
      <c r="H1040" s="7" t="n">
        <v>0</v>
      </c>
      <c r="I1040" s="7" t="n">
        <v>0</v>
      </c>
      <c r="J1040" s="7" t="n">
        <v>0</v>
      </c>
      <c r="K1040" s="7" t="n">
        <v>0</v>
      </c>
      <c r="L1040" s="7" t="n">
        <v>1</v>
      </c>
      <c r="M1040" s="7" t="n">
        <v>0</v>
      </c>
      <c r="N1040" s="7" t="n">
        <v>1</v>
      </c>
      <c r="O1040" s="7" t="n">
        <v>0</v>
      </c>
      <c r="P1040" s="8" t="n">
        <f aca="false">IF(E1040=0,0,G1040/E1040)</f>
        <v>0.2</v>
      </c>
      <c r="Q1040" s="8" t="n">
        <f aca="false">IF(E1040+N1040=0,0,(G1040+N1040)/(E1040+N1040))</f>
        <v>0.333333333333333</v>
      </c>
      <c r="R1040" s="8" t="n">
        <f aca="false">IF(E1040=0,0,L1040/E1040)</f>
        <v>0.2</v>
      </c>
      <c r="S1040" s="8" t="n">
        <f aca="false">R1040+Q1040</f>
        <v>0.533333333333333</v>
      </c>
      <c r="T1040" s="8" t="n">
        <f aca="false">R1040-P1040</f>
        <v>0</v>
      </c>
    </row>
    <row r="1041" customFormat="false" ht="14.25" hidden="false" customHeight="true" outlineLevel="0" collapsed="false">
      <c r="A1041" s="6" t="n">
        <v>2021</v>
      </c>
      <c r="B1041" s="6" t="s">
        <v>166</v>
      </c>
      <c r="C1041" s="6" t="s">
        <v>174</v>
      </c>
      <c r="D1041" s="7" t="n">
        <v>9</v>
      </c>
      <c r="E1041" s="7" t="n">
        <v>14</v>
      </c>
      <c r="F1041" s="7" t="n">
        <v>1</v>
      </c>
      <c r="G1041" s="7" t="n">
        <v>1</v>
      </c>
      <c r="H1041" s="7" t="n">
        <v>0</v>
      </c>
      <c r="I1041" s="7" t="n">
        <v>0</v>
      </c>
      <c r="J1041" s="7" t="n">
        <v>0</v>
      </c>
      <c r="K1041" s="7" t="n">
        <v>0</v>
      </c>
      <c r="L1041" s="7" t="n">
        <v>1</v>
      </c>
      <c r="M1041" s="7" t="n">
        <v>0</v>
      </c>
      <c r="N1041" s="7" t="n">
        <v>0</v>
      </c>
      <c r="O1041" s="7" t="n">
        <v>0</v>
      </c>
      <c r="P1041" s="8" t="n">
        <f aca="false">IF(E1041=0,0,G1041/E1041)</f>
        <v>0.0714285714285714</v>
      </c>
      <c r="Q1041" s="8" t="n">
        <f aca="false">IF(E1041+N1041=0,0,(G1041+N1041)/(E1041+N1041))</f>
        <v>0.0714285714285714</v>
      </c>
      <c r="R1041" s="8" t="n">
        <f aca="false">IF(E1041=0,0,L1041/E1041)</f>
        <v>0.0714285714285714</v>
      </c>
      <c r="S1041" s="8" t="n">
        <f aca="false">R1041+Q1041</f>
        <v>0.142857142857143</v>
      </c>
      <c r="T1041" s="8" t="n">
        <f aca="false">R1041-P1041</f>
        <v>0</v>
      </c>
    </row>
    <row r="1042" customFormat="false" ht="14.25" hidden="false" customHeight="true" outlineLevel="0" collapsed="false">
      <c r="A1042" s="6" t="n">
        <v>2021</v>
      </c>
      <c r="B1042" s="6" t="s">
        <v>166</v>
      </c>
      <c r="C1042" s="6" t="s">
        <v>279</v>
      </c>
      <c r="D1042" s="7" t="n">
        <v>1</v>
      </c>
      <c r="E1042" s="7" t="n">
        <v>4</v>
      </c>
      <c r="F1042" s="7" t="n">
        <v>0</v>
      </c>
      <c r="G1042" s="7" t="n">
        <v>0</v>
      </c>
      <c r="H1042" s="7" t="n">
        <v>0</v>
      </c>
      <c r="I1042" s="7" t="n">
        <v>0</v>
      </c>
      <c r="J1042" s="7" t="n">
        <v>0</v>
      </c>
      <c r="K1042" s="7" t="n">
        <v>0</v>
      </c>
      <c r="L1042" s="7" t="n">
        <v>0</v>
      </c>
      <c r="M1042" s="7" t="n">
        <v>0</v>
      </c>
      <c r="N1042" s="7" t="n">
        <v>0</v>
      </c>
      <c r="O1042" s="7" t="n">
        <v>1</v>
      </c>
      <c r="P1042" s="8" t="n">
        <f aca="false">IF(E1042=0,0,G1042/E1042)</f>
        <v>0</v>
      </c>
      <c r="Q1042" s="8" t="n">
        <f aca="false">IF(E1042+N1042=0,0,(G1042+N1042)/(E1042+N1042))</f>
        <v>0</v>
      </c>
      <c r="R1042" s="8" t="n">
        <f aca="false">IF(E1042=0,0,L1042/E1042)</f>
        <v>0</v>
      </c>
      <c r="S1042" s="8" t="n">
        <f aca="false">R1042+Q1042</f>
        <v>0</v>
      </c>
      <c r="T1042" s="8" t="n">
        <f aca="false">R1042-P1042</f>
        <v>0</v>
      </c>
    </row>
    <row r="1043" customFormat="false" ht="14.25" hidden="false" customHeight="true" outlineLevel="0" collapsed="false">
      <c r="A1043" s="6" t="n">
        <v>2021</v>
      </c>
      <c r="B1043" s="6" t="s">
        <v>166</v>
      </c>
      <c r="C1043" s="6" t="s">
        <v>439</v>
      </c>
      <c r="D1043" s="7" t="n">
        <v>1</v>
      </c>
      <c r="E1043" s="7" t="n">
        <v>3</v>
      </c>
      <c r="F1043" s="7" t="n">
        <v>1</v>
      </c>
      <c r="G1043" s="7" t="n">
        <v>0</v>
      </c>
      <c r="H1043" s="7" t="n">
        <v>0</v>
      </c>
      <c r="I1043" s="7" t="n">
        <v>0</v>
      </c>
      <c r="J1043" s="7" t="n">
        <v>0</v>
      </c>
      <c r="K1043" s="7" t="n">
        <v>0</v>
      </c>
      <c r="L1043" s="7" t="n">
        <v>0</v>
      </c>
      <c r="M1043" s="7" t="n">
        <v>0</v>
      </c>
      <c r="N1043" s="7" t="n">
        <v>0</v>
      </c>
      <c r="O1043" s="7" t="n">
        <v>0</v>
      </c>
      <c r="P1043" s="8" t="n">
        <f aca="false">IF(E1043=0,0,G1043/E1043)</f>
        <v>0</v>
      </c>
      <c r="Q1043" s="8" t="n">
        <f aca="false">IF(E1043+N1043=0,0,(G1043+N1043)/(E1043+N1043))</f>
        <v>0</v>
      </c>
      <c r="R1043" s="8" t="n">
        <f aca="false">IF(E1043=0,0,L1043/E1043)</f>
        <v>0</v>
      </c>
      <c r="S1043" s="8" t="n">
        <f aca="false">R1043+Q1043</f>
        <v>0</v>
      </c>
      <c r="T1043" s="8" t="n">
        <f aca="false">R1043-P1043</f>
        <v>0</v>
      </c>
    </row>
    <row r="1044" customFormat="false" ht="14.25" hidden="false" customHeight="true" outlineLevel="0" collapsed="false">
      <c r="A1044" s="6" t="n">
        <v>2021</v>
      </c>
      <c r="B1044" s="6" t="s">
        <v>166</v>
      </c>
      <c r="C1044" s="6" t="s">
        <v>183</v>
      </c>
      <c r="D1044" s="7" t="n">
        <v>1</v>
      </c>
      <c r="E1044" s="7" t="n">
        <v>3</v>
      </c>
      <c r="F1044" s="7" t="n">
        <v>0</v>
      </c>
      <c r="G1044" s="7" t="n">
        <v>0</v>
      </c>
      <c r="H1044" s="7" t="n">
        <v>0</v>
      </c>
      <c r="I1044" s="7" t="n">
        <v>0</v>
      </c>
      <c r="J1044" s="7" t="n">
        <v>0</v>
      </c>
      <c r="K1044" s="7" t="n">
        <v>0</v>
      </c>
      <c r="L1044" s="7" t="n">
        <v>0</v>
      </c>
      <c r="M1044" s="7" t="n">
        <v>0</v>
      </c>
      <c r="N1044" s="7" t="n">
        <v>0</v>
      </c>
      <c r="O1044" s="7" t="n">
        <v>0</v>
      </c>
      <c r="P1044" s="8" t="n">
        <f aca="false">IF(E1044=0,0,G1044/E1044)</f>
        <v>0</v>
      </c>
      <c r="Q1044" s="8" t="n">
        <f aca="false">IF(E1044+N1044=0,0,(G1044+N1044)/(E1044+N1044))</f>
        <v>0</v>
      </c>
      <c r="R1044" s="8" t="n">
        <f aca="false">IF(E1044=0,0,L1044/E1044)</f>
        <v>0</v>
      </c>
      <c r="S1044" s="8" t="n">
        <f aca="false">R1044+Q1044</f>
        <v>0</v>
      </c>
      <c r="T1044" s="8" t="n">
        <f aca="false">R1044-P1044</f>
        <v>0</v>
      </c>
    </row>
    <row r="1045" customFormat="false" ht="14.25" hidden="false" customHeight="true" outlineLevel="0" collapsed="false">
      <c r="A1045" s="6" t="n">
        <v>2021</v>
      </c>
      <c r="B1045" s="6" t="s">
        <v>166</v>
      </c>
      <c r="C1045" s="6" t="s">
        <v>440</v>
      </c>
      <c r="D1045" s="7" t="n">
        <v>1</v>
      </c>
      <c r="E1045" s="7" t="n">
        <v>3</v>
      </c>
      <c r="F1045" s="7" t="n">
        <v>0</v>
      </c>
      <c r="G1045" s="7" t="n">
        <v>0</v>
      </c>
      <c r="H1045" s="7" t="n">
        <v>0</v>
      </c>
      <c r="I1045" s="7" t="n">
        <v>0</v>
      </c>
      <c r="J1045" s="7" t="n">
        <v>0</v>
      </c>
      <c r="K1045" s="7" t="n">
        <v>0</v>
      </c>
      <c r="L1045" s="7" t="n">
        <v>0</v>
      </c>
      <c r="M1045" s="7" t="n">
        <v>0</v>
      </c>
      <c r="N1045" s="7" t="n">
        <v>0</v>
      </c>
      <c r="O1045" s="7" t="n">
        <v>0</v>
      </c>
      <c r="P1045" s="8" t="n">
        <f aca="false">IF(E1045=0,0,G1045/E1045)</f>
        <v>0</v>
      </c>
      <c r="Q1045" s="8" t="n">
        <f aca="false">IF(E1045+N1045=0,0,(G1045+N1045)/(E1045+N1045))</f>
        <v>0</v>
      </c>
      <c r="R1045" s="8" t="n">
        <f aca="false">IF(E1045=0,0,L1045/E1045)</f>
        <v>0</v>
      </c>
      <c r="S1045" s="8" t="n">
        <f aca="false">R1045+Q1045</f>
        <v>0</v>
      </c>
      <c r="T1045" s="8" t="n">
        <f aca="false">R1045-P1045</f>
        <v>0</v>
      </c>
    </row>
    <row r="1046" customFormat="false" ht="14.25" hidden="false" customHeight="true" outlineLevel="0" collapsed="false">
      <c r="A1046" s="6" t="n">
        <v>2021</v>
      </c>
      <c r="B1046" s="6" t="s">
        <v>166</v>
      </c>
      <c r="C1046" s="6" t="s">
        <v>441</v>
      </c>
      <c r="D1046" s="7" t="n">
        <v>1</v>
      </c>
      <c r="E1046" s="7" t="n">
        <v>3</v>
      </c>
      <c r="F1046" s="7" t="n">
        <v>0</v>
      </c>
      <c r="G1046" s="7" t="n">
        <v>0</v>
      </c>
      <c r="H1046" s="7" t="n">
        <v>0</v>
      </c>
      <c r="I1046" s="7" t="n">
        <v>0</v>
      </c>
      <c r="J1046" s="7" t="n">
        <v>0</v>
      </c>
      <c r="K1046" s="7" t="n">
        <v>0</v>
      </c>
      <c r="L1046" s="7" t="n">
        <v>0</v>
      </c>
      <c r="M1046" s="7" t="n">
        <v>0</v>
      </c>
      <c r="N1046" s="7" t="n">
        <v>0</v>
      </c>
      <c r="O1046" s="7" t="n">
        <v>0</v>
      </c>
      <c r="P1046" s="8" t="n">
        <f aca="false">IF(E1046=0,0,G1046/E1046)</f>
        <v>0</v>
      </c>
      <c r="Q1046" s="8" t="n">
        <f aca="false">IF(E1046+N1046=0,0,(G1046+N1046)/(E1046+N1046))</f>
        <v>0</v>
      </c>
      <c r="R1046" s="8" t="n">
        <f aca="false">IF(E1046=0,0,L1046/E1046)</f>
        <v>0</v>
      </c>
      <c r="S1046" s="8" t="n">
        <f aca="false">R1046+Q1046</f>
        <v>0</v>
      </c>
      <c r="T1046" s="8" t="n">
        <f aca="false">R1046-P1046</f>
        <v>0</v>
      </c>
    </row>
    <row r="1047" customFormat="false" ht="14.25" hidden="false" customHeight="true" outlineLevel="0" collapsed="false">
      <c r="A1047" s="6" t="n">
        <v>2021</v>
      </c>
      <c r="B1047" s="6" t="s">
        <v>166</v>
      </c>
      <c r="C1047" s="6" t="s">
        <v>442</v>
      </c>
      <c r="D1047" s="7" t="n">
        <v>1</v>
      </c>
      <c r="E1047" s="7" t="n">
        <v>2</v>
      </c>
      <c r="F1047" s="7" t="n">
        <v>0</v>
      </c>
      <c r="G1047" s="7" t="n">
        <v>0</v>
      </c>
      <c r="H1047" s="7" t="n">
        <v>0</v>
      </c>
      <c r="I1047" s="7" t="n">
        <v>0</v>
      </c>
      <c r="J1047" s="7" t="n">
        <v>0</v>
      </c>
      <c r="K1047" s="7" t="n">
        <v>0</v>
      </c>
      <c r="L1047" s="7" t="n">
        <v>0</v>
      </c>
      <c r="M1047" s="7" t="n">
        <v>0</v>
      </c>
      <c r="N1047" s="7" t="n">
        <v>0</v>
      </c>
      <c r="O1047" s="7" t="n">
        <v>0</v>
      </c>
      <c r="P1047" s="8" t="n">
        <f aca="false">IF(E1047=0,0,G1047/E1047)</f>
        <v>0</v>
      </c>
      <c r="Q1047" s="8" t="n">
        <f aca="false">IF(E1047+N1047=0,0,(G1047+N1047)/(E1047+N1047))</f>
        <v>0</v>
      </c>
      <c r="R1047" s="8" t="n">
        <f aca="false">IF(E1047=0,0,L1047/E1047)</f>
        <v>0</v>
      </c>
      <c r="S1047" s="8" t="n">
        <f aca="false">R1047+Q1047</f>
        <v>0</v>
      </c>
      <c r="T1047" s="8" t="n">
        <f aca="false">R1047-P1047</f>
        <v>0</v>
      </c>
    </row>
    <row r="1048" customFormat="false" ht="14.25" hidden="false" customHeight="true" outlineLevel="0" collapsed="false">
      <c r="A1048" s="6" t="n">
        <v>2021</v>
      </c>
      <c r="B1048" s="6" t="s">
        <v>192</v>
      </c>
      <c r="C1048" s="6" t="s">
        <v>197</v>
      </c>
      <c r="D1048" s="7" t="n">
        <v>6</v>
      </c>
      <c r="E1048" s="7" t="n">
        <v>21</v>
      </c>
      <c r="F1048" s="7" t="n">
        <v>3</v>
      </c>
      <c r="G1048" s="7" t="n">
        <v>12</v>
      </c>
      <c r="H1048" s="7" t="n">
        <v>3</v>
      </c>
      <c r="I1048" s="7" t="n">
        <v>0</v>
      </c>
      <c r="J1048" s="7" t="n">
        <v>2</v>
      </c>
      <c r="K1048" s="7" t="n">
        <v>5</v>
      </c>
      <c r="L1048" s="7" t="n">
        <v>21</v>
      </c>
      <c r="M1048" s="7" t="n">
        <v>9</v>
      </c>
      <c r="N1048" s="7" t="n">
        <v>2</v>
      </c>
      <c r="O1048" s="7" t="n">
        <v>0</v>
      </c>
      <c r="P1048" s="8" t="n">
        <f aca="false">IF(E1048=0,0,G1048/E1048)</f>
        <v>0.571428571428571</v>
      </c>
      <c r="Q1048" s="8" t="n">
        <f aca="false">IF(E1048+N1048=0,0,(G1048+N1048)/(E1048+N1048))</f>
        <v>0.608695652173913</v>
      </c>
      <c r="R1048" s="8" t="n">
        <f aca="false">IF(E1048=0,0,L1048/E1048)</f>
        <v>1</v>
      </c>
      <c r="S1048" s="8" t="n">
        <f aca="false">R1048+Q1048</f>
        <v>1.60869565217391</v>
      </c>
      <c r="T1048" s="8" t="n">
        <f aca="false">R1048-P1048</f>
        <v>0.428571428571429</v>
      </c>
    </row>
    <row r="1049" customFormat="false" ht="14.25" hidden="false" customHeight="true" outlineLevel="0" collapsed="false">
      <c r="A1049" s="6" t="n">
        <v>2021</v>
      </c>
      <c r="B1049" s="6" t="s">
        <v>192</v>
      </c>
      <c r="C1049" s="6" t="s">
        <v>196</v>
      </c>
      <c r="D1049" s="7" t="n">
        <v>8</v>
      </c>
      <c r="E1049" s="7" t="n">
        <v>28</v>
      </c>
      <c r="F1049" s="7" t="n">
        <v>7</v>
      </c>
      <c r="G1049" s="7" t="n">
        <v>9</v>
      </c>
      <c r="H1049" s="7" t="n">
        <v>0</v>
      </c>
      <c r="I1049" s="7" t="n">
        <v>0</v>
      </c>
      <c r="J1049" s="7" t="n">
        <v>2</v>
      </c>
      <c r="K1049" s="7" t="n">
        <v>2</v>
      </c>
      <c r="L1049" s="7" t="n">
        <v>15</v>
      </c>
      <c r="M1049" s="7" t="n">
        <v>2</v>
      </c>
      <c r="N1049" s="7" t="n">
        <v>2</v>
      </c>
      <c r="O1049" s="7" t="n">
        <v>0</v>
      </c>
      <c r="P1049" s="8" t="n">
        <f aca="false">IF(E1049=0,0,G1049/E1049)</f>
        <v>0.321428571428571</v>
      </c>
      <c r="Q1049" s="8" t="n">
        <f aca="false">IF(E1049+N1049=0,0,(G1049+N1049)/(E1049+N1049))</f>
        <v>0.366666666666667</v>
      </c>
      <c r="R1049" s="8" t="n">
        <f aca="false">IF(E1049=0,0,L1049/E1049)</f>
        <v>0.535714285714286</v>
      </c>
      <c r="S1049" s="8" t="n">
        <f aca="false">R1049+Q1049</f>
        <v>0.902380952380952</v>
      </c>
      <c r="T1049" s="8" t="n">
        <f aca="false">R1049-P1049</f>
        <v>0.214285714285714</v>
      </c>
    </row>
    <row r="1050" customFormat="false" ht="14.25" hidden="false" customHeight="true" outlineLevel="0" collapsed="false">
      <c r="A1050" s="6" t="n">
        <v>2021</v>
      </c>
      <c r="B1050" s="6" t="s">
        <v>192</v>
      </c>
      <c r="C1050" s="6" t="s">
        <v>198</v>
      </c>
      <c r="D1050" s="7" t="n">
        <v>8</v>
      </c>
      <c r="E1050" s="7" t="n">
        <v>24</v>
      </c>
      <c r="F1050" s="7" t="n">
        <v>6</v>
      </c>
      <c r="G1050" s="7" t="n">
        <v>8</v>
      </c>
      <c r="H1050" s="7" t="n">
        <v>2</v>
      </c>
      <c r="I1050" s="7" t="n">
        <v>0</v>
      </c>
      <c r="J1050" s="7" t="n">
        <v>3</v>
      </c>
      <c r="K1050" s="7" t="n">
        <v>5</v>
      </c>
      <c r="L1050" s="7" t="n">
        <v>19</v>
      </c>
      <c r="M1050" s="7" t="n">
        <v>12</v>
      </c>
      <c r="N1050" s="7" t="n">
        <v>3</v>
      </c>
      <c r="O1050" s="7" t="n">
        <v>1</v>
      </c>
      <c r="P1050" s="8" t="n">
        <f aca="false">IF(E1050=0,0,G1050/E1050)</f>
        <v>0.333333333333333</v>
      </c>
      <c r="Q1050" s="8" t="n">
        <f aca="false">IF(E1050+N1050=0,0,(G1050+N1050)/(E1050+N1050))</f>
        <v>0.407407407407407</v>
      </c>
      <c r="R1050" s="8" t="n">
        <f aca="false">IF(E1050=0,0,L1050/E1050)</f>
        <v>0.791666666666667</v>
      </c>
      <c r="S1050" s="8" t="n">
        <f aca="false">R1050+Q1050</f>
        <v>1.19907407407407</v>
      </c>
      <c r="T1050" s="8" t="n">
        <f aca="false">R1050-P1050</f>
        <v>0.458333333333333</v>
      </c>
    </row>
    <row r="1051" customFormat="false" ht="14.25" hidden="false" customHeight="true" outlineLevel="0" collapsed="false">
      <c r="A1051" s="6" t="n">
        <v>2021</v>
      </c>
      <c r="B1051" s="6" t="s">
        <v>192</v>
      </c>
      <c r="C1051" s="6" t="s">
        <v>201</v>
      </c>
      <c r="D1051" s="7" t="n">
        <v>8</v>
      </c>
      <c r="E1051" s="7" t="n">
        <v>26</v>
      </c>
      <c r="F1051" s="7" t="n">
        <v>3</v>
      </c>
      <c r="G1051" s="7" t="n">
        <v>8</v>
      </c>
      <c r="H1051" s="7" t="n">
        <v>0</v>
      </c>
      <c r="I1051" s="7" t="n">
        <v>0</v>
      </c>
      <c r="J1051" s="7" t="n">
        <v>0</v>
      </c>
      <c r="K1051" s="7" t="n">
        <v>0</v>
      </c>
      <c r="L1051" s="7" t="n">
        <v>8</v>
      </c>
      <c r="M1051" s="7" t="n">
        <v>1</v>
      </c>
      <c r="N1051" s="7" t="n">
        <v>1</v>
      </c>
      <c r="O1051" s="7" t="n">
        <v>0</v>
      </c>
      <c r="P1051" s="8" t="n">
        <f aca="false">IF(E1051=0,0,G1051/E1051)</f>
        <v>0.307692307692308</v>
      </c>
      <c r="Q1051" s="8" t="n">
        <f aca="false">IF(E1051+N1051=0,0,(G1051+N1051)/(E1051+N1051))</f>
        <v>0.333333333333333</v>
      </c>
      <c r="R1051" s="8" t="n">
        <f aca="false">IF(E1051=0,0,L1051/E1051)</f>
        <v>0.307692307692308</v>
      </c>
      <c r="S1051" s="8" t="n">
        <f aca="false">R1051+Q1051</f>
        <v>0.641025641025641</v>
      </c>
      <c r="T1051" s="8" t="n">
        <f aca="false">R1051-P1051</f>
        <v>0</v>
      </c>
    </row>
    <row r="1052" customFormat="false" ht="14.25" hidden="false" customHeight="true" outlineLevel="0" collapsed="false">
      <c r="A1052" s="6" t="n">
        <v>2021</v>
      </c>
      <c r="B1052" s="6" t="s">
        <v>192</v>
      </c>
      <c r="C1052" s="6" t="s">
        <v>204</v>
      </c>
      <c r="D1052" s="7" t="n">
        <v>3</v>
      </c>
      <c r="E1052" s="7" t="n">
        <v>11</v>
      </c>
      <c r="F1052" s="7" t="n">
        <v>2</v>
      </c>
      <c r="G1052" s="7" t="n">
        <v>7</v>
      </c>
      <c r="H1052" s="7" t="n">
        <v>1</v>
      </c>
      <c r="I1052" s="7" t="n">
        <v>0</v>
      </c>
      <c r="J1052" s="7" t="n">
        <v>1</v>
      </c>
      <c r="K1052" s="7" t="n">
        <v>2</v>
      </c>
      <c r="L1052" s="7" t="n">
        <v>11</v>
      </c>
      <c r="M1052" s="7" t="n">
        <v>3</v>
      </c>
      <c r="N1052" s="7" t="n">
        <v>1</v>
      </c>
      <c r="O1052" s="7" t="n">
        <v>0</v>
      </c>
      <c r="P1052" s="8" t="n">
        <f aca="false">IF(E1052=0,0,G1052/E1052)</f>
        <v>0.636363636363636</v>
      </c>
      <c r="Q1052" s="8" t="n">
        <f aca="false">IF(E1052+N1052=0,0,(G1052+N1052)/(E1052+N1052))</f>
        <v>0.666666666666667</v>
      </c>
      <c r="R1052" s="8" t="n">
        <f aca="false">IF(E1052=0,0,L1052/E1052)</f>
        <v>1</v>
      </c>
      <c r="S1052" s="8" t="n">
        <f aca="false">R1052+Q1052</f>
        <v>1.66666666666667</v>
      </c>
      <c r="T1052" s="8" t="n">
        <f aca="false">R1052-P1052</f>
        <v>0.363636363636364</v>
      </c>
    </row>
    <row r="1053" customFormat="false" ht="14.25" hidden="false" customHeight="true" outlineLevel="0" collapsed="false">
      <c r="A1053" s="6" t="n">
        <v>2021</v>
      </c>
      <c r="B1053" s="6" t="s">
        <v>192</v>
      </c>
      <c r="C1053" s="6" t="s">
        <v>309</v>
      </c>
      <c r="D1053" s="7" t="n">
        <v>5</v>
      </c>
      <c r="E1053" s="7" t="n">
        <v>17</v>
      </c>
      <c r="F1053" s="7" t="n">
        <v>5</v>
      </c>
      <c r="G1053" s="7" t="n">
        <v>6</v>
      </c>
      <c r="H1053" s="7" t="n">
        <v>1</v>
      </c>
      <c r="I1053" s="7" t="n">
        <v>0</v>
      </c>
      <c r="J1053" s="7" t="n">
        <v>1</v>
      </c>
      <c r="K1053" s="7" t="n">
        <v>2</v>
      </c>
      <c r="L1053" s="7" t="n">
        <v>10</v>
      </c>
      <c r="M1053" s="7" t="n">
        <v>4</v>
      </c>
      <c r="N1053" s="7" t="n">
        <v>0</v>
      </c>
      <c r="O1053" s="7" t="n">
        <v>1</v>
      </c>
      <c r="P1053" s="8" t="n">
        <f aca="false">IF(E1053=0,0,G1053/E1053)</f>
        <v>0.352941176470588</v>
      </c>
      <c r="Q1053" s="8" t="n">
        <f aca="false">IF(E1053+N1053=0,0,(G1053+N1053)/(E1053+N1053))</f>
        <v>0.352941176470588</v>
      </c>
      <c r="R1053" s="8" t="n">
        <f aca="false">IF(E1053=0,0,L1053/E1053)</f>
        <v>0.588235294117647</v>
      </c>
      <c r="S1053" s="8" t="n">
        <f aca="false">R1053+Q1053</f>
        <v>0.941176470588235</v>
      </c>
      <c r="T1053" s="8" t="n">
        <f aca="false">R1053-P1053</f>
        <v>0.235294117647059</v>
      </c>
    </row>
    <row r="1054" customFormat="false" ht="14.25" hidden="false" customHeight="true" outlineLevel="0" collapsed="false">
      <c r="A1054" s="6" t="n">
        <v>2021</v>
      </c>
      <c r="B1054" s="6" t="s">
        <v>192</v>
      </c>
      <c r="C1054" s="6" t="s">
        <v>195</v>
      </c>
      <c r="D1054" s="7" t="n">
        <v>9</v>
      </c>
      <c r="E1054" s="7" t="n">
        <v>29</v>
      </c>
      <c r="F1054" s="7" t="n">
        <v>5</v>
      </c>
      <c r="G1054" s="7" t="n">
        <v>4</v>
      </c>
      <c r="H1054" s="7" t="n">
        <v>0</v>
      </c>
      <c r="I1054" s="7" t="n">
        <v>0</v>
      </c>
      <c r="J1054" s="7" t="n">
        <v>1</v>
      </c>
      <c r="K1054" s="7" t="n">
        <v>1</v>
      </c>
      <c r="L1054" s="7" t="n">
        <v>7</v>
      </c>
      <c r="M1054" s="7" t="n">
        <v>2</v>
      </c>
      <c r="N1054" s="7" t="n">
        <v>2</v>
      </c>
      <c r="O1054" s="7" t="n">
        <v>1</v>
      </c>
      <c r="P1054" s="8" t="n">
        <f aca="false">IF(E1054=0,0,G1054/E1054)</f>
        <v>0.137931034482759</v>
      </c>
      <c r="Q1054" s="8" t="n">
        <f aca="false">IF(E1054+N1054=0,0,(G1054+N1054)/(E1054+N1054))</f>
        <v>0.193548387096774</v>
      </c>
      <c r="R1054" s="8" t="n">
        <f aca="false">IF(E1054=0,0,L1054/E1054)</f>
        <v>0.241379310344828</v>
      </c>
      <c r="S1054" s="8" t="n">
        <f aca="false">R1054+Q1054</f>
        <v>0.434927697441602</v>
      </c>
      <c r="T1054" s="8" t="n">
        <f aca="false">R1054-P1054</f>
        <v>0.103448275862069</v>
      </c>
    </row>
    <row r="1055" customFormat="false" ht="14.25" hidden="false" customHeight="true" outlineLevel="0" collapsed="false">
      <c r="A1055" s="6" t="n">
        <v>2021</v>
      </c>
      <c r="B1055" s="6" t="s">
        <v>192</v>
      </c>
      <c r="C1055" s="6" t="s">
        <v>202</v>
      </c>
      <c r="D1055" s="7" t="n">
        <v>9</v>
      </c>
      <c r="E1055" s="7" t="n">
        <v>24</v>
      </c>
      <c r="F1055" s="7" t="n">
        <v>5</v>
      </c>
      <c r="G1055" s="7" t="n">
        <v>4</v>
      </c>
      <c r="H1055" s="7" t="n">
        <v>0</v>
      </c>
      <c r="I1055" s="7" t="n">
        <v>0</v>
      </c>
      <c r="J1055" s="7" t="n">
        <v>0</v>
      </c>
      <c r="K1055" s="7" t="n">
        <v>0</v>
      </c>
      <c r="L1055" s="7" t="n">
        <v>4</v>
      </c>
      <c r="M1055" s="7" t="n">
        <v>0</v>
      </c>
      <c r="N1055" s="7" t="n">
        <v>3</v>
      </c>
      <c r="O1055" s="7" t="n">
        <v>1</v>
      </c>
      <c r="P1055" s="8" t="n">
        <f aca="false">IF(E1055=0,0,G1055/E1055)</f>
        <v>0.166666666666667</v>
      </c>
      <c r="Q1055" s="8" t="n">
        <f aca="false">IF(E1055+N1055=0,0,(G1055+N1055)/(E1055+N1055))</f>
        <v>0.259259259259259</v>
      </c>
      <c r="R1055" s="8" t="n">
        <f aca="false">IF(E1055=0,0,L1055/E1055)</f>
        <v>0.166666666666667</v>
      </c>
      <c r="S1055" s="8" t="n">
        <f aca="false">R1055+Q1055</f>
        <v>0.425925925925926</v>
      </c>
      <c r="T1055" s="8" t="n">
        <f aca="false">R1055-P1055</f>
        <v>0</v>
      </c>
    </row>
    <row r="1056" customFormat="false" ht="14.25" hidden="false" customHeight="true" outlineLevel="0" collapsed="false">
      <c r="A1056" s="6" t="n">
        <v>2021</v>
      </c>
      <c r="B1056" s="6" t="s">
        <v>192</v>
      </c>
      <c r="C1056" s="6" t="s">
        <v>207</v>
      </c>
      <c r="D1056" s="7" t="n">
        <v>4</v>
      </c>
      <c r="E1056" s="7" t="n">
        <v>11</v>
      </c>
      <c r="F1056" s="7" t="n">
        <v>0</v>
      </c>
      <c r="G1056" s="7" t="n">
        <v>3</v>
      </c>
      <c r="H1056" s="7" t="n">
        <v>1</v>
      </c>
      <c r="I1056" s="7" t="n">
        <v>0</v>
      </c>
      <c r="J1056" s="7" t="n">
        <v>0</v>
      </c>
      <c r="K1056" s="7" t="n">
        <v>1</v>
      </c>
      <c r="L1056" s="7" t="n">
        <v>4</v>
      </c>
      <c r="M1056" s="7" t="n">
        <v>4</v>
      </c>
      <c r="N1056" s="7" t="n">
        <v>1</v>
      </c>
      <c r="O1056" s="7" t="n">
        <v>0</v>
      </c>
      <c r="P1056" s="8" t="n">
        <f aca="false">IF(E1056=0,0,G1056/E1056)</f>
        <v>0.272727272727273</v>
      </c>
      <c r="Q1056" s="8" t="n">
        <f aca="false">IF(E1056+N1056=0,0,(G1056+N1056)/(E1056+N1056))</f>
        <v>0.333333333333333</v>
      </c>
      <c r="R1056" s="8" t="n">
        <f aca="false">IF(E1056=0,0,L1056/E1056)</f>
        <v>0.363636363636364</v>
      </c>
      <c r="S1056" s="8" t="n">
        <f aca="false">R1056+Q1056</f>
        <v>0.696969696969697</v>
      </c>
      <c r="T1056" s="8" t="n">
        <f aca="false">R1056-P1056</f>
        <v>0.0909090909090909</v>
      </c>
    </row>
    <row r="1057" customFormat="false" ht="14.25" hidden="false" customHeight="true" outlineLevel="0" collapsed="false">
      <c r="A1057" s="6" t="n">
        <v>2021</v>
      </c>
      <c r="B1057" s="6" t="s">
        <v>192</v>
      </c>
      <c r="C1057" s="6" t="s">
        <v>200</v>
      </c>
      <c r="D1057" s="7" t="n">
        <v>4</v>
      </c>
      <c r="E1057" s="7" t="n">
        <v>6</v>
      </c>
      <c r="F1057" s="7" t="n">
        <v>2</v>
      </c>
      <c r="G1057" s="7" t="n">
        <v>3</v>
      </c>
      <c r="H1057" s="7" t="n">
        <v>0</v>
      </c>
      <c r="I1057" s="7" t="n">
        <v>0</v>
      </c>
      <c r="J1057" s="7" t="n">
        <v>0</v>
      </c>
      <c r="K1057" s="7" t="n">
        <v>0</v>
      </c>
      <c r="L1057" s="7" t="n">
        <v>3</v>
      </c>
      <c r="M1057" s="7" t="n">
        <v>0</v>
      </c>
      <c r="N1057" s="7" t="n">
        <v>1</v>
      </c>
      <c r="O1057" s="7" t="n">
        <v>0</v>
      </c>
      <c r="P1057" s="8" t="n">
        <f aca="false">IF(E1057=0,0,G1057/E1057)</f>
        <v>0.5</v>
      </c>
      <c r="Q1057" s="8" t="n">
        <f aca="false">IF(E1057+N1057=0,0,(G1057+N1057)/(E1057+N1057))</f>
        <v>0.571428571428571</v>
      </c>
      <c r="R1057" s="8" t="n">
        <f aca="false">IF(E1057=0,0,L1057/E1057)</f>
        <v>0.5</v>
      </c>
      <c r="S1057" s="8" t="n">
        <f aca="false">R1057+Q1057</f>
        <v>1.07142857142857</v>
      </c>
      <c r="T1057" s="8" t="n">
        <f aca="false">R1057-P1057</f>
        <v>0</v>
      </c>
    </row>
    <row r="1058" customFormat="false" ht="14.25" hidden="false" customHeight="true" outlineLevel="0" collapsed="false">
      <c r="A1058" s="6" t="n">
        <v>2021</v>
      </c>
      <c r="B1058" s="6" t="s">
        <v>192</v>
      </c>
      <c r="C1058" s="6" t="s">
        <v>193</v>
      </c>
      <c r="D1058" s="7" t="n">
        <v>4</v>
      </c>
      <c r="E1058" s="7" t="n">
        <v>10</v>
      </c>
      <c r="F1058" s="7" t="n">
        <v>1</v>
      </c>
      <c r="G1058" s="7" t="n">
        <v>3</v>
      </c>
      <c r="H1058" s="7" t="n">
        <v>0</v>
      </c>
      <c r="I1058" s="7" t="n">
        <v>0</v>
      </c>
      <c r="J1058" s="7" t="n">
        <v>0</v>
      </c>
      <c r="K1058" s="7" t="n">
        <v>0</v>
      </c>
      <c r="L1058" s="7" t="n">
        <v>3</v>
      </c>
      <c r="M1058" s="7" t="n">
        <v>0</v>
      </c>
      <c r="N1058" s="7" t="n">
        <v>0</v>
      </c>
      <c r="O1058" s="7" t="n">
        <v>0</v>
      </c>
      <c r="P1058" s="8" t="n">
        <f aca="false">IF(E1058=0,0,G1058/E1058)</f>
        <v>0.3</v>
      </c>
      <c r="Q1058" s="8" t="n">
        <f aca="false">IF(E1058+N1058=0,0,(G1058+N1058)/(E1058+N1058))</f>
        <v>0.3</v>
      </c>
      <c r="R1058" s="8" t="n">
        <f aca="false">IF(E1058=0,0,L1058/E1058)</f>
        <v>0.3</v>
      </c>
      <c r="S1058" s="8" t="n">
        <f aca="false">R1058+Q1058</f>
        <v>0.6</v>
      </c>
      <c r="T1058" s="8" t="n">
        <f aca="false">R1058-P1058</f>
        <v>0</v>
      </c>
    </row>
    <row r="1059" customFormat="false" ht="14.25" hidden="false" customHeight="true" outlineLevel="0" collapsed="false">
      <c r="A1059" s="6" t="n">
        <v>2021</v>
      </c>
      <c r="B1059" s="6" t="s">
        <v>192</v>
      </c>
      <c r="C1059" s="6" t="s">
        <v>205</v>
      </c>
      <c r="D1059" s="7" t="n">
        <v>3</v>
      </c>
      <c r="E1059" s="7" t="n">
        <v>7</v>
      </c>
      <c r="F1059" s="7" t="n">
        <v>0</v>
      </c>
      <c r="G1059" s="7" t="n">
        <v>2</v>
      </c>
      <c r="H1059" s="7" t="n">
        <v>1</v>
      </c>
      <c r="I1059" s="7" t="n">
        <v>0</v>
      </c>
      <c r="J1059" s="7" t="n">
        <v>0</v>
      </c>
      <c r="K1059" s="7" t="n">
        <v>1</v>
      </c>
      <c r="L1059" s="7" t="n">
        <v>3</v>
      </c>
      <c r="M1059" s="7" t="n">
        <v>2</v>
      </c>
      <c r="N1059" s="7" t="n">
        <v>0</v>
      </c>
      <c r="O1059" s="7" t="n">
        <v>0</v>
      </c>
      <c r="P1059" s="8" t="n">
        <f aca="false">IF(E1059=0,0,G1059/E1059)</f>
        <v>0.285714285714286</v>
      </c>
      <c r="Q1059" s="8" t="n">
        <f aca="false">IF(E1059+N1059=0,0,(G1059+N1059)/(E1059+N1059))</f>
        <v>0.285714285714286</v>
      </c>
      <c r="R1059" s="8" t="n">
        <f aca="false">IF(E1059=0,0,L1059/E1059)</f>
        <v>0.428571428571429</v>
      </c>
      <c r="S1059" s="8" t="n">
        <f aca="false">R1059+Q1059</f>
        <v>0.714285714285714</v>
      </c>
      <c r="T1059" s="8" t="n">
        <f aca="false">R1059-P1059</f>
        <v>0.142857142857143</v>
      </c>
    </row>
    <row r="1060" customFormat="false" ht="14.25" hidden="false" customHeight="true" outlineLevel="0" collapsed="false">
      <c r="A1060" s="6" t="n">
        <v>2021</v>
      </c>
      <c r="B1060" s="6" t="s">
        <v>192</v>
      </c>
      <c r="C1060" s="6" t="s">
        <v>199</v>
      </c>
      <c r="D1060" s="7" t="n">
        <v>6</v>
      </c>
      <c r="E1060" s="7" t="n">
        <v>18</v>
      </c>
      <c r="F1060" s="7" t="n">
        <v>1</v>
      </c>
      <c r="G1060" s="7" t="n">
        <v>2</v>
      </c>
      <c r="H1060" s="7" t="n">
        <v>0</v>
      </c>
      <c r="I1060" s="7" t="n">
        <v>0</v>
      </c>
      <c r="J1060" s="7" t="n">
        <v>0</v>
      </c>
      <c r="K1060" s="7" t="n">
        <v>0</v>
      </c>
      <c r="L1060" s="7" t="n">
        <v>2</v>
      </c>
      <c r="M1060" s="7" t="n">
        <v>2</v>
      </c>
      <c r="N1060" s="7" t="n">
        <v>0</v>
      </c>
      <c r="O1060" s="7" t="n">
        <v>2</v>
      </c>
      <c r="P1060" s="8" t="n">
        <f aca="false">IF(E1060=0,0,G1060/E1060)</f>
        <v>0.111111111111111</v>
      </c>
      <c r="Q1060" s="8" t="n">
        <f aca="false">IF(E1060+N1060=0,0,(G1060+N1060)/(E1060+N1060))</f>
        <v>0.111111111111111</v>
      </c>
      <c r="R1060" s="8" t="n">
        <f aca="false">IF(E1060=0,0,L1060/E1060)</f>
        <v>0.111111111111111</v>
      </c>
      <c r="S1060" s="8" t="n">
        <f aca="false">R1060+Q1060</f>
        <v>0.222222222222222</v>
      </c>
      <c r="T1060" s="8" t="n">
        <f aca="false">R1060-P1060</f>
        <v>0</v>
      </c>
    </row>
    <row r="1061" customFormat="false" ht="14.25" hidden="false" customHeight="true" outlineLevel="0" collapsed="false">
      <c r="A1061" s="6" t="n">
        <v>2021</v>
      </c>
      <c r="B1061" s="6" t="s">
        <v>192</v>
      </c>
      <c r="C1061" s="6" t="s">
        <v>311</v>
      </c>
      <c r="D1061" s="7" t="n">
        <v>3</v>
      </c>
      <c r="E1061" s="7" t="n">
        <v>7</v>
      </c>
      <c r="F1061" s="7" t="n">
        <v>1</v>
      </c>
      <c r="G1061" s="7" t="n">
        <v>1</v>
      </c>
      <c r="H1061" s="7" t="n">
        <v>0</v>
      </c>
      <c r="I1061" s="7" t="n">
        <v>0</v>
      </c>
      <c r="J1061" s="7" t="n">
        <v>0</v>
      </c>
      <c r="K1061" s="7" t="n">
        <v>0</v>
      </c>
      <c r="L1061" s="7" t="n">
        <v>1</v>
      </c>
      <c r="M1061" s="7" t="n">
        <v>1</v>
      </c>
      <c r="N1061" s="7" t="n">
        <v>0</v>
      </c>
      <c r="O1061" s="7" t="n">
        <v>1</v>
      </c>
      <c r="P1061" s="8" t="n">
        <f aca="false">IF(E1061=0,0,G1061/E1061)</f>
        <v>0.142857142857143</v>
      </c>
      <c r="Q1061" s="8" t="n">
        <f aca="false">IF(E1061+N1061=0,0,(G1061+N1061)/(E1061+N1061))</f>
        <v>0.142857142857143</v>
      </c>
      <c r="R1061" s="8" t="n">
        <f aca="false">IF(E1061=0,0,L1061/E1061)</f>
        <v>0.142857142857143</v>
      </c>
      <c r="S1061" s="8" t="n">
        <f aca="false">R1061+Q1061</f>
        <v>0.285714285714286</v>
      </c>
      <c r="T1061" s="8" t="n">
        <f aca="false">R1061-P1061</f>
        <v>0</v>
      </c>
    </row>
    <row r="1062" customFormat="false" ht="14.25" hidden="false" customHeight="true" outlineLevel="0" collapsed="false">
      <c r="A1062" s="6" t="n">
        <v>2021</v>
      </c>
      <c r="B1062" s="6" t="s">
        <v>192</v>
      </c>
      <c r="C1062" s="6" t="s">
        <v>308</v>
      </c>
      <c r="D1062" s="7" t="n">
        <v>4</v>
      </c>
      <c r="E1062" s="7" t="n">
        <v>10</v>
      </c>
      <c r="F1062" s="7" t="n">
        <v>1</v>
      </c>
      <c r="G1062" s="7" t="n">
        <v>1</v>
      </c>
      <c r="H1062" s="7" t="n">
        <v>0</v>
      </c>
      <c r="I1062" s="7" t="n">
        <v>0</v>
      </c>
      <c r="J1062" s="7" t="n">
        <v>0</v>
      </c>
      <c r="K1062" s="7" t="n">
        <v>0</v>
      </c>
      <c r="L1062" s="7" t="n">
        <v>1</v>
      </c>
      <c r="M1062" s="7" t="n">
        <v>0</v>
      </c>
      <c r="N1062" s="7" t="n">
        <v>1</v>
      </c>
      <c r="O1062" s="7" t="n">
        <v>0</v>
      </c>
      <c r="P1062" s="8" t="n">
        <f aca="false">IF(E1062=0,0,G1062/E1062)</f>
        <v>0.1</v>
      </c>
      <c r="Q1062" s="8" t="n">
        <f aca="false">IF(E1062+N1062=0,0,(G1062+N1062)/(E1062+N1062))</f>
        <v>0.181818181818182</v>
      </c>
      <c r="R1062" s="8" t="n">
        <f aca="false">IF(E1062=0,0,L1062/E1062)</f>
        <v>0.1</v>
      </c>
      <c r="S1062" s="8" t="n">
        <f aca="false">R1062+Q1062</f>
        <v>0.281818181818182</v>
      </c>
      <c r="T1062" s="8" t="n">
        <f aca="false">R1062-P1062</f>
        <v>0</v>
      </c>
    </row>
    <row r="1063" customFormat="false" ht="14.25" hidden="false" customHeight="true" outlineLevel="0" collapsed="false">
      <c r="A1063" s="6" t="n">
        <v>2021</v>
      </c>
      <c r="B1063" s="6" t="s">
        <v>192</v>
      </c>
      <c r="C1063" s="6" t="s">
        <v>443</v>
      </c>
      <c r="D1063" s="7" t="n">
        <v>1</v>
      </c>
      <c r="E1063" s="7" t="n">
        <v>1</v>
      </c>
      <c r="F1063" s="7" t="n">
        <v>0</v>
      </c>
      <c r="G1063" s="7" t="n">
        <v>1</v>
      </c>
      <c r="H1063" s="7" t="n">
        <v>0</v>
      </c>
      <c r="I1063" s="7" t="n">
        <v>0</v>
      </c>
      <c r="J1063" s="7" t="n">
        <v>0</v>
      </c>
      <c r="K1063" s="7" t="n">
        <v>0</v>
      </c>
      <c r="L1063" s="7" t="n">
        <v>1</v>
      </c>
      <c r="M1063" s="7" t="n">
        <v>0</v>
      </c>
      <c r="N1063" s="7" t="n">
        <v>0</v>
      </c>
      <c r="O1063" s="7" t="n">
        <v>0</v>
      </c>
      <c r="P1063" s="8" t="n">
        <f aca="false">IF(E1063=0,0,G1063/E1063)</f>
        <v>1</v>
      </c>
      <c r="Q1063" s="8" t="n">
        <f aca="false">IF(E1063+N1063=0,0,(G1063+N1063)/(E1063+N1063))</f>
        <v>1</v>
      </c>
      <c r="R1063" s="8" t="n">
        <f aca="false">IF(E1063=0,0,L1063/E1063)</f>
        <v>1</v>
      </c>
      <c r="S1063" s="8" t="n">
        <f aca="false">R1063+Q1063</f>
        <v>2</v>
      </c>
      <c r="T1063" s="8" t="n">
        <f aca="false">R1063-P1063</f>
        <v>0</v>
      </c>
    </row>
    <row r="1064" customFormat="false" ht="14.25" hidden="false" customHeight="true" outlineLevel="0" collapsed="false">
      <c r="A1064" s="6" t="n">
        <v>2021</v>
      </c>
      <c r="B1064" s="6" t="s">
        <v>192</v>
      </c>
      <c r="C1064" s="6" t="s">
        <v>444</v>
      </c>
      <c r="D1064" s="7" t="n">
        <v>1</v>
      </c>
      <c r="E1064" s="7" t="n">
        <v>3</v>
      </c>
      <c r="F1064" s="7" t="n">
        <v>0</v>
      </c>
      <c r="G1064" s="7" t="n">
        <v>1</v>
      </c>
      <c r="H1064" s="7" t="n">
        <v>0</v>
      </c>
      <c r="I1064" s="7" t="n">
        <v>0</v>
      </c>
      <c r="J1064" s="7" t="n">
        <v>0</v>
      </c>
      <c r="K1064" s="7" t="n">
        <v>0</v>
      </c>
      <c r="L1064" s="7" t="n">
        <v>1</v>
      </c>
      <c r="M1064" s="7" t="n">
        <v>0</v>
      </c>
      <c r="N1064" s="7" t="n">
        <v>0</v>
      </c>
      <c r="O1064" s="7" t="n">
        <v>0</v>
      </c>
      <c r="P1064" s="8" t="n">
        <f aca="false">IF(E1064=0,0,G1064/E1064)</f>
        <v>0.333333333333333</v>
      </c>
      <c r="Q1064" s="8" t="n">
        <f aca="false">IF(E1064+N1064=0,0,(G1064+N1064)/(E1064+N1064))</f>
        <v>0.333333333333333</v>
      </c>
      <c r="R1064" s="8" t="n">
        <f aca="false">IF(E1064=0,0,L1064/E1064)</f>
        <v>0.333333333333333</v>
      </c>
      <c r="S1064" s="8" t="n">
        <f aca="false">R1064+Q1064</f>
        <v>0.666666666666667</v>
      </c>
      <c r="T1064" s="8" t="n">
        <f aca="false">R1064-P1064</f>
        <v>0</v>
      </c>
    </row>
    <row r="1065" customFormat="false" ht="14.25" hidden="false" customHeight="true" outlineLevel="0" collapsed="false">
      <c r="A1065" s="6" t="n">
        <v>2021</v>
      </c>
      <c r="B1065" s="6" t="s">
        <v>192</v>
      </c>
      <c r="C1065" s="6" t="s">
        <v>445</v>
      </c>
      <c r="D1065" s="7" t="n">
        <v>1</v>
      </c>
      <c r="E1065" s="7" t="n">
        <v>3</v>
      </c>
      <c r="F1065" s="7" t="n">
        <v>0</v>
      </c>
      <c r="G1065" s="7" t="n">
        <v>1</v>
      </c>
      <c r="H1065" s="7" t="n">
        <v>0</v>
      </c>
      <c r="I1065" s="7" t="n">
        <v>0</v>
      </c>
      <c r="J1065" s="7" t="n">
        <v>0</v>
      </c>
      <c r="K1065" s="7" t="n">
        <v>0</v>
      </c>
      <c r="L1065" s="7" t="n">
        <v>1</v>
      </c>
      <c r="M1065" s="7" t="n">
        <v>0</v>
      </c>
      <c r="N1065" s="7" t="n">
        <v>0</v>
      </c>
      <c r="O1065" s="7" t="n">
        <v>0</v>
      </c>
      <c r="P1065" s="8" t="n">
        <f aca="false">IF(E1065=0,0,G1065/E1065)</f>
        <v>0.333333333333333</v>
      </c>
      <c r="Q1065" s="8" t="n">
        <f aca="false">IF(E1065+N1065=0,0,(G1065+N1065)/(E1065+N1065))</f>
        <v>0.333333333333333</v>
      </c>
      <c r="R1065" s="8" t="n">
        <f aca="false">IF(E1065=0,0,L1065/E1065)</f>
        <v>0.333333333333333</v>
      </c>
      <c r="S1065" s="8" t="n">
        <f aca="false">R1065+Q1065</f>
        <v>0.666666666666667</v>
      </c>
      <c r="T1065" s="8" t="n">
        <f aca="false">R1065-P1065</f>
        <v>0</v>
      </c>
    </row>
    <row r="1066" customFormat="false" ht="14.25" hidden="false" customHeight="true" outlineLevel="0" collapsed="false">
      <c r="A1066" s="6" t="n">
        <v>2021</v>
      </c>
      <c r="B1066" s="6" t="s">
        <v>192</v>
      </c>
      <c r="C1066" s="6" t="s">
        <v>446</v>
      </c>
      <c r="D1066" s="7" t="n">
        <v>5</v>
      </c>
      <c r="E1066" s="7" t="n">
        <v>7</v>
      </c>
      <c r="F1066" s="7" t="n">
        <v>2</v>
      </c>
      <c r="G1066" s="7" t="n">
        <v>1</v>
      </c>
      <c r="H1066" s="7" t="n">
        <v>0</v>
      </c>
      <c r="I1066" s="7" t="n">
        <v>0</v>
      </c>
      <c r="J1066" s="7" t="n">
        <v>0</v>
      </c>
      <c r="K1066" s="7" t="n">
        <v>0</v>
      </c>
      <c r="L1066" s="7" t="n">
        <v>1</v>
      </c>
      <c r="M1066" s="7" t="n">
        <v>0</v>
      </c>
      <c r="N1066" s="7" t="n">
        <v>0</v>
      </c>
      <c r="O1066" s="7" t="n">
        <v>0</v>
      </c>
      <c r="P1066" s="8" t="n">
        <f aca="false">IF(E1066=0,0,G1066/E1066)</f>
        <v>0.142857142857143</v>
      </c>
      <c r="Q1066" s="8" t="n">
        <f aca="false">IF(E1066+N1066=0,0,(G1066+N1066)/(E1066+N1066))</f>
        <v>0.142857142857143</v>
      </c>
      <c r="R1066" s="8" t="n">
        <f aca="false">IF(E1066=0,0,L1066/E1066)</f>
        <v>0.142857142857143</v>
      </c>
      <c r="S1066" s="8" t="n">
        <f aca="false">R1066+Q1066</f>
        <v>0.285714285714286</v>
      </c>
      <c r="T1066" s="8" t="n">
        <f aca="false">R1066-P1066</f>
        <v>0</v>
      </c>
    </row>
    <row r="1067" customFormat="false" ht="14.25" hidden="false" customHeight="true" outlineLevel="0" collapsed="false">
      <c r="A1067" s="6" t="n">
        <v>2021</v>
      </c>
      <c r="B1067" s="6" t="s">
        <v>192</v>
      </c>
      <c r="C1067" s="6" t="s">
        <v>441</v>
      </c>
      <c r="D1067" s="7" t="n">
        <v>1</v>
      </c>
      <c r="E1067" s="7" t="n">
        <v>2</v>
      </c>
      <c r="F1067" s="7" t="n">
        <v>1</v>
      </c>
      <c r="G1067" s="7" t="n">
        <v>0</v>
      </c>
      <c r="H1067" s="7" t="n">
        <v>0</v>
      </c>
      <c r="I1067" s="7" t="n">
        <v>0</v>
      </c>
      <c r="J1067" s="7" t="n">
        <v>0</v>
      </c>
      <c r="K1067" s="7" t="n">
        <v>0</v>
      </c>
      <c r="L1067" s="7" t="n">
        <v>0</v>
      </c>
      <c r="M1067" s="7" t="n">
        <v>1</v>
      </c>
      <c r="N1067" s="7" t="n">
        <v>0</v>
      </c>
      <c r="O1067" s="7" t="n">
        <v>0</v>
      </c>
      <c r="P1067" s="8" t="n">
        <f aca="false">IF(E1067=0,0,G1067/E1067)</f>
        <v>0</v>
      </c>
      <c r="Q1067" s="8" t="n">
        <f aca="false">IF(E1067+N1067=0,0,(G1067+N1067)/(E1067+N1067))</f>
        <v>0</v>
      </c>
      <c r="R1067" s="8" t="n">
        <f aca="false">IF(E1067=0,0,L1067/E1067)</f>
        <v>0</v>
      </c>
      <c r="S1067" s="8" t="n">
        <f aca="false">R1067+Q1067</f>
        <v>0</v>
      </c>
      <c r="T1067" s="8" t="n">
        <f aca="false">R1067-P1067</f>
        <v>0</v>
      </c>
    </row>
    <row r="1068" customFormat="false" ht="14.25" hidden="false" customHeight="true" outlineLevel="0" collapsed="false">
      <c r="A1068" s="6" t="n">
        <v>2021</v>
      </c>
      <c r="B1068" s="6" t="s">
        <v>192</v>
      </c>
      <c r="C1068" s="6" t="s">
        <v>447</v>
      </c>
      <c r="D1068" s="7" t="n">
        <v>1</v>
      </c>
      <c r="E1068" s="7" t="n">
        <v>2</v>
      </c>
      <c r="F1068" s="7" t="n">
        <v>0</v>
      </c>
      <c r="G1068" s="7" t="n">
        <v>0</v>
      </c>
      <c r="H1068" s="7" t="n">
        <v>0</v>
      </c>
      <c r="I1068" s="7" t="n">
        <v>0</v>
      </c>
      <c r="J1068" s="7" t="n">
        <v>0</v>
      </c>
      <c r="K1068" s="7" t="n">
        <v>0</v>
      </c>
      <c r="L1068" s="7" t="n">
        <v>0</v>
      </c>
      <c r="M1068" s="7" t="n">
        <v>1</v>
      </c>
      <c r="N1068" s="7" t="n">
        <v>0</v>
      </c>
      <c r="O1068" s="7" t="n">
        <v>0</v>
      </c>
      <c r="P1068" s="8" t="n">
        <f aca="false">IF(E1068=0,0,G1068/E1068)</f>
        <v>0</v>
      </c>
      <c r="Q1068" s="8" t="n">
        <f aca="false">IF(E1068+N1068=0,0,(G1068+N1068)/(E1068+N1068))</f>
        <v>0</v>
      </c>
      <c r="R1068" s="8" t="n">
        <f aca="false">IF(E1068=0,0,L1068/E1068)</f>
        <v>0</v>
      </c>
      <c r="S1068" s="8" t="n">
        <f aca="false">R1068+Q1068</f>
        <v>0</v>
      </c>
      <c r="T1068" s="8" t="n">
        <f aca="false">R1068-P1068</f>
        <v>0</v>
      </c>
    </row>
    <row r="1069" customFormat="false" ht="14.25" hidden="false" customHeight="true" outlineLevel="0" collapsed="false">
      <c r="A1069" s="6" t="n">
        <v>2021</v>
      </c>
      <c r="B1069" s="6" t="s">
        <v>192</v>
      </c>
      <c r="C1069" s="6" t="s">
        <v>194</v>
      </c>
      <c r="D1069" s="7" t="n">
        <v>1</v>
      </c>
      <c r="E1069" s="7" t="n">
        <v>1</v>
      </c>
      <c r="F1069" s="7" t="n">
        <v>0</v>
      </c>
      <c r="G1069" s="7" t="n">
        <v>0</v>
      </c>
      <c r="H1069" s="7" t="n">
        <v>0</v>
      </c>
      <c r="I1069" s="7" t="n">
        <v>0</v>
      </c>
      <c r="J1069" s="7" t="n">
        <v>0</v>
      </c>
      <c r="K1069" s="7" t="n">
        <v>0</v>
      </c>
      <c r="L1069" s="7" t="n">
        <v>0</v>
      </c>
      <c r="M1069" s="7" t="n">
        <v>0</v>
      </c>
      <c r="N1069" s="7" t="n">
        <v>0</v>
      </c>
      <c r="O1069" s="7" t="n">
        <v>1</v>
      </c>
      <c r="P1069" s="8" t="n">
        <f aca="false">IF(E1069=0,0,G1069/E1069)</f>
        <v>0</v>
      </c>
      <c r="Q1069" s="8" t="n">
        <f aca="false">IF(E1069+N1069=0,0,(G1069+N1069)/(E1069+N1069))</f>
        <v>0</v>
      </c>
      <c r="R1069" s="8" t="n">
        <f aca="false">IF(E1069=0,0,L1069/E1069)</f>
        <v>0</v>
      </c>
      <c r="S1069" s="8" t="n">
        <f aca="false">R1069+Q1069</f>
        <v>0</v>
      </c>
      <c r="T1069" s="8" t="n">
        <f aca="false">R1069-P1069</f>
        <v>0</v>
      </c>
    </row>
    <row r="1070" customFormat="false" ht="14.25" hidden="false" customHeight="true" outlineLevel="0" collapsed="false">
      <c r="A1070" s="6" t="n">
        <v>2021</v>
      </c>
      <c r="B1070" s="6" t="s">
        <v>192</v>
      </c>
      <c r="C1070" s="6" t="s">
        <v>448</v>
      </c>
      <c r="D1070" s="7" t="n">
        <v>6</v>
      </c>
      <c r="E1070" s="7" t="n">
        <v>12</v>
      </c>
      <c r="F1070" s="7" t="n">
        <v>2</v>
      </c>
      <c r="G1070" s="7" t="n">
        <v>0</v>
      </c>
      <c r="H1070" s="7" t="n">
        <v>0</v>
      </c>
      <c r="I1070" s="7" t="n">
        <v>0</v>
      </c>
      <c r="J1070" s="7" t="n">
        <v>0</v>
      </c>
      <c r="K1070" s="7" t="n">
        <v>0</v>
      </c>
      <c r="L1070" s="7" t="n">
        <v>0</v>
      </c>
      <c r="M1070" s="7" t="n">
        <v>0</v>
      </c>
      <c r="N1070" s="7" t="n">
        <v>1</v>
      </c>
      <c r="O1070" s="7" t="n">
        <v>0</v>
      </c>
      <c r="P1070" s="8" t="n">
        <f aca="false">IF(E1070=0,0,G1070/E1070)</f>
        <v>0</v>
      </c>
      <c r="Q1070" s="8" t="n">
        <f aca="false">IF(E1070+N1070=0,0,(G1070+N1070)/(E1070+N1070))</f>
        <v>0.0769230769230769</v>
      </c>
      <c r="R1070" s="8" t="n">
        <f aca="false">IF(E1070=0,0,L1070/E1070)</f>
        <v>0</v>
      </c>
      <c r="S1070" s="8" t="n">
        <f aca="false">R1070+Q1070</f>
        <v>0.0769230769230769</v>
      </c>
      <c r="T1070" s="8" t="n">
        <f aca="false">R1070-P1070</f>
        <v>0</v>
      </c>
    </row>
    <row r="1071" customFormat="false" ht="14.25" hidden="false" customHeight="true" outlineLevel="0" collapsed="false">
      <c r="A1071" s="6" t="n">
        <v>2021</v>
      </c>
      <c r="B1071" s="6" t="s">
        <v>192</v>
      </c>
      <c r="C1071" s="6" t="s">
        <v>449</v>
      </c>
      <c r="D1071" s="7" t="n">
        <v>1</v>
      </c>
      <c r="E1071" s="7" t="n">
        <v>3</v>
      </c>
      <c r="F1071" s="7" t="n">
        <v>0</v>
      </c>
      <c r="G1071" s="7" t="n">
        <v>0</v>
      </c>
      <c r="H1071" s="7" t="n">
        <v>0</v>
      </c>
      <c r="I1071" s="7" t="n">
        <v>0</v>
      </c>
      <c r="J1071" s="7" t="n">
        <v>0</v>
      </c>
      <c r="K1071" s="7" t="n">
        <v>0</v>
      </c>
      <c r="L1071" s="7" t="n">
        <v>0</v>
      </c>
      <c r="M1071" s="7" t="n">
        <v>0</v>
      </c>
      <c r="N1071" s="7" t="n">
        <v>0</v>
      </c>
      <c r="O1071" s="7" t="n">
        <v>0</v>
      </c>
      <c r="P1071" s="8" t="n">
        <f aca="false">IF(E1071=0,0,G1071/E1071)</f>
        <v>0</v>
      </c>
      <c r="Q1071" s="8" t="n">
        <f aca="false">IF(E1071+N1071=0,0,(G1071+N1071)/(E1071+N1071))</f>
        <v>0</v>
      </c>
      <c r="R1071" s="8" t="n">
        <f aca="false">IF(E1071=0,0,L1071/E1071)</f>
        <v>0</v>
      </c>
      <c r="S1071" s="8" t="n">
        <f aca="false">R1071+Q1071</f>
        <v>0</v>
      </c>
      <c r="T1071" s="8" t="n">
        <f aca="false">R1071-P1071</f>
        <v>0</v>
      </c>
    </row>
    <row r="1072" customFormat="false" ht="14.25" hidden="false" customHeight="true" outlineLevel="0" collapsed="false">
      <c r="A1072" s="6" t="n">
        <v>2021</v>
      </c>
      <c r="B1072" s="6" t="s">
        <v>192</v>
      </c>
      <c r="C1072" s="6" t="s">
        <v>425</v>
      </c>
      <c r="D1072" s="7" t="n">
        <v>1</v>
      </c>
      <c r="E1072" s="7" t="n">
        <v>1</v>
      </c>
      <c r="F1072" s="7" t="n">
        <v>0</v>
      </c>
      <c r="G1072" s="7" t="n">
        <v>0</v>
      </c>
      <c r="H1072" s="7" t="n">
        <v>0</v>
      </c>
      <c r="I1072" s="7" t="n">
        <v>0</v>
      </c>
      <c r="J1072" s="7" t="n">
        <v>0</v>
      </c>
      <c r="K1072" s="7" t="n">
        <v>0</v>
      </c>
      <c r="L1072" s="7" t="n">
        <v>0</v>
      </c>
      <c r="M1072" s="7" t="n">
        <v>0</v>
      </c>
      <c r="N1072" s="7" t="n">
        <v>0</v>
      </c>
      <c r="O1072" s="7" t="n">
        <v>0</v>
      </c>
      <c r="P1072" s="8" t="n">
        <f aca="false">IF(E1072=0,0,G1072/E1072)</f>
        <v>0</v>
      </c>
      <c r="Q1072" s="8" t="n">
        <f aca="false">IF(E1072+N1072=0,0,(G1072+N1072)/(E1072+N1072))</f>
        <v>0</v>
      </c>
      <c r="R1072" s="8" t="n">
        <f aca="false">IF(E1072=0,0,L1072/E1072)</f>
        <v>0</v>
      </c>
      <c r="S1072" s="8" t="n">
        <f aca="false">R1072+Q1072</f>
        <v>0</v>
      </c>
      <c r="T1072" s="8" t="n">
        <f aca="false">R1072-P1072</f>
        <v>0</v>
      </c>
    </row>
    <row r="1073" customFormat="false" ht="14.25" hidden="false" customHeight="true" outlineLevel="0" collapsed="false">
      <c r="A1073" s="6" t="n">
        <v>2021</v>
      </c>
      <c r="B1073" s="6" t="s">
        <v>212</v>
      </c>
      <c r="C1073" s="6" t="s">
        <v>214</v>
      </c>
      <c r="D1073" s="7" t="n">
        <v>9</v>
      </c>
      <c r="E1073" s="7" t="n">
        <v>26</v>
      </c>
      <c r="F1073" s="7" t="n">
        <v>8</v>
      </c>
      <c r="G1073" s="7" t="n">
        <v>14</v>
      </c>
      <c r="H1073" s="7" t="n">
        <v>4</v>
      </c>
      <c r="I1073" s="7" t="n">
        <v>0</v>
      </c>
      <c r="J1073" s="7" t="n">
        <v>2</v>
      </c>
      <c r="K1073" s="7" t="n">
        <v>6</v>
      </c>
      <c r="L1073" s="7" t="n">
        <v>24</v>
      </c>
      <c r="M1073" s="7" t="n">
        <v>6</v>
      </c>
      <c r="N1073" s="7" t="n">
        <v>4</v>
      </c>
      <c r="O1073" s="7" t="n">
        <v>6</v>
      </c>
      <c r="P1073" s="8" t="n">
        <f aca="false">IF(E1073=0,0,G1073/E1073)</f>
        <v>0.538461538461538</v>
      </c>
      <c r="Q1073" s="8" t="n">
        <f aca="false">IF(E1073+N1073=0,0,(G1073+N1073)/(E1073+N1073))</f>
        <v>0.6</v>
      </c>
      <c r="R1073" s="8" t="n">
        <f aca="false">IF(E1073=0,0,L1073/E1073)</f>
        <v>0.923076923076923</v>
      </c>
      <c r="S1073" s="8" t="n">
        <f aca="false">R1073+Q1073</f>
        <v>1.52307692307692</v>
      </c>
      <c r="T1073" s="8" t="n">
        <f aca="false">R1073-P1073</f>
        <v>0.384615384615385</v>
      </c>
    </row>
    <row r="1074" customFormat="false" ht="14.25" hidden="false" customHeight="true" outlineLevel="0" collapsed="false">
      <c r="A1074" s="6" t="n">
        <v>2021</v>
      </c>
      <c r="B1074" s="6" t="s">
        <v>212</v>
      </c>
      <c r="C1074" s="6" t="s">
        <v>213</v>
      </c>
      <c r="D1074" s="7" t="n">
        <v>9</v>
      </c>
      <c r="E1074" s="7" t="n">
        <v>25</v>
      </c>
      <c r="F1074" s="7" t="n">
        <v>5</v>
      </c>
      <c r="G1074" s="7" t="n">
        <v>11</v>
      </c>
      <c r="H1074" s="7" t="n">
        <v>4</v>
      </c>
      <c r="I1074" s="7" t="n">
        <v>0</v>
      </c>
      <c r="J1074" s="7" t="n">
        <v>0</v>
      </c>
      <c r="K1074" s="7" t="n">
        <v>4</v>
      </c>
      <c r="L1074" s="7" t="n">
        <v>15</v>
      </c>
      <c r="M1074" s="7" t="n">
        <v>5</v>
      </c>
      <c r="N1074" s="7" t="n">
        <v>5</v>
      </c>
      <c r="O1074" s="7" t="n">
        <v>3</v>
      </c>
      <c r="P1074" s="8" t="n">
        <f aca="false">IF(E1074=0,0,G1074/E1074)</f>
        <v>0.44</v>
      </c>
      <c r="Q1074" s="8" t="n">
        <f aca="false">IF(E1074+N1074=0,0,(G1074+N1074)/(E1074+N1074))</f>
        <v>0.533333333333333</v>
      </c>
      <c r="R1074" s="8" t="n">
        <f aca="false">IF(E1074=0,0,L1074/E1074)</f>
        <v>0.6</v>
      </c>
      <c r="S1074" s="8" t="n">
        <f aca="false">R1074+Q1074</f>
        <v>1.13333333333333</v>
      </c>
      <c r="T1074" s="8" t="n">
        <f aca="false">R1074-P1074</f>
        <v>0.16</v>
      </c>
    </row>
    <row r="1075" customFormat="false" ht="14.25" hidden="false" customHeight="true" outlineLevel="0" collapsed="false">
      <c r="A1075" s="6" t="n">
        <v>2021</v>
      </c>
      <c r="B1075" s="6" t="s">
        <v>212</v>
      </c>
      <c r="C1075" s="6" t="s">
        <v>85</v>
      </c>
      <c r="D1075" s="7" t="n">
        <v>5</v>
      </c>
      <c r="E1075" s="7" t="n">
        <v>17</v>
      </c>
      <c r="F1075" s="7" t="n">
        <v>4</v>
      </c>
      <c r="G1075" s="7" t="n">
        <v>7</v>
      </c>
      <c r="H1075" s="7" t="n">
        <v>0</v>
      </c>
      <c r="I1075" s="7" t="n">
        <v>1</v>
      </c>
      <c r="J1075" s="7" t="n">
        <v>1</v>
      </c>
      <c r="K1075" s="7" t="n">
        <v>2</v>
      </c>
      <c r="L1075" s="7" t="n">
        <v>12</v>
      </c>
      <c r="M1075" s="7" t="n">
        <v>1</v>
      </c>
      <c r="N1075" s="7" t="n">
        <v>1</v>
      </c>
      <c r="O1075" s="7" t="n">
        <v>0</v>
      </c>
      <c r="P1075" s="8" t="n">
        <f aca="false">IF(E1075=0,0,G1075/E1075)</f>
        <v>0.411764705882353</v>
      </c>
      <c r="Q1075" s="8" t="n">
        <f aca="false">IF(E1075+N1075=0,0,(G1075+N1075)/(E1075+N1075))</f>
        <v>0.444444444444444</v>
      </c>
      <c r="R1075" s="8" t="n">
        <f aca="false">IF(E1075=0,0,L1075/E1075)</f>
        <v>0.705882352941177</v>
      </c>
      <c r="S1075" s="8" t="n">
        <f aca="false">R1075+Q1075</f>
        <v>1.15032679738562</v>
      </c>
      <c r="T1075" s="8" t="n">
        <f aca="false">R1075-P1075</f>
        <v>0.294117647058824</v>
      </c>
    </row>
    <row r="1076" customFormat="false" ht="14.25" hidden="false" customHeight="true" outlineLevel="0" collapsed="false">
      <c r="A1076" s="6" t="n">
        <v>2021</v>
      </c>
      <c r="B1076" s="6" t="s">
        <v>212</v>
      </c>
      <c r="C1076" s="6" t="s">
        <v>215</v>
      </c>
      <c r="D1076" s="7" t="n">
        <v>7</v>
      </c>
      <c r="E1076" s="7" t="n">
        <v>19</v>
      </c>
      <c r="F1076" s="7" t="n">
        <v>4</v>
      </c>
      <c r="G1076" s="7" t="n">
        <v>6</v>
      </c>
      <c r="H1076" s="7" t="n">
        <v>0</v>
      </c>
      <c r="I1076" s="7" t="n">
        <v>0</v>
      </c>
      <c r="J1076" s="7" t="n">
        <v>4</v>
      </c>
      <c r="K1076" s="7" t="n">
        <v>4</v>
      </c>
      <c r="L1076" s="7" t="n">
        <v>18</v>
      </c>
      <c r="M1076" s="7" t="n">
        <v>10</v>
      </c>
      <c r="N1076" s="7" t="n">
        <v>0</v>
      </c>
      <c r="O1076" s="7" t="n">
        <v>1</v>
      </c>
      <c r="P1076" s="8" t="n">
        <f aca="false">IF(E1076=0,0,G1076/E1076)</f>
        <v>0.315789473684211</v>
      </c>
      <c r="Q1076" s="8" t="n">
        <f aca="false">IF(E1076+N1076=0,0,(G1076+N1076)/(E1076+N1076))</f>
        <v>0.315789473684211</v>
      </c>
      <c r="R1076" s="8" t="n">
        <f aca="false">IF(E1076=0,0,L1076/E1076)</f>
        <v>0.947368421052632</v>
      </c>
      <c r="S1076" s="8" t="n">
        <f aca="false">R1076+Q1076</f>
        <v>1.26315789473684</v>
      </c>
      <c r="T1076" s="8" t="n">
        <f aca="false">R1076-P1076</f>
        <v>0.631578947368421</v>
      </c>
    </row>
    <row r="1077" customFormat="false" ht="14.25" hidden="false" customHeight="true" outlineLevel="0" collapsed="false">
      <c r="A1077" s="6" t="n">
        <v>2021</v>
      </c>
      <c r="B1077" s="6" t="s">
        <v>212</v>
      </c>
      <c r="C1077" s="6" t="s">
        <v>450</v>
      </c>
      <c r="D1077" s="7" t="n">
        <v>7</v>
      </c>
      <c r="E1077" s="7" t="n">
        <v>19</v>
      </c>
      <c r="F1077" s="7" t="n">
        <v>3</v>
      </c>
      <c r="G1077" s="7" t="n">
        <v>6</v>
      </c>
      <c r="H1077" s="7" t="n">
        <v>0</v>
      </c>
      <c r="I1077" s="7" t="n">
        <v>0</v>
      </c>
      <c r="J1077" s="7" t="n">
        <v>1</v>
      </c>
      <c r="K1077" s="7" t="n">
        <v>1</v>
      </c>
      <c r="L1077" s="7" t="n">
        <v>9</v>
      </c>
      <c r="M1077" s="7" t="n">
        <v>2</v>
      </c>
      <c r="N1077" s="7" t="n">
        <v>1</v>
      </c>
      <c r="O1077" s="7" t="n">
        <v>1</v>
      </c>
      <c r="P1077" s="8" t="n">
        <f aca="false">IF(E1077=0,0,G1077/E1077)</f>
        <v>0.315789473684211</v>
      </c>
      <c r="Q1077" s="8" t="n">
        <f aca="false">IF(E1077+N1077=0,0,(G1077+N1077)/(E1077+N1077))</f>
        <v>0.35</v>
      </c>
      <c r="R1077" s="8" t="n">
        <f aca="false">IF(E1077=0,0,L1077/E1077)</f>
        <v>0.473684210526316</v>
      </c>
      <c r="S1077" s="8" t="n">
        <f aca="false">R1077+Q1077</f>
        <v>0.823684210526316</v>
      </c>
      <c r="T1077" s="8" t="n">
        <f aca="false">R1077-P1077</f>
        <v>0.157894736842105</v>
      </c>
    </row>
    <row r="1078" customFormat="false" ht="14.25" hidden="false" customHeight="true" outlineLevel="0" collapsed="false">
      <c r="A1078" s="6" t="n">
        <v>2021</v>
      </c>
      <c r="B1078" s="6" t="s">
        <v>212</v>
      </c>
      <c r="C1078" s="6" t="s">
        <v>325</v>
      </c>
      <c r="D1078" s="7" t="n">
        <v>4</v>
      </c>
      <c r="E1078" s="7" t="n">
        <v>14</v>
      </c>
      <c r="F1078" s="7" t="n">
        <v>4</v>
      </c>
      <c r="G1078" s="7" t="n">
        <v>4</v>
      </c>
      <c r="H1078" s="7" t="n">
        <v>0</v>
      </c>
      <c r="I1078" s="7" t="n">
        <v>0</v>
      </c>
      <c r="J1078" s="7" t="n">
        <v>1</v>
      </c>
      <c r="K1078" s="7" t="n">
        <v>1</v>
      </c>
      <c r="L1078" s="7" t="n">
        <v>7</v>
      </c>
      <c r="M1078" s="7" t="n">
        <v>3</v>
      </c>
      <c r="N1078" s="7" t="n">
        <v>1</v>
      </c>
      <c r="O1078" s="7" t="n">
        <v>0</v>
      </c>
      <c r="P1078" s="8" t="n">
        <f aca="false">IF(E1078=0,0,G1078/E1078)</f>
        <v>0.285714285714286</v>
      </c>
      <c r="Q1078" s="8" t="n">
        <f aca="false">IF(E1078+N1078=0,0,(G1078+N1078)/(E1078+N1078))</f>
        <v>0.333333333333333</v>
      </c>
      <c r="R1078" s="8" t="n">
        <f aca="false">IF(E1078=0,0,L1078/E1078)</f>
        <v>0.5</v>
      </c>
      <c r="S1078" s="8" t="n">
        <f aca="false">R1078+Q1078</f>
        <v>0.833333333333333</v>
      </c>
      <c r="T1078" s="8" t="n">
        <f aca="false">R1078-P1078</f>
        <v>0.214285714285714</v>
      </c>
    </row>
    <row r="1079" customFormat="false" ht="14.25" hidden="false" customHeight="true" outlineLevel="0" collapsed="false">
      <c r="A1079" s="6" t="n">
        <v>2021</v>
      </c>
      <c r="B1079" s="6" t="s">
        <v>212</v>
      </c>
      <c r="C1079" s="6" t="s">
        <v>451</v>
      </c>
      <c r="D1079" s="7" t="n">
        <v>8</v>
      </c>
      <c r="E1079" s="7" t="n">
        <v>23</v>
      </c>
      <c r="F1079" s="7" t="n">
        <v>0</v>
      </c>
      <c r="G1079" s="7" t="n">
        <v>4</v>
      </c>
      <c r="H1079" s="7" t="n">
        <v>3</v>
      </c>
      <c r="I1079" s="7" t="n">
        <v>0</v>
      </c>
      <c r="J1079" s="7" t="n">
        <v>0</v>
      </c>
      <c r="K1079" s="7" t="n">
        <v>3</v>
      </c>
      <c r="L1079" s="7" t="n">
        <v>7</v>
      </c>
      <c r="M1079" s="7" t="n">
        <v>5</v>
      </c>
      <c r="N1079" s="7" t="n">
        <v>2</v>
      </c>
      <c r="O1079" s="7" t="n">
        <v>5</v>
      </c>
      <c r="P1079" s="8" t="n">
        <f aca="false">IF(E1079=0,0,G1079/E1079)</f>
        <v>0.173913043478261</v>
      </c>
      <c r="Q1079" s="8" t="n">
        <f aca="false">IF(E1079+N1079=0,0,(G1079+N1079)/(E1079+N1079))</f>
        <v>0.24</v>
      </c>
      <c r="R1079" s="8" t="n">
        <f aca="false">IF(E1079=0,0,L1079/E1079)</f>
        <v>0.304347826086957</v>
      </c>
      <c r="S1079" s="8" t="n">
        <f aca="false">R1079+Q1079</f>
        <v>0.544347826086957</v>
      </c>
      <c r="T1079" s="8" t="n">
        <f aca="false">R1079-P1079</f>
        <v>0.130434782608696</v>
      </c>
    </row>
    <row r="1080" customFormat="false" ht="14.25" hidden="false" customHeight="true" outlineLevel="0" collapsed="false">
      <c r="A1080" s="6" t="n">
        <v>2021</v>
      </c>
      <c r="B1080" s="6" t="s">
        <v>212</v>
      </c>
      <c r="C1080" s="6" t="s">
        <v>219</v>
      </c>
      <c r="D1080" s="7" t="n">
        <v>9</v>
      </c>
      <c r="E1080" s="7" t="n">
        <v>23</v>
      </c>
      <c r="F1080" s="7" t="n">
        <v>2</v>
      </c>
      <c r="G1080" s="7" t="n">
        <v>4</v>
      </c>
      <c r="H1080" s="7" t="n">
        <v>0</v>
      </c>
      <c r="I1080" s="7" t="n">
        <v>0</v>
      </c>
      <c r="J1080" s="7" t="n">
        <v>0</v>
      </c>
      <c r="K1080" s="7" t="n">
        <v>0</v>
      </c>
      <c r="L1080" s="7" t="n">
        <v>4</v>
      </c>
      <c r="M1080" s="7" t="n">
        <v>1</v>
      </c>
      <c r="N1080" s="7" t="n">
        <v>3</v>
      </c>
      <c r="O1080" s="7" t="n">
        <v>3</v>
      </c>
      <c r="P1080" s="8" t="n">
        <f aca="false">IF(E1080=0,0,G1080/E1080)</f>
        <v>0.173913043478261</v>
      </c>
      <c r="Q1080" s="8" t="n">
        <f aca="false">IF(E1080+N1080=0,0,(G1080+N1080)/(E1080+N1080))</f>
        <v>0.269230769230769</v>
      </c>
      <c r="R1080" s="8" t="n">
        <f aca="false">IF(E1080=0,0,L1080/E1080)</f>
        <v>0.173913043478261</v>
      </c>
      <c r="S1080" s="8" t="n">
        <f aca="false">R1080+Q1080</f>
        <v>0.44314381270903</v>
      </c>
      <c r="T1080" s="8" t="n">
        <f aca="false">R1080-P1080</f>
        <v>0</v>
      </c>
    </row>
    <row r="1081" customFormat="false" ht="14.25" hidden="false" customHeight="true" outlineLevel="0" collapsed="false">
      <c r="A1081" s="6" t="n">
        <v>2021</v>
      </c>
      <c r="B1081" s="6" t="s">
        <v>212</v>
      </c>
      <c r="C1081" s="6" t="s">
        <v>452</v>
      </c>
      <c r="D1081" s="7" t="n">
        <v>5</v>
      </c>
      <c r="E1081" s="7" t="n">
        <v>14</v>
      </c>
      <c r="F1081" s="7" t="n">
        <v>1</v>
      </c>
      <c r="G1081" s="7" t="n">
        <v>3</v>
      </c>
      <c r="H1081" s="7" t="n">
        <v>1</v>
      </c>
      <c r="I1081" s="7" t="n">
        <v>0</v>
      </c>
      <c r="J1081" s="7" t="n">
        <v>0</v>
      </c>
      <c r="K1081" s="7" t="n">
        <v>1</v>
      </c>
      <c r="L1081" s="7" t="n">
        <v>4</v>
      </c>
      <c r="M1081" s="7" t="n">
        <v>0</v>
      </c>
      <c r="N1081" s="7" t="n">
        <v>0</v>
      </c>
      <c r="O1081" s="7" t="n">
        <v>5</v>
      </c>
      <c r="P1081" s="8" t="n">
        <f aca="false">IF(E1081=0,0,G1081/E1081)</f>
        <v>0.214285714285714</v>
      </c>
      <c r="Q1081" s="8" t="n">
        <f aca="false">IF(E1081+N1081=0,0,(G1081+N1081)/(E1081+N1081))</f>
        <v>0.214285714285714</v>
      </c>
      <c r="R1081" s="8" t="n">
        <f aca="false">IF(E1081=0,0,L1081/E1081)</f>
        <v>0.285714285714286</v>
      </c>
      <c r="S1081" s="8" t="n">
        <f aca="false">R1081+Q1081</f>
        <v>0.5</v>
      </c>
      <c r="T1081" s="8" t="n">
        <f aca="false">R1081-P1081</f>
        <v>0.0714285714285714</v>
      </c>
    </row>
    <row r="1082" customFormat="false" ht="14.25" hidden="false" customHeight="true" outlineLevel="0" collapsed="false">
      <c r="A1082" s="6" t="n">
        <v>2021</v>
      </c>
      <c r="B1082" s="6" t="s">
        <v>212</v>
      </c>
      <c r="C1082" s="6" t="s">
        <v>226</v>
      </c>
      <c r="D1082" s="7" t="n">
        <v>3</v>
      </c>
      <c r="E1082" s="7" t="n">
        <v>10</v>
      </c>
      <c r="F1082" s="7" t="n">
        <v>5</v>
      </c>
      <c r="G1082" s="7" t="n">
        <v>3</v>
      </c>
      <c r="H1082" s="7" t="n">
        <v>1</v>
      </c>
      <c r="I1082" s="7" t="n">
        <v>0</v>
      </c>
      <c r="J1082" s="7" t="n">
        <v>0</v>
      </c>
      <c r="K1082" s="7" t="n">
        <v>1</v>
      </c>
      <c r="L1082" s="7" t="n">
        <v>4</v>
      </c>
      <c r="M1082" s="7" t="n">
        <v>0</v>
      </c>
      <c r="N1082" s="7" t="n">
        <v>2</v>
      </c>
      <c r="O1082" s="7" t="n">
        <v>1</v>
      </c>
      <c r="P1082" s="8" t="n">
        <f aca="false">IF(E1082=0,0,G1082/E1082)</f>
        <v>0.3</v>
      </c>
      <c r="Q1082" s="8" t="n">
        <f aca="false">IF(E1082+N1082=0,0,(G1082+N1082)/(E1082+N1082))</f>
        <v>0.416666666666667</v>
      </c>
      <c r="R1082" s="8" t="n">
        <f aca="false">IF(E1082=0,0,L1082/E1082)</f>
        <v>0.4</v>
      </c>
      <c r="S1082" s="8" t="n">
        <f aca="false">R1082+Q1082</f>
        <v>0.816666666666667</v>
      </c>
      <c r="T1082" s="8" t="n">
        <f aca="false">R1082-P1082</f>
        <v>0.1</v>
      </c>
    </row>
    <row r="1083" customFormat="false" ht="14.25" hidden="false" customHeight="true" outlineLevel="0" collapsed="false">
      <c r="A1083" s="6" t="n">
        <v>2021</v>
      </c>
      <c r="B1083" s="6" t="s">
        <v>212</v>
      </c>
      <c r="C1083" s="6" t="s">
        <v>231</v>
      </c>
      <c r="D1083" s="7" t="n">
        <v>4</v>
      </c>
      <c r="E1083" s="7" t="n">
        <v>11</v>
      </c>
      <c r="F1083" s="7" t="n">
        <v>1</v>
      </c>
      <c r="G1083" s="7" t="n">
        <v>3</v>
      </c>
      <c r="H1083" s="7" t="n">
        <v>1</v>
      </c>
      <c r="I1083" s="7" t="n">
        <v>0</v>
      </c>
      <c r="J1083" s="7" t="n">
        <v>0</v>
      </c>
      <c r="K1083" s="7" t="n">
        <v>1</v>
      </c>
      <c r="L1083" s="7" t="n">
        <v>4</v>
      </c>
      <c r="M1083" s="7" t="n">
        <v>0</v>
      </c>
      <c r="N1083" s="7" t="n">
        <v>1</v>
      </c>
      <c r="O1083" s="7" t="n">
        <v>1</v>
      </c>
      <c r="P1083" s="8" t="n">
        <f aca="false">IF(E1083=0,0,G1083/E1083)</f>
        <v>0.272727272727273</v>
      </c>
      <c r="Q1083" s="8" t="n">
        <f aca="false">IF(E1083+N1083=0,0,(G1083+N1083)/(E1083+N1083))</f>
        <v>0.333333333333333</v>
      </c>
      <c r="R1083" s="8" t="n">
        <f aca="false">IF(E1083=0,0,L1083/E1083)</f>
        <v>0.363636363636364</v>
      </c>
      <c r="S1083" s="8" t="n">
        <f aca="false">R1083+Q1083</f>
        <v>0.696969696969697</v>
      </c>
      <c r="T1083" s="8" t="n">
        <f aca="false">R1083-P1083</f>
        <v>0.0909090909090909</v>
      </c>
    </row>
    <row r="1084" customFormat="false" ht="14.25" hidden="false" customHeight="true" outlineLevel="0" collapsed="false">
      <c r="A1084" s="6" t="n">
        <v>2021</v>
      </c>
      <c r="B1084" s="6" t="s">
        <v>212</v>
      </c>
      <c r="C1084" s="6" t="s">
        <v>222</v>
      </c>
      <c r="D1084" s="7" t="n">
        <v>3</v>
      </c>
      <c r="E1084" s="7" t="n">
        <v>8</v>
      </c>
      <c r="F1084" s="7" t="n">
        <v>3</v>
      </c>
      <c r="G1084" s="7" t="n">
        <v>2</v>
      </c>
      <c r="H1084" s="7" t="n">
        <v>0</v>
      </c>
      <c r="I1084" s="7" t="n">
        <v>0</v>
      </c>
      <c r="J1084" s="7" t="n">
        <v>0</v>
      </c>
      <c r="K1084" s="7" t="n">
        <v>0</v>
      </c>
      <c r="L1084" s="7" t="n">
        <v>2</v>
      </c>
      <c r="M1084" s="7" t="n">
        <v>2</v>
      </c>
      <c r="N1084" s="7" t="n">
        <v>1</v>
      </c>
      <c r="O1084" s="7" t="n">
        <v>0</v>
      </c>
      <c r="P1084" s="8" t="n">
        <f aca="false">IF(E1084=0,0,G1084/E1084)</f>
        <v>0.25</v>
      </c>
      <c r="Q1084" s="8" t="n">
        <f aca="false">IF(E1084+N1084=0,0,(G1084+N1084)/(E1084+N1084))</f>
        <v>0.333333333333333</v>
      </c>
      <c r="R1084" s="8" t="n">
        <f aca="false">IF(E1084=0,0,L1084/E1084)</f>
        <v>0.25</v>
      </c>
      <c r="S1084" s="8" t="n">
        <f aca="false">R1084+Q1084</f>
        <v>0.583333333333333</v>
      </c>
      <c r="T1084" s="8" t="n">
        <f aca="false">R1084-P1084</f>
        <v>0</v>
      </c>
    </row>
    <row r="1085" customFormat="false" ht="14.25" hidden="false" customHeight="true" outlineLevel="0" collapsed="false">
      <c r="A1085" s="6" t="n">
        <v>2021</v>
      </c>
      <c r="B1085" s="6" t="s">
        <v>212</v>
      </c>
      <c r="C1085" s="6" t="s">
        <v>232</v>
      </c>
      <c r="D1085" s="7" t="n">
        <v>1</v>
      </c>
      <c r="E1085" s="7" t="n">
        <v>3</v>
      </c>
      <c r="F1085" s="7" t="n">
        <v>1</v>
      </c>
      <c r="G1085" s="7" t="n">
        <v>1</v>
      </c>
      <c r="H1085" s="7" t="n">
        <v>1</v>
      </c>
      <c r="I1085" s="7" t="n">
        <v>0</v>
      </c>
      <c r="J1085" s="7" t="n">
        <v>0</v>
      </c>
      <c r="K1085" s="7" t="n">
        <v>1</v>
      </c>
      <c r="L1085" s="7" t="n">
        <v>2</v>
      </c>
      <c r="M1085" s="7" t="n">
        <v>1</v>
      </c>
      <c r="N1085" s="7" t="n">
        <v>0</v>
      </c>
      <c r="O1085" s="7" t="n">
        <v>1</v>
      </c>
      <c r="P1085" s="8" t="n">
        <f aca="false">IF(E1085=0,0,G1085/E1085)</f>
        <v>0.333333333333333</v>
      </c>
      <c r="Q1085" s="8" t="n">
        <f aca="false">IF(E1085+N1085=0,0,(G1085+N1085)/(E1085+N1085))</f>
        <v>0.333333333333333</v>
      </c>
      <c r="R1085" s="8" t="n">
        <f aca="false">IF(E1085=0,0,L1085/E1085)</f>
        <v>0.666666666666667</v>
      </c>
      <c r="S1085" s="8" t="n">
        <f aca="false">R1085+Q1085</f>
        <v>1</v>
      </c>
      <c r="T1085" s="8" t="n">
        <f aca="false">R1085-P1085</f>
        <v>0.333333333333333</v>
      </c>
    </row>
    <row r="1086" customFormat="false" ht="14.25" hidden="false" customHeight="true" outlineLevel="0" collapsed="false">
      <c r="A1086" s="6" t="n">
        <v>2021</v>
      </c>
      <c r="B1086" s="6" t="s">
        <v>212</v>
      </c>
      <c r="C1086" s="6" t="s">
        <v>453</v>
      </c>
      <c r="D1086" s="7" t="n">
        <v>1</v>
      </c>
      <c r="E1086" s="7" t="n">
        <v>4</v>
      </c>
      <c r="F1086" s="7" t="n">
        <v>0</v>
      </c>
      <c r="G1086" s="7" t="n">
        <v>1</v>
      </c>
      <c r="H1086" s="7" t="n">
        <v>1</v>
      </c>
      <c r="I1086" s="7" t="n">
        <v>0</v>
      </c>
      <c r="J1086" s="7" t="n">
        <v>0</v>
      </c>
      <c r="K1086" s="7" t="n">
        <v>1</v>
      </c>
      <c r="L1086" s="7" t="n">
        <v>2</v>
      </c>
      <c r="M1086" s="7" t="n">
        <v>0</v>
      </c>
      <c r="N1086" s="7" t="n">
        <v>0</v>
      </c>
      <c r="O1086" s="7" t="n">
        <v>0</v>
      </c>
      <c r="P1086" s="8" t="n">
        <f aca="false">IF(E1086=0,0,G1086/E1086)</f>
        <v>0.25</v>
      </c>
      <c r="Q1086" s="8" t="n">
        <f aca="false">IF(E1086+N1086=0,0,(G1086+N1086)/(E1086+N1086))</f>
        <v>0.25</v>
      </c>
      <c r="R1086" s="8" t="n">
        <f aca="false">IF(E1086=0,0,L1086/E1086)</f>
        <v>0.5</v>
      </c>
      <c r="S1086" s="8" t="n">
        <f aca="false">R1086+Q1086</f>
        <v>0.75</v>
      </c>
      <c r="T1086" s="8" t="n">
        <f aca="false">R1086-P1086</f>
        <v>0.25</v>
      </c>
    </row>
    <row r="1087" customFormat="false" ht="14.25" hidden="false" customHeight="true" outlineLevel="0" collapsed="false">
      <c r="A1087" s="6" t="n">
        <v>2021</v>
      </c>
      <c r="B1087" s="6" t="s">
        <v>212</v>
      </c>
      <c r="C1087" s="6" t="s">
        <v>216</v>
      </c>
      <c r="D1087" s="7" t="n">
        <v>2</v>
      </c>
      <c r="E1087" s="7" t="n">
        <v>6</v>
      </c>
      <c r="F1087" s="7" t="n">
        <v>0</v>
      </c>
      <c r="G1087" s="7" t="n">
        <v>1</v>
      </c>
      <c r="H1087" s="7" t="n">
        <v>1</v>
      </c>
      <c r="I1087" s="7" t="n">
        <v>0</v>
      </c>
      <c r="J1087" s="7" t="n">
        <v>0</v>
      </c>
      <c r="K1087" s="7" t="n">
        <v>1</v>
      </c>
      <c r="L1087" s="7" t="n">
        <v>2</v>
      </c>
      <c r="M1087" s="7" t="n">
        <v>0</v>
      </c>
      <c r="N1087" s="7" t="n">
        <v>0</v>
      </c>
      <c r="O1087" s="7" t="n">
        <v>0</v>
      </c>
      <c r="P1087" s="8" t="n">
        <f aca="false">IF(E1087=0,0,G1087/E1087)</f>
        <v>0.166666666666667</v>
      </c>
      <c r="Q1087" s="8" t="n">
        <f aca="false">IF(E1087+N1087=0,0,(G1087+N1087)/(E1087+N1087))</f>
        <v>0.166666666666667</v>
      </c>
      <c r="R1087" s="8" t="n">
        <f aca="false">IF(E1087=0,0,L1087/E1087)</f>
        <v>0.333333333333333</v>
      </c>
      <c r="S1087" s="8" t="n">
        <f aca="false">R1087+Q1087</f>
        <v>0.5</v>
      </c>
      <c r="T1087" s="8" t="n">
        <f aca="false">R1087-P1087</f>
        <v>0.166666666666667</v>
      </c>
    </row>
    <row r="1088" customFormat="false" ht="14.25" hidden="false" customHeight="true" outlineLevel="0" collapsed="false">
      <c r="A1088" s="6" t="n">
        <v>2021</v>
      </c>
      <c r="B1088" s="6" t="s">
        <v>212</v>
      </c>
      <c r="C1088" s="6" t="s">
        <v>364</v>
      </c>
      <c r="D1088" s="7" t="n">
        <v>3</v>
      </c>
      <c r="E1088" s="7" t="n">
        <v>8</v>
      </c>
      <c r="F1088" s="7" t="n">
        <v>0</v>
      </c>
      <c r="G1088" s="7" t="n">
        <v>1</v>
      </c>
      <c r="H1088" s="7" t="n">
        <v>0</v>
      </c>
      <c r="I1088" s="7" t="n">
        <v>0</v>
      </c>
      <c r="J1088" s="7" t="n">
        <v>0</v>
      </c>
      <c r="K1088" s="7" t="n">
        <v>0</v>
      </c>
      <c r="L1088" s="7" t="n">
        <v>1</v>
      </c>
      <c r="M1088" s="7" t="n">
        <v>1</v>
      </c>
      <c r="N1088" s="7" t="n">
        <v>0</v>
      </c>
      <c r="O1088" s="7" t="n">
        <v>0</v>
      </c>
      <c r="P1088" s="8" t="n">
        <f aca="false">IF(E1088=0,0,G1088/E1088)</f>
        <v>0.125</v>
      </c>
      <c r="Q1088" s="8" t="n">
        <f aca="false">IF(E1088+N1088=0,0,(G1088+N1088)/(E1088+N1088))</f>
        <v>0.125</v>
      </c>
      <c r="R1088" s="8" t="n">
        <f aca="false">IF(E1088=0,0,L1088/E1088)</f>
        <v>0.125</v>
      </c>
      <c r="S1088" s="8" t="n">
        <f aca="false">R1088+Q1088</f>
        <v>0.25</v>
      </c>
      <c r="T1088" s="8" t="n">
        <f aca="false">R1088-P1088</f>
        <v>0</v>
      </c>
    </row>
    <row r="1089" customFormat="false" ht="14.25" hidden="false" customHeight="true" outlineLevel="0" collapsed="false">
      <c r="A1089" s="6" t="n">
        <v>2021</v>
      </c>
      <c r="B1089" s="6" t="s">
        <v>212</v>
      </c>
      <c r="C1089" s="6" t="s">
        <v>363</v>
      </c>
      <c r="D1089" s="7" t="n">
        <v>7</v>
      </c>
      <c r="E1089" s="7" t="n">
        <v>20</v>
      </c>
      <c r="F1089" s="7" t="n">
        <v>1</v>
      </c>
      <c r="G1089" s="7" t="n">
        <v>1</v>
      </c>
      <c r="H1089" s="7" t="n">
        <v>0</v>
      </c>
      <c r="I1089" s="7" t="n">
        <v>0</v>
      </c>
      <c r="J1089" s="7" t="n">
        <v>0</v>
      </c>
      <c r="K1089" s="7" t="n">
        <v>0</v>
      </c>
      <c r="L1089" s="7" t="n">
        <v>1</v>
      </c>
      <c r="M1089" s="7" t="n">
        <v>0</v>
      </c>
      <c r="N1089" s="7" t="n">
        <v>2</v>
      </c>
      <c r="O1089" s="7" t="n">
        <v>0</v>
      </c>
      <c r="P1089" s="8" t="n">
        <f aca="false">IF(E1089=0,0,G1089/E1089)</f>
        <v>0.05</v>
      </c>
      <c r="Q1089" s="8" t="n">
        <f aca="false">IF(E1089+N1089=0,0,(G1089+N1089)/(E1089+N1089))</f>
        <v>0.136363636363636</v>
      </c>
      <c r="R1089" s="8" t="n">
        <f aca="false">IF(E1089=0,0,L1089/E1089)</f>
        <v>0.05</v>
      </c>
      <c r="S1089" s="8" t="n">
        <f aca="false">R1089+Q1089</f>
        <v>0.186363636363636</v>
      </c>
      <c r="T1089" s="8" t="n">
        <f aca="false">R1089-P1089</f>
        <v>0</v>
      </c>
    </row>
    <row r="1090" customFormat="false" ht="14.25" hidden="false" customHeight="true" outlineLevel="0" collapsed="false">
      <c r="A1090" s="6" t="n">
        <v>2021</v>
      </c>
      <c r="B1090" s="6" t="s">
        <v>212</v>
      </c>
      <c r="C1090" s="6" t="s">
        <v>233</v>
      </c>
      <c r="D1090" s="7" t="n">
        <v>1</v>
      </c>
      <c r="E1090" s="7" t="n">
        <v>2</v>
      </c>
      <c r="F1090" s="7" t="n">
        <v>0</v>
      </c>
      <c r="G1090" s="7" t="n">
        <v>1</v>
      </c>
      <c r="H1090" s="7" t="n">
        <v>0</v>
      </c>
      <c r="I1090" s="7" t="n">
        <v>0</v>
      </c>
      <c r="J1090" s="7" t="n">
        <v>0</v>
      </c>
      <c r="K1090" s="7" t="n">
        <v>0</v>
      </c>
      <c r="L1090" s="7" t="n">
        <v>1</v>
      </c>
      <c r="M1090" s="7" t="n">
        <v>0</v>
      </c>
      <c r="N1090" s="7" t="n">
        <v>0</v>
      </c>
      <c r="O1090" s="7" t="n">
        <v>0</v>
      </c>
      <c r="P1090" s="8" t="n">
        <f aca="false">IF(E1090=0,0,G1090/E1090)</f>
        <v>0.5</v>
      </c>
      <c r="Q1090" s="8" t="n">
        <f aca="false">IF(E1090+N1090=0,0,(G1090+N1090)/(E1090+N1090))</f>
        <v>0.5</v>
      </c>
      <c r="R1090" s="8" t="n">
        <f aca="false">IF(E1090=0,0,L1090/E1090)</f>
        <v>0.5</v>
      </c>
      <c r="S1090" s="8" t="n">
        <f aca="false">R1090+Q1090</f>
        <v>1</v>
      </c>
      <c r="T1090" s="8" t="n">
        <f aca="false">R1090-P1090</f>
        <v>0</v>
      </c>
    </row>
    <row r="1091" customFormat="false" ht="14.25" hidden="false" customHeight="true" outlineLevel="0" collapsed="false">
      <c r="A1091" s="6" t="n">
        <v>2021</v>
      </c>
      <c r="B1091" s="6" t="s">
        <v>212</v>
      </c>
      <c r="C1091" s="6" t="s">
        <v>454</v>
      </c>
      <c r="D1091" s="7" t="n">
        <v>2</v>
      </c>
      <c r="E1091" s="7" t="n">
        <v>5</v>
      </c>
      <c r="F1091" s="7" t="n">
        <v>0</v>
      </c>
      <c r="G1091" s="7" t="n">
        <v>0</v>
      </c>
      <c r="H1091" s="7" t="n">
        <v>0</v>
      </c>
      <c r="I1091" s="7" t="n">
        <v>0</v>
      </c>
      <c r="J1091" s="7" t="n">
        <v>0</v>
      </c>
      <c r="K1091" s="7" t="n">
        <v>0</v>
      </c>
      <c r="L1091" s="7" t="n">
        <v>0</v>
      </c>
      <c r="M1091" s="7" t="n">
        <v>0</v>
      </c>
      <c r="N1091" s="7" t="n">
        <v>0</v>
      </c>
      <c r="O1091" s="7" t="n">
        <v>1</v>
      </c>
      <c r="P1091" s="8" t="n">
        <f aca="false">IF(E1091=0,0,G1091/E1091)</f>
        <v>0</v>
      </c>
      <c r="Q1091" s="8" t="n">
        <f aca="false">IF(E1091+N1091=0,0,(G1091+N1091)/(E1091+N1091))</f>
        <v>0</v>
      </c>
      <c r="R1091" s="8" t="n">
        <f aca="false">IF(E1091=0,0,L1091/E1091)</f>
        <v>0</v>
      </c>
      <c r="S1091" s="8" t="n">
        <f aca="false">R1091+Q1091</f>
        <v>0</v>
      </c>
      <c r="T1091" s="8" t="n">
        <f aca="false">R1091-P1091</f>
        <v>0</v>
      </c>
    </row>
    <row r="1092" customFormat="false" ht="14.25" hidden="false" customHeight="true" outlineLevel="0" collapsed="false">
      <c r="A1092" s="6" t="n">
        <v>2021</v>
      </c>
      <c r="B1092" s="6" t="s">
        <v>212</v>
      </c>
      <c r="C1092" s="6" t="s">
        <v>362</v>
      </c>
      <c r="D1092" s="7" t="n">
        <v>1</v>
      </c>
      <c r="E1092" s="7" t="n">
        <v>2</v>
      </c>
      <c r="F1092" s="7" t="n">
        <v>0</v>
      </c>
      <c r="G1092" s="7" t="n">
        <v>0</v>
      </c>
      <c r="H1092" s="7" t="n">
        <v>0</v>
      </c>
      <c r="I1092" s="7" t="n">
        <v>0</v>
      </c>
      <c r="J1092" s="7" t="n">
        <v>0</v>
      </c>
      <c r="K1092" s="7" t="n">
        <v>0</v>
      </c>
      <c r="L1092" s="7" t="n">
        <v>0</v>
      </c>
      <c r="M1092" s="7" t="n">
        <v>0</v>
      </c>
      <c r="N1092" s="7" t="n">
        <v>0</v>
      </c>
      <c r="O1092" s="7" t="n">
        <v>1</v>
      </c>
      <c r="P1092" s="8" t="n">
        <f aca="false">IF(E1092=0,0,G1092/E1092)</f>
        <v>0</v>
      </c>
      <c r="Q1092" s="8" t="n">
        <f aca="false">IF(E1092+N1092=0,0,(G1092+N1092)/(E1092+N1092))</f>
        <v>0</v>
      </c>
      <c r="R1092" s="8" t="n">
        <f aca="false">IF(E1092=0,0,L1092/E1092)</f>
        <v>0</v>
      </c>
      <c r="S1092" s="8" t="n">
        <f aca="false">R1092+Q1092</f>
        <v>0</v>
      </c>
      <c r="T1092" s="8" t="n">
        <f aca="false">R1092-P1092</f>
        <v>0</v>
      </c>
    </row>
    <row r="1093" customFormat="false" ht="14.25" hidden="false" customHeight="true" outlineLevel="0" collapsed="false">
      <c r="A1093" s="6" t="n">
        <v>2021</v>
      </c>
      <c r="B1093" s="6" t="s">
        <v>212</v>
      </c>
      <c r="C1093" s="6" t="s">
        <v>225</v>
      </c>
      <c r="D1093" s="7" t="n">
        <v>1</v>
      </c>
      <c r="E1093" s="7" t="n">
        <v>2</v>
      </c>
      <c r="F1093" s="7" t="n">
        <v>0</v>
      </c>
      <c r="G1093" s="7" t="n">
        <v>0</v>
      </c>
      <c r="H1093" s="7" t="n">
        <v>0</v>
      </c>
      <c r="I1093" s="7" t="n">
        <v>0</v>
      </c>
      <c r="J1093" s="7" t="n">
        <v>0</v>
      </c>
      <c r="K1093" s="7" t="n">
        <v>0</v>
      </c>
      <c r="L1093" s="7" t="n">
        <v>0</v>
      </c>
      <c r="M1093" s="7" t="n">
        <v>0</v>
      </c>
      <c r="N1093" s="7" t="n">
        <v>1</v>
      </c>
      <c r="O1093" s="7" t="n">
        <v>0</v>
      </c>
      <c r="P1093" s="8" t="n">
        <f aca="false">IF(E1093=0,0,G1093/E1093)</f>
        <v>0</v>
      </c>
      <c r="Q1093" s="8" t="n">
        <f aca="false">IF(E1093+N1093=0,0,(G1093+N1093)/(E1093+N1093))</f>
        <v>0.333333333333333</v>
      </c>
      <c r="R1093" s="8" t="n">
        <f aca="false">IF(E1093=0,0,L1093/E1093)</f>
        <v>0</v>
      </c>
      <c r="S1093" s="8" t="n">
        <f aca="false">R1093+Q1093</f>
        <v>0.333333333333333</v>
      </c>
      <c r="T1093" s="8" t="n">
        <f aca="false">R1093-P1093</f>
        <v>0</v>
      </c>
    </row>
    <row r="1094" customFormat="false" ht="14.25" hidden="false" customHeight="true" outlineLevel="0" collapsed="false">
      <c r="A1094" s="6" t="n">
        <v>2021</v>
      </c>
      <c r="B1094" s="6" t="s">
        <v>212</v>
      </c>
      <c r="C1094" s="6" t="s">
        <v>150</v>
      </c>
      <c r="D1094" s="7" t="n">
        <v>1</v>
      </c>
      <c r="E1094" s="7" t="n">
        <v>2</v>
      </c>
      <c r="F1094" s="7" t="n">
        <v>0</v>
      </c>
      <c r="G1094" s="7" t="n">
        <v>0</v>
      </c>
      <c r="H1094" s="7" t="n">
        <v>0</v>
      </c>
      <c r="I1094" s="7" t="n">
        <v>0</v>
      </c>
      <c r="J1094" s="7" t="n">
        <v>0</v>
      </c>
      <c r="K1094" s="7" t="n">
        <v>0</v>
      </c>
      <c r="L1094" s="7" t="n">
        <v>0</v>
      </c>
      <c r="M1094" s="7" t="n">
        <v>0</v>
      </c>
      <c r="N1094" s="7" t="n">
        <v>0</v>
      </c>
      <c r="O1094" s="7" t="n">
        <v>0</v>
      </c>
      <c r="P1094" s="8" t="n">
        <f aca="false">IF(E1094=0,0,G1094/E1094)</f>
        <v>0</v>
      </c>
      <c r="Q1094" s="8" t="n">
        <f aca="false">IF(E1094+N1094=0,0,(G1094+N1094)/(E1094+N1094))</f>
        <v>0</v>
      </c>
      <c r="R1094" s="8" t="n">
        <f aca="false">IF(E1094=0,0,L1094/E1094)</f>
        <v>0</v>
      </c>
      <c r="S1094" s="8" t="n">
        <f aca="false">R1094+Q1094</f>
        <v>0</v>
      </c>
      <c r="T1094" s="8" t="n">
        <f aca="false">R1094-P1094</f>
        <v>0</v>
      </c>
    </row>
    <row r="1095" customFormat="false" ht="14.25" hidden="false" customHeight="true" outlineLevel="0" collapsed="false">
      <c r="A1095" s="6" t="n">
        <v>2021</v>
      </c>
      <c r="B1095" s="6" t="s">
        <v>212</v>
      </c>
      <c r="C1095" s="6" t="s">
        <v>120</v>
      </c>
      <c r="D1095" s="7" t="n">
        <v>1</v>
      </c>
      <c r="E1095" s="7" t="n">
        <v>2</v>
      </c>
      <c r="F1095" s="7" t="n">
        <v>0</v>
      </c>
      <c r="G1095" s="7" t="n">
        <v>0</v>
      </c>
      <c r="H1095" s="7" t="n">
        <v>0</v>
      </c>
      <c r="I1095" s="7" t="n">
        <v>0</v>
      </c>
      <c r="J1095" s="7" t="n">
        <v>0</v>
      </c>
      <c r="K1095" s="7" t="n">
        <v>0</v>
      </c>
      <c r="L1095" s="7" t="n">
        <v>0</v>
      </c>
      <c r="M1095" s="7" t="n">
        <v>0</v>
      </c>
      <c r="N1095" s="7" t="n">
        <v>0</v>
      </c>
      <c r="O1095" s="7" t="n">
        <v>0</v>
      </c>
      <c r="P1095" s="8" t="n">
        <f aca="false">IF(E1095=0,0,G1095/E1095)</f>
        <v>0</v>
      </c>
      <c r="Q1095" s="8" t="n">
        <f aca="false">IF(E1095+N1095=0,0,(G1095+N1095)/(E1095+N1095))</f>
        <v>0</v>
      </c>
      <c r="R1095" s="8" t="n">
        <f aca="false">IF(E1095=0,0,L1095/E1095)</f>
        <v>0</v>
      </c>
      <c r="S1095" s="8" t="n">
        <f aca="false">R1095+Q1095</f>
        <v>0</v>
      </c>
      <c r="T1095" s="8" t="n">
        <f aca="false">R1095-P1095</f>
        <v>0</v>
      </c>
    </row>
    <row r="1096" customFormat="false" ht="14.25" hidden="false" customHeight="true" outlineLevel="0" collapsed="false">
      <c r="A1096" s="6" t="n">
        <v>2019</v>
      </c>
      <c r="B1096" s="6" t="s">
        <v>50</v>
      </c>
      <c r="C1096" s="6" t="s">
        <v>64</v>
      </c>
      <c r="D1096" s="7" t="n">
        <v>14</v>
      </c>
      <c r="E1096" s="7" t="n">
        <v>41</v>
      </c>
      <c r="F1096" s="7" t="n">
        <v>13</v>
      </c>
      <c r="G1096" s="7" t="n">
        <v>18</v>
      </c>
      <c r="H1096" s="7" t="n">
        <v>3</v>
      </c>
      <c r="I1096" s="7" t="n">
        <v>0</v>
      </c>
      <c r="J1096" s="7" t="n">
        <v>5</v>
      </c>
      <c r="K1096" s="7" t="n">
        <v>8</v>
      </c>
      <c r="L1096" s="7" t="n">
        <v>36</v>
      </c>
      <c r="M1096" s="7" t="n">
        <v>16</v>
      </c>
      <c r="N1096" s="7" t="n">
        <v>5</v>
      </c>
      <c r="O1096" s="7" t="n">
        <v>2</v>
      </c>
      <c r="P1096" s="8" t="n">
        <f aca="false">IF(E1096=0,0,G1096/E1096)</f>
        <v>0.439024390243902</v>
      </c>
      <c r="Q1096" s="8" t="n">
        <f aca="false">IF(E1096+N1096=0,0,(G1096+N1096)/(E1096+N1096))</f>
        <v>0.5</v>
      </c>
      <c r="R1096" s="8" t="n">
        <f aca="false">IF(E1096=0,0,L1096/E1096)</f>
        <v>0.878048780487805</v>
      </c>
      <c r="S1096" s="8" t="n">
        <f aca="false">R1096+Q1096</f>
        <v>1.3780487804878</v>
      </c>
      <c r="T1096" s="8" t="n">
        <f aca="false">R1096-P1096</f>
        <v>0.439024390243902</v>
      </c>
    </row>
    <row r="1097" customFormat="false" ht="14.25" hidden="false" customHeight="true" outlineLevel="0" collapsed="false">
      <c r="A1097" s="6" t="n">
        <v>2019</v>
      </c>
      <c r="B1097" s="6" t="s">
        <v>50</v>
      </c>
      <c r="C1097" s="6" t="s">
        <v>56</v>
      </c>
      <c r="D1097" s="7" t="n">
        <v>14</v>
      </c>
      <c r="E1097" s="7" t="n">
        <v>39</v>
      </c>
      <c r="F1097" s="7" t="n">
        <v>14</v>
      </c>
      <c r="G1097" s="7" t="n">
        <v>13</v>
      </c>
      <c r="H1097" s="7" t="n">
        <v>3</v>
      </c>
      <c r="I1097" s="7" t="n">
        <v>0</v>
      </c>
      <c r="J1097" s="7" t="n">
        <v>6</v>
      </c>
      <c r="K1097" s="7" t="n">
        <v>9</v>
      </c>
      <c r="L1097" s="7" t="n">
        <v>34</v>
      </c>
      <c r="M1097" s="7" t="n">
        <v>9</v>
      </c>
      <c r="N1097" s="7" t="n">
        <v>12</v>
      </c>
      <c r="O1097" s="7" t="n">
        <v>2</v>
      </c>
      <c r="P1097" s="8" t="n">
        <f aca="false">IF(E1097=0,0,G1097/E1097)</f>
        <v>0.333333333333333</v>
      </c>
      <c r="Q1097" s="8" t="n">
        <f aca="false">IF(E1097+N1097=0,0,(G1097+N1097)/(E1097+N1097))</f>
        <v>0.490196078431373</v>
      </c>
      <c r="R1097" s="8" t="n">
        <f aca="false">IF(E1097=0,0,L1097/E1097)</f>
        <v>0.871794871794872</v>
      </c>
      <c r="S1097" s="8" t="n">
        <f aca="false">R1097+Q1097</f>
        <v>1.36199095022624</v>
      </c>
      <c r="T1097" s="8" t="n">
        <f aca="false">R1097-P1097</f>
        <v>0.538461538461539</v>
      </c>
    </row>
    <row r="1098" customFormat="false" ht="14.25" hidden="false" customHeight="true" outlineLevel="0" collapsed="false">
      <c r="A1098" s="6" t="n">
        <v>2019</v>
      </c>
      <c r="B1098" s="6" t="s">
        <v>50</v>
      </c>
      <c r="C1098" s="6" t="s">
        <v>53</v>
      </c>
      <c r="D1098" s="7" t="n">
        <v>10</v>
      </c>
      <c r="E1098" s="7" t="n">
        <v>29</v>
      </c>
      <c r="F1098" s="7" t="n">
        <v>5</v>
      </c>
      <c r="G1098" s="7" t="n">
        <v>13</v>
      </c>
      <c r="H1098" s="7" t="n">
        <v>5</v>
      </c>
      <c r="I1098" s="7" t="n">
        <v>0</v>
      </c>
      <c r="J1098" s="7" t="n">
        <v>0</v>
      </c>
      <c r="K1098" s="7" t="n">
        <v>5</v>
      </c>
      <c r="L1098" s="7" t="n">
        <v>18</v>
      </c>
      <c r="M1098" s="7" t="n">
        <v>3</v>
      </c>
      <c r="N1098" s="7" t="n">
        <v>4</v>
      </c>
      <c r="O1098" s="7" t="n">
        <v>1</v>
      </c>
      <c r="P1098" s="8" t="n">
        <f aca="false">IF(E1098=0,0,G1098/E1098)</f>
        <v>0.448275862068966</v>
      </c>
      <c r="Q1098" s="8" t="n">
        <f aca="false">IF(E1098+N1098=0,0,(G1098+N1098)/(E1098+N1098))</f>
        <v>0.515151515151515</v>
      </c>
      <c r="R1098" s="8" t="n">
        <f aca="false">IF(E1098=0,0,L1098/E1098)</f>
        <v>0.620689655172414</v>
      </c>
      <c r="S1098" s="8" t="n">
        <f aca="false">R1098+Q1098</f>
        <v>1.13584117032393</v>
      </c>
      <c r="T1098" s="8" t="n">
        <f aca="false">R1098-P1098</f>
        <v>0.172413793103448</v>
      </c>
    </row>
    <row r="1099" customFormat="false" ht="14.25" hidden="false" customHeight="true" outlineLevel="0" collapsed="false">
      <c r="A1099" s="6" t="n">
        <v>2019</v>
      </c>
      <c r="B1099" s="6" t="s">
        <v>50</v>
      </c>
      <c r="C1099" s="6" t="s">
        <v>51</v>
      </c>
      <c r="D1099" s="7" t="n">
        <v>9</v>
      </c>
      <c r="E1099" s="7" t="n">
        <v>30</v>
      </c>
      <c r="F1099" s="7" t="n">
        <v>8</v>
      </c>
      <c r="G1099" s="7" t="n">
        <v>11</v>
      </c>
      <c r="H1099" s="7" t="n">
        <v>1</v>
      </c>
      <c r="I1099" s="7" t="n">
        <v>0</v>
      </c>
      <c r="J1099" s="7" t="n">
        <v>3</v>
      </c>
      <c r="K1099" s="7" t="n">
        <v>4</v>
      </c>
      <c r="L1099" s="7" t="n">
        <v>21</v>
      </c>
      <c r="M1099" s="7" t="n">
        <v>6</v>
      </c>
      <c r="N1099" s="7" t="n">
        <v>2</v>
      </c>
      <c r="O1099" s="7" t="n">
        <v>0</v>
      </c>
      <c r="P1099" s="8" t="n">
        <f aca="false">IF(E1099=0,0,G1099/E1099)</f>
        <v>0.366666666666667</v>
      </c>
      <c r="Q1099" s="8" t="n">
        <f aca="false">IF(E1099+N1099=0,0,(G1099+N1099)/(E1099+N1099))</f>
        <v>0.40625</v>
      </c>
      <c r="R1099" s="8" t="n">
        <f aca="false">IF(E1099=0,0,L1099/E1099)</f>
        <v>0.7</v>
      </c>
      <c r="S1099" s="8" t="n">
        <f aca="false">R1099+Q1099</f>
        <v>1.10625</v>
      </c>
      <c r="T1099" s="8" t="n">
        <f aca="false">R1099-P1099</f>
        <v>0.333333333333333</v>
      </c>
    </row>
    <row r="1100" customFormat="false" ht="14.25" hidden="false" customHeight="true" outlineLevel="0" collapsed="false">
      <c r="A1100" s="6" t="n">
        <v>2019</v>
      </c>
      <c r="B1100" s="6" t="s">
        <v>50</v>
      </c>
      <c r="C1100" s="6" t="s">
        <v>60</v>
      </c>
      <c r="D1100" s="7" t="n">
        <v>14</v>
      </c>
      <c r="E1100" s="7" t="n">
        <v>38</v>
      </c>
      <c r="F1100" s="7" t="n">
        <v>10</v>
      </c>
      <c r="G1100" s="7" t="n">
        <v>9</v>
      </c>
      <c r="H1100" s="7" t="n">
        <v>4</v>
      </c>
      <c r="I1100" s="7" t="n">
        <v>0</v>
      </c>
      <c r="J1100" s="7" t="n">
        <v>0</v>
      </c>
      <c r="K1100" s="7" t="n">
        <v>4</v>
      </c>
      <c r="L1100" s="7" t="n">
        <v>13</v>
      </c>
      <c r="M1100" s="7" t="n">
        <v>2</v>
      </c>
      <c r="N1100" s="7" t="n">
        <v>12</v>
      </c>
      <c r="O1100" s="7" t="n">
        <v>4</v>
      </c>
      <c r="P1100" s="8" t="n">
        <f aca="false">IF(E1100=0,0,G1100/E1100)</f>
        <v>0.236842105263158</v>
      </c>
      <c r="Q1100" s="8" t="n">
        <f aca="false">IF(E1100+N1100=0,0,(G1100+N1100)/(E1100+N1100))</f>
        <v>0.42</v>
      </c>
      <c r="R1100" s="8" t="n">
        <f aca="false">IF(E1100=0,0,L1100/E1100)</f>
        <v>0.342105263157895</v>
      </c>
      <c r="S1100" s="8" t="n">
        <f aca="false">R1100+Q1100</f>
        <v>0.762105263157895</v>
      </c>
      <c r="T1100" s="8" t="n">
        <f aca="false">R1100-P1100</f>
        <v>0.105263157894737</v>
      </c>
    </row>
    <row r="1101" customFormat="false" ht="14.25" hidden="false" customHeight="true" outlineLevel="0" collapsed="false">
      <c r="A1101" s="6" t="n">
        <v>2019</v>
      </c>
      <c r="B1101" s="6" t="s">
        <v>50</v>
      </c>
      <c r="C1101" s="6" t="s">
        <v>69</v>
      </c>
      <c r="D1101" s="7" t="n">
        <v>10</v>
      </c>
      <c r="E1101" s="7" t="n">
        <v>29</v>
      </c>
      <c r="F1101" s="7" t="n">
        <v>7</v>
      </c>
      <c r="G1101" s="7" t="n">
        <v>8</v>
      </c>
      <c r="H1101" s="7" t="n">
        <v>0</v>
      </c>
      <c r="I1101" s="7" t="n">
        <v>0</v>
      </c>
      <c r="J1101" s="7" t="n">
        <v>4</v>
      </c>
      <c r="K1101" s="7" t="n">
        <v>4</v>
      </c>
      <c r="L1101" s="7" t="n">
        <v>20</v>
      </c>
      <c r="M1101" s="7" t="n">
        <v>9</v>
      </c>
      <c r="N1101" s="7" t="n">
        <v>8</v>
      </c>
      <c r="O1101" s="7" t="n">
        <v>0</v>
      </c>
      <c r="P1101" s="8" t="n">
        <f aca="false">IF(E1101=0,0,G1101/E1101)</f>
        <v>0.275862068965517</v>
      </c>
      <c r="Q1101" s="8" t="n">
        <f aca="false">IF(E1101+N1101=0,0,(G1101+N1101)/(E1101+N1101))</f>
        <v>0.432432432432432</v>
      </c>
      <c r="R1101" s="8" t="n">
        <f aca="false">IF(E1101=0,0,L1101/E1101)</f>
        <v>0.689655172413793</v>
      </c>
      <c r="S1101" s="8" t="n">
        <f aca="false">R1101+Q1101</f>
        <v>1.12208760484623</v>
      </c>
      <c r="T1101" s="8" t="n">
        <f aca="false">R1101-P1101</f>
        <v>0.413793103448276</v>
      </c>
    </row>
    <row r="1102" customFormat="false" ht="14.25" hidden="false" customHeight="true" outlineLevel="0" collapsed="false">
      <c r="A1102" s="6" t="n">
        <v>2019</v>
      </c>
      <c r="B1102" s="6" t="s">
        <v>50</v>
      </c>
      <c r="C1102" s="6" t="s">
        <v>52</v>
      </c>
      <c r="D1102" s="7" t="n">
        <v>14</v>
      </c>
      <c r="E1102" s="7" t="n">
        <v>39</v>
      </c>
      <c r="F1102" s="7" t="n">
        <v>6</v>
      </c>
      <c r="G1102" s="7" t="n">
        <v>8</v>
      </c>
      <c r="H1102" s="7" t="n">
        <v>0</v>
      </c>
      <c r="I1102" s="7" t="n">
        <v>0</v>
      </c>
      <c r="J1102" s="7" t="n">
        <v>2</v>
      </c>
      <c r="K1102" s="7" t="n">
        <v>2</v>
      </c>
      <c r="L1102" s="7" t="n">
        <v>14</v>
      </c>
      <c r="M1102" s="7" t="n">
        <v>8</v>
      </c>
      <c r="N1102" s="7" t="n">
        <v>7</v>
      </c>
      <c r="O1102" s="7" t="n">
        <v>3</v>
      </c>
      <c r="P1102" s="8" t="n">
        <f aca="false">IF(E1102=0,0,G1102/E1102)</f>
        <v>0.205128205128205</v>
      </c>
      <c r="Q1102" s="8" t="n">
        <f aca="false">IF(E1102+N1102=0,0,(G1102+N1102)/(E1102+N1102))</f>
        <v>0.326086956521739</v>
      </c>
      <c r="R1102" s="8" t="n">
        <f aca="false">IF(E1102=0,0,L1102/E1102)</f>
        <v>0.358974358974359</v>
      </c>
      <c r="S1102" s="8" t="n">
        <f aca="false">R1102+Q1102</f>
        <v>0.685061315496098</v>
      </c>
      <c r="T1102" s="8" t="n">
        <f aca="false">R1102-P1102</f>
        <v>0.153846153846154</v>
      </c>
    </row>
    <row r="1103" customFormat="false" ht="14.25" hidden="false" customHeight="true" outlineLevel="0" collapsed="false">
      <c r="A1103" s="6" t="n">
        <v>2019</v>
      </c>
      <c r="B1103" s="6" t="s">
        <v>50</v>
      </c>
      <c r="C1103" s="6" t="s">
        <v>66</v>
      </c>
      <c r="D1103" s="7" t="n">
        <v>11</v>
      </c>
      <c r="E1103" s="7" t="n">
        <v>26</v>
      </c>
      <c r="F1103" s="7" t="n">
        <v>3</v>
      </c>
      <c r="G1103" s="7" t="n">
        <v>8</v>
      </c>
      <c r="H1103" s="7" t="n">
        <v>0</v>
      </c>
      <c r="I1103" s="7" t="n">
        <v>0</v>
      </c>
      <c r="J1103" s="7" t="n">
        <v>1</v>
      </c>
      <c r="K1103" s="7" t="n">
        <v>1</v>
      </c>
      <c r="L1103" s="7" t="n">
        <v>11</v>
      </c>
      <c r="M1103" s="7" t="n">
        <v>2</v>
      </c>
      <c r="N1103" s="7" t="n">
        <v>3</v>
      </c>
      <c r="O1103" s="7" t="n">
        <v>1</v>
      </c>
      <c r="P1103" s="8" t="n">
        <f aca="false">IF(E1103=0,0,G1103/E1103)</f>
        <v>0.307692307692308</v>
      </c>
      <c r="Q1103" s="8" t="n">
        <f aca="false">IF(E1103+N1103=0,0,(G1103+N1103)/(E1103+N1103))</f>
        <v>0.379310344827586</v>
      </c>
      <c r="R1103" s="8" t="n">
        <f aca="false">IF(E1103=0,0,L1103/E1103)</f>
        <v>0.423076923076923</v>
      </c>
      <c r="S1103" s="8" t="n">
        <f aca="false">R1103+Q1103</f>
        <v>0.802387267904509</v>
      </c>
      <c r="T1103" s="8" t="n">
        <f aca="false">R1103-P1103</f>
        <v>0.115384615384615</v>
      </c>
    </row>
    <row r="1104" customFormat="false" ht="14.25" hidden="false" customHeight="true" outlineLevel="0" collapsed="false">
      <c r="A1104" s="6" t="n">
        <v>2019</v>
      </c>
      <c r="B1104" s="6" t="s">
        <v>50</v>
      </c>
      <c r="C1104" s="6" t="s">
        <v>67</v>
      </c>
      <c r="D1104" s="7" t="n">
        <v>14</v>
      </c>
      <c r="E1104" s="7" t="n">
        <v>30</v>
      </c>
      <c r="F1104" s="7" t="n">
        <v>4</v>
      </c>
      <c r="G1104" s="7" t="n">
        <v>6</v>
      </c>
      <c r="H1104" s="7" t="n">
        <v>0</v>
      </c>
      <c r="I1104" s="7" t="n">
        <v>0</v>
      </c>
      <c r="J1104" s="7" t="n">
        <v>0</v>
      </c>
      <c r="K1104" s="7" t="n">
        <v>0</v>
      </c>
      <c r="L1104" s="7" t="n">
        <v>6</v>
      </c>
      <c r="M1104" s="7" t="n">
        <v>6</v>
      </c>
      <c r="N1104" s="7" t="n">
        <v>9</v>
      </c>
      <c r="O1104" s="7" t="n">
        <v>2</v>
      </c>
      <c r="P1104" s="8" t="n">
        <f aca="false">IF(E1104=0,0,G1104/E1104)</f>
        <v>0.2</v>
      </c>
      <c r="Q1104" s="8" t="n">
        <f aca="false">IF(E1104+N1104=0,0,(G1104+N1104)/(E1104+N1104))</f>
        <v>0.384615384615385</v>
      </c>
      <c r="R1104" s="8" t="n">
        <f aca="false">IF(E1104=0,0,L1104/E1104)</f>
        <v>0.2</v>
      </c>
      <c r="S1104" s="8" t="n">
        <f aca="false">R1104+Q1104</f>
        <v>0.584615384615385</v>
      </c>
      <c r="T1104" s="8" t="n">
        <f aca="false">R1104-P1104</f>
        <v>0</v>
      </c>
    </row>
    <row r="1105" customFormat="false" ht="14.25" hidden="false" customHeight="true" outlineLevel="0" collapsed="false">
      <c r="A1105" s="6" t="n">
        <v>2019</v>
      </c>
      <c r="B1105" s="6" t="s">
        <v>50</v>
      </c>
      <c r="C1105" s="6" t="s">
        <v>240</v>
      </c>
      <c r="D1105" s="7" t="n">
        <v>9</v>
      </c>
      <c r="E1105" s="7" t="n">
        <v>22</v>
      </c>
      <c r="F1105" s="7" t="n">
        <v>4</v>
      </c>
      <c r="G1105" s="7" t="n">
        <v>6</v>
      </c>
      <c r="H1105" s="7" t="n">
        <v>0</v>
      </c>
      <c r="I1105" s="7" t="n">
        <v>0</v>
      </c>
      <c r="J1105" s="7" t="n">
        <v>0</v>
      </c>
      <c r="K1105" s="7" t="n">
        <v>0</v>
      </c>
      <c r="L1105" s="7" t="n">
        <v>6</v>
      </c>
      <c r="M1105" s="7" t="n">
        <v>4</v>
      </c>
      <c r="N1105" s="7" t="n">
        <v>3</v>
      </c>
      <c r="O1105" s="7" t="n">
        <v>0</v>
      </c>
      <c r="P1105" s="8" t="n">
        <f aca="false">IF(E1105=0,0,G1105/E1105)</f>
        <v>0.272727272727273</v>
      </c>
      <c r="Q1105" s="8" t="n">
        <f aca="false">IF(E1105+N1105=0,0,(G1105+N1105)/(E1105+N1105))</f>
        <v>0.36</v>
      </c>
      <c r="R1105" s="8" t="n">
        <f aca="false">IF(E1105=0,0,L1105/E1105)</f>
        <v>0.272727272727273</v>
      </c>
      <c r="S1105" s="8" t="n">
        <f aca="false">R1105+Q1105</f>
        <v>0.632727272727273</v>
      </c>
      <c r="T1105" s="8" t="n">
        <f aca="false">R1105-P1105</f>
        <v>0</v>
      </c>
    </row>
    <row r="1106" customFormat="false" ht="14.25" hidden="false" customHeight="true" outlineLevel="0" collapsed="false">
      <c r="A1106" s="6" t="n">
        <v>2019</v>
      </c>
      <c r="B1106" s="6" t="s">
        <v>50</v>
      </c>
      <c r="C1106" s="6" t="s">
        <v>62</v>
      </c>
      <c r="D1106" s="7" t="n">
        <v>11</v>
      </c>
      <c r="E1106" s="7" t="n">
        <v>23</v>
      </c>
      <c r="F1106" s="7" t="n">
        <v>3</v>
      </c>
      <c r="G1106" s="7" t="n">
        <v>5</v>
      </c>
      <c r="H1106" s="7" t="n">
        <v>0</v>
      </c>
      <c r="I1106" s="7" t="n">
        <v>0</v>
      </c>
      <c r="J1106" s="7" t="n">
        <v>0</v>
      </c>
      <c r="K1106" s="7" t="n">
        <v>0</v>
      </c>
      <c r="L1106" s="7" t="n">
        <v>5</v>
      </c>
      <c r="M1106" s="7" t="n">
        <v>3</v>
      </c>
      <c r="N1106" s="7" t="n">
        <v>6</v>
      </c>
      <c r="O1106" s="7" t="n">
        <v>1</v>
      </c>
      <c r="P1106" s="8" t="n">
        <f aca="false">IF(E1106=0,0,G1106/E1106)</f>
        <v>0.217391304347826</v>
      </c>
      <c r="Q1106" s="8" t="n">
        <f aca="false">IF(E1106+N1106=0,0,(G1106+N1106)/(E1106+N1106))</f>
        <v>0.379310344827586</v>
      </c>
      <c r="R1106" s="8" t="n">
        <f aca="false">IF(E1106=0,0,L1106/E1106)</f>
        <v>0.217391304347826</v>
      </c>
      <c r="S1106" s="8" t="n">
        <f aca="false">R1106+Q1106</f>
        <v>0.596701649175412</v>
      </c>
      <c r="T1106" s="8" t="n">
        <f aca="false">R1106-P1106</f>
        <v>0</v>
      </c>
    </row>
    <row r="1107" customFormat="false" ht="14.25" hidden="false" customHeight="true" outlineLevel="0" collapsed="false">
      <c r="A1107" s="6" t="n">
        <v>2019</v>
      </c>
      <c r="B1107" s="6" t="s">
        <v>50</v>
      </c>
      <c r="C1107" s="6" t="s">
        <v>417</v>
      </c>
      <c r="D1107" s="7" t="n">
        <v>3</v>
      </c>
      <c r="E1107" s="7" t="n">
        <v>7</v>
      </c>
      <c r="F1107" s="7" t="n">
        <v>0</v>
      </c>
      <c r="G1107" s="7" t="n">
        <v>1</v>
      </c>
      <c r="H1107" s="7" t="n">
        <v>1</v>
      </c>
      <c r="I1107" s="7" t="n">
        <v>0</v>
      </c>
      <c r="J1107" s="7" t="n">
        <v>0</v>
      </c>
      <c r="K1107" s="7" t="n">
        <v>1</v>
      </c>
      <c r="L1107" s="7" t="n">
        <v>2</v>
      </c>
      <c r="M1107" s="7" t="n">
        <v>2</v>
      </c>
      <c r="N1107" s="7" t="n">
        <v>0</v>
      </c>
      <c r="O1107" s="7" t="n">
        <v>0</v>
      </c>
      <c r="P1107" s="8" t="n">
        <f aca="false">IF(E1107=0,0,G1107/E1107)</f>
        <v>0.142857142857143</v>
      </c>
      <c r="Q1107" s="8" t="n">
        <f aca="false">IF(E1107+N1107=0,0,(G1107+N1107)/(E1107+N1107))</f>
        <v>0.142857142857143</v>
      </c>
      <c r="R1107" s="8" t="n">
        <f aca="false">IF(E1107=0,0,L1107/E1107)</f>
        <v>0.285714285714286</v>
      </c>
      <c r="S1107" s="8" t="n">
        <f aca="false">R1107+Q1107</f>
        <v>0.428571428571429</v>
      </c>
      <c r="T1107" s="8" t="n">
        <f aca="false">R1107-P1107</f>
        <v>0.142857142857143</v>
      </c>
    </row>
    <row r="1108" customFormat="false" ht="14.25" hidden="false" customHeight="true" outlineLevel="0" collapsed="false">
      <c r="A1108" s="6" t="n">
        <v>2019</v>
      </c>
      <c r="B1108" s="6" t="s">
        <v>50</v>
      </c>
      <c r="C1108" s="6" t="s">
        <v>455</v>
      </c>
      <c r="D1108" s="7" t="n">
        <v>9</v>
      </c>
      <c r="E1108" s="7" t="n">
        <v>18</v>
      </c>
      <c r="F1108" s="7" t="n">
        <v>2</v>
      </c>
      <c r="G1108" s="7" t="n">
        <v>1</v>
      </c>
      <c r="H1108" s="7" t="n">
        <v>0</v>
      </c>
      <c r="I1108" s="7" t="n">
        <v>0</v>
      </c>
      <c r="J1108" s="7" t="n">
        <v>0</v>
      </c>
      <c r="K1108" s="7" t="n">
        <v>0</v>
      </c>
      <c r="L1108" s="7" t="n">
        <v>1</v>
      </c>
      <c r="M1108" s="7" t="n">
        <v>1</v>
      </c>
      <c r="N1108" s="7" t="n">
        <v>3</v>
      </c>
      <c r="O1108" s="7" t="n">
        <v>1</v>
      </c>
      <c r="P1108" s="8" t="n">
        <f aca="false">IF(E1108=0,0,G1108/E1108)</f>
        <v>0.0555555555555556</v>
      </c>
      <c r="Q1108" s="8" t="n">
        <f aca="false">IF(E1108+N1108=0,0,(G1108+N1108)/(E1108+N1108))</f>
        <v>0.19047619047619</v>
      </c>
      <c r="R1108" s="8" t="n">
        <f aca="false">IF(E1108=0,0,L1108/E1108)</f>
        <v>0.0555555555555556</v>
      </c>
      <c r="S1108" s="8" t="n">
        <f aca="false">R1108+Q1108</f>
        <v>0.246031746031746</v>
      </c>
      <c r="T1108" s="8" t="n">
        <f aca="false">R1108-P1108</f>
        <v>0</v>
      </c>
    </row>
    <row r="1109" customFormat="false" ht="14.25" hidden="false" customHeight="true" outlineLevel="0" collapsed="false">
      <c r="A1109" s="6" t="n">
        <v>2019</v>
      </c>
      <c r="B1109" s="6" t="s">
        <v>50</v>
      </c>
      <c r="C1109" s="6" t="s">
        <v>456</v>
      </c>
      <c r="D1109" s="7" t="n">
        <v>5</v>
      </c>
      <c r="E1109" s="7" t="n">
        <v>6</v>
      </c>
      <c r="F1109" s="7" t="n">
        <v>0</v>
      </c>
      <c r="G1109" s="7" t="n">
        <v>0</v>
      </c>
      <c r="H1109" s="7" t="n">
        <v>0</v>
      </c>
      <c r="I1109" s="7" t="n">
        <v>0</v>
      </c>
      <c r="J1109" s="7" t="n">
        <v>0</v>
      </c>
      <c r="K1109" s="7" t="n">
        <v>0</v>
      </c>
      <c r="L1109" s="7" t="n">
        <v>0</v>
      </c>
      <c r="M1109" s="7" t="n">
        <v>1</v>
      </c>
      <c r="N1109" s="7" t="n">
        <v>0</v>
      </c>
      <c r="O1109" s="7" t="n">
        <v>2</v>
      </c>
      <c r="P1109" s="8" t="n">
        <f aca="false">IF(E1109=0,0,G1109/E1109)</f>
        <v>0</v>
      </c>
      <c r="Q1109" s="8" t="n">
        <f aca="false">IF(E1109+N1109=0,0,(G1109+N1109)/(E1109+N1109))</f>
        <v>0</v>
      </c>
      <c r="R1109" s="8" t="n">
        <f aca="false">IF(E1109=0,0,L1109/E1109)</f>
        <v>0</v>
      </c>
      <c r="S1109" s="8" t="n">
        <f aca="false">R1109+Q1109</f>
        <v>0</v>
      </c>
      <c r="T1109" s="8" t="n">
        <f aca="false">R1109-P1109</f>
        <v>0</v>
      </c>
    </row>
    <row r="1110" customFormat="false" ht="14.25" hidden="false" customHeight="true" outlineLevel="0" collapsed="false">
      <c r="A1110" s="6" t="n">
        <v>2019</v>
      </c>
      <c r="B1110" s="6" t="s">
        <v>50</v>
      </c>
      <c r="C1110" s="6" t="s">
        <v>457</v>
      </c>
      <c r="D1110" s="7" t="n">
        <v>1</v>
      </c>
      <c r="E1110" s="7" t="n">
        <v>1</v>
      </c>
      <c r="F1110" s="7" t="n">
        <v>0</v>
      </c>
      <c r="G1110" s="7" t="n">
        <v>0</v>
      </c>
      <c r="H1110" s="7" t="n">
        <v>0</v>
      </c>
      <c r="I1110" s="7" t="n">
        <v>0</v>
      </c>
      <c r="J1110" s="7" t="n">
        <v>0</v>
      </c>
      <c r="K1110" s="7" t="n">
        <v>0</v>
      </c>
      <c r="L1110" s="7" t="n">
        <v>0</v>
      </c>
      <c r="M1110" s="7" t="n">
        <v>0</v>
      </c>
      <c r="N1110" s="7" t="n">
        <v>2</v>
      </c>
      <c r="O1110" s="7" t="n">
        <v>1</v>
      </c>
      <c r="P1110" s="8" t="n">
        <f aca="false">IF(E1110=0,0,G1110/E1110)</f>
        <v>0</v>
      </c>
      <c r="Q1110" s="8" t="n">
        <f aca="false">IF(E1110+N1110=0,0,(G1110+N1110)/(E1110+N1110))</f>
        <v>0.666666666666667</v>
      </c>
      <c r="R1110" s="8" t="n">
        <f aca="false">IF(E1110=0,0,L1110/E1110)</f>
        <v>0</v>
      </c>
      <c r="S1110" s="8" t="n">
        <f aca="false">R1110+Q1110</f>
        <v>0.666666666666667</v>
      </c>
      <c r="T1110" s="8" t="n">
        <f aca="false">R1110-P1110</f>
        <v>0</v>
      </c>
    </row>
    <row r="1111" customFormat="false" ht="14.25" hidden="false" customHeight="true" outlineLevel="0" collapsed="false">
      <c r="A1111" s="6" t="n">
        <v>2019</v>
      </c>
      <c r="B1111" s="6" t="s">
        <v>50</v>
      </c>
      <c r="C1111" s="6" t="s">
        <v>458</v>
      </c>
      <c r="D1111" s="7" t="n">
        <v>1</v>
      </c>
      <c r="E1111" s="7" t="n">
        <v>2</v>
      </c>
      <c r="F1111" s="7" t="n">
        <v>0</v>
      </c>
      <c r="G1111" s="7" t="n">
        <v>0</v>
      </c>
      <c r="H1111" s="7" t="n">
        <v>0</v>
      </c>
      <c r="I1111" s="7" t="n">
        <v>0</v>
      </c>
      <c r="J1111" s="7" t="n">
        <v>0</v>
      </c>
      <c r="K1111" s="7" t="n">
        <v>0</v>
      </c>
      <c r="L1111" s="7" t="n">
        <v>0</v>
      </c>
      <c r="M1111" s="7" t="n">
        <v>0</v>
      </c>
      <c r="N1111" s="7" t="n">
        <v>1</v>
      </c>
      <c r="O1111" s="7" t="n">
        <v>0</v>
      </c>
      <c r="P1111" s="8" t="n">
        <f aca="false">IF(E1111=0,0,G1111/E1111)</f>
        <v>0</v>
      </c>
      <c r="Q1111" s="8" t="n">
        <f aca="false">IF(E1111+N1111=0,0,(G1111+N1111)/(E1111+N1111))</f>
        <v>0.333333333333333</v>
      </c>
      <c r="R1111" s="8" t="n">
        <f aca="false">IF(E1111=0,0,L1111/E1111)</f>
        <v>0</v>
      </c>
      <c r="S1111" s="8" t="n">
        <f aca="false">R1111+Q1111</f>
        <v>0.333333333333333</v>
      </c>
      <c r="T1111" s="8" t="n">
        <f aca="false">R1111-P1111</f>
        <v>0</v>
      </c>
    </row>
    <row r="1112" customFormat="false" ht="14.25" hidden="false" customHeight="true" outlineLevel="0" collapsed="false">
      <c r="A1112" s="6" t="n">
        <v>2019</v>
      </c>
      <c r="B1112" s="6" t="s">
        <v>50</v>
      </c>
      <c r="C1112" s="6" t="s">
        <v>459</v>
      </c>
      <c r="D1112" s="7" t="n">
        <v>1</v>
      </c>
      <c r="E1112" s="7" t="n">
        <v>0</v>
      </c>
      <c r="F1112" s="7" t="n">
        <v>0</v>
      </c>
      <c r="G1112" s="7" t="n">
        <v>0</v>
      </c>
      <c r="H1112" s="7" t="n">
        <v>0</v>
      </c>
      <c r="I1112" s="7" t="n">
        <v>0</v>
      </c>
      <c r="J1112" s="7" t="n">
        <v>0</v>
      </c>
      <c r="K1112" s="7" t="n">
        <v>0</v>
      </c>
      <c r="L1112" s="7" t="n">
        <v>0</v>
      </c>
      <c r="M1112" s="7" t="n">
        <v>0</v>
      </c>
      <c r="N1112" s="7" t="n">
        <v>1</v>
      </c>
      <c r="O1112" s="7" t="n">
        <v>0</v>
      </c>
      <c r="P1112" s="8" t="n">
        <f aca="false">IF(E1112=0,0,G1112/E1112)</f>
        <v>0</v>
      </c>
      <c r="Q1112" s="8" t="n">
        <f aca="false">IF(E1112+N1112=0,0,(G1112+N1112)/(E1112+N1112))</f>
        <v>1</v>
      </c>
      <c r="R1112" s="8" t="n">
        <f aca="false">IF(E1112=0,0,L1112/E1112)</f>
        <v>0</v>
      </c>
      <c r="S1112" s="8" t="n">
        <f aca="false">R1112+Q1112</f>
        <v>1</v>
      </c>
      <c r="T1112" s="8" t="n">
        <f aca="false">R1112-P1112</f>
        <v>0</v>
      </c>
    </row>
    <row r="1113" customFormat="false" ht="14.25" hidden="false" customHeight="true" outlineLevel="0" collapsed="false">
      <c r="A1113" s="6" t="n">
        <v>2019</v>
      </c>
      <c r="B1113" s="6" t="s">
        <v>50</v>
      </c>
      <c r="C1113" s="6" t="s">
        <v>460</v>
      </c>
      <c r="D1113" s="7" t="n">
        <v>8</v>
      </c>
      <c r="E1113" s="7" t="n">
        <v>12</v>
      </c>
      <c r="F1113" s="7" t="n">
        <v>0</v>
      </c>
      <c r="G1113" s="7" t="n">
        <v>0</v>
      </c>
      <c r="H1113" s="7" t="n">
        <v>0</v>
      </c>
      <c r="I1113" s="7" t="n">
        <v>0</v>
      </c>
      <c r="J1113" s="7" t="n">
        <v>0</v>
      </c>
      <c r="K1113" s="7" t="n">
        <v>0</v>
      </c>
      <c r="L1113" s="7" t="n">
        <v>0</v>
      </c>
      <c r="M1113" s="7" t="n">
        <v>0</v>
      </c>
      <c r="N1113" s="7" t="n">
        <v>0</v>
      </c>
      <c r="O1113" s="7" t="n">
        <v>0</v>
      </c>
      <c r="P1113" s="8" t="n">
        <f aca="false">IF(E1113=0,0,G1113/E1113)</f>
        <v>0</v>
      </c>
      <c r="Q1113" s="8" t="n">
        <f aca="false">IF(E1113+N1113=0,0,(G1113+N1113)/(E1113+N1113))</f>
        <v>0</v>
      </c>
      <c r="R1113" s="8" t="n">
        <f aca="false">IF(E1113=0,0,L1113/E1113)</f>
        <v>0</v>
      </c>
      <c r="S1113" s="8" t="n">
        <f aca="false">R1113+Q1113</f>
        <v>0</v>
      </c>
      <c r="T1113" s="8" t="n">
        <f aca="false">R1113-P1113</f>
        <v>0</v>
      </c>
    </row>
    <row r="1114" customFormat="false" ht="14.25" hidden="false" customHeight="true" outlineLevel="0" collapsed="false">
      <c r="A1114" s="6" t="n">
        <v>2019</v>
      </c>
      <c r="B1114" s="6" t="s">
        <v>50</v>
      </c>
      <c r="C1114" s="6" t="s">
        <v>59</v>
      </c>
      <c r="D1114" s="7" t="n">
        <v>2</v>
      </c>
      <c r="E1114" s="7" t="n">
        <v>2</v>
      </c>
      <c r="F1114" s="7" t="n">
        <v>0</v>
      </c>
      <c r="G1114" s="7" t="n">
        <v>0</v>
      </c>
      <c r="H1114" s="7" t="n">
        <v>0</v>
      </c>
      <c r="I1114" s="7" t="n">
        <v>0</v>
      </c>
      <c r="J1114" s="7" t="n">
        <v>0</v>
      </c>
      <c r="K1114" s="7" t="n">
        <v>0</v>
      </c>
      <c r="L1114" s="7" t="n">
        <v>0</v>
      </c>
      <c r="M1114" s="7" t="n">
        <v>0</v>
      </c>
      <c r="N1114" s="7" t="n">
        <v>0</v>
      </c>
      <c r="O1114" s="7" t="n">
        <v>0</v>
      </c>
      <c r="P1114" s="8" t="n">
        <f aca="false">IF(E1114=0,0,G1114/E1114)</f>
        <v>0</v>
      </c>
      <c r="Q1114" s="8" t="n">
        <f aca="false">IF(E1114+N1114=0,0,(G1114+N1114)/(E1114+N1114))</f>
        <v>0</v>
      </c>
      <c r="R1114" s="8" t="n">
        <f aca="false">IF(E1114=0,0,L1114/E1114)</f>
        <v>0</v>
      </c>
      <c r="S1114" s="8" t="n">
        <f aca="false">R1114+Q1114</f>
        <v>0</v>
      </c>
      <c r="T1114" s="8" t="n">
        <f aca="false">R1114-P1114</f>
        <v>0</v>
      </c>
    </row>
    <row r="1115" customFormat="false" ht="14.25" hidden="false" customHeight="true" outlineLevel="0" collapsed="false">
      <c r="A1115" s="6" t="n">
        <v>2019</v>
      </c>
      <c r="B1115" s="6" t="s">
        <v>50</v>
      </c>
      <c r="C1115" s="6" t="s">
        <v>461</v>
      </c>
      <c r="D1115" s="7" t="n">
        <v>1</v>
      </c>
      <c r="E1115" s="7" t="n">
        <v>2</v>
      </c>
      <c r="F1115" s="7" t="n">
        <v>0</v>
      </c>
      <c r="G1115" s="7" t="n">
        <v>0</v>
      </c>
      <c r="H1115" s="7" t="n">
        <v>0</v>
      </c>
      <c r="I1115" s="7" t="n">
        <v>0</v>
      </c>
      <c r="J1115" s="7" t="n">
        <v>0</v>
      </c>
      <c r="K1115" s="7" t="n">
        <v>0</v>
      </c>
      <c r="L1115" s="7" t="n">
        <v>0</v>
      </c>
      <c r="M1115" s="7" t="n">
        <v>0</v>
      </c>
      <c r="N1115" s="7" t="n">
        <v>0</v>
      </c>
      <c r="O1115" s="7" t="n">
        <v>0</v>
      </c>
      <c r="P1115" s="8" t="n">
        <f aca="false">IF(E1115=0,0,G1115/E1115)</f>
        <v>0</v>
      </c>
      <c r="Q1115" s="8" t="n">
        <f aca="false">IF(E1115+N1115=0,0,(G1115+N1115)/(E1115+N1115))</f>
        <v>0</v>
      </c>
      <c r="R1115" s="8" t="n">
        <f aca="false">IF(E1115=0,0,L1115/E1115)</f>
        <v>0</v>
      </c>
      <c r="S1115" s="8" t="n">
        <f aca="false">R1115+Q1115</f>
        <v>0</v>
      </c>
      <c r="T1115" s="8" t="n">
        <f aca="false">R1115-P1115</f>
        <v>0</v>
      </c>
    </row>
    <row r="1116" customFormat="false" ht="14.25" hidden="false" customHeight="true" outlineLevel="0" collapsed="false">
      <c r="A1116" s="6" t="n">
        <v>2019</v>
      </c>
      <c r="B1116" s="6" t="s">
        <v>71</v>
      </c>
      <c r="C1116" s="6" t="s">
        <v>86</v>
      </c>
      <c r="D1116" s="7" t="n">
        <v>12</v>
      </c>
      <c r="E1116" s="7" t="n">
        <v>36</v>
      </c>
      <c r="F1116" s="7" t="n">
        <v>20</v>
      </c>
      <c r="G1116" s="7" t="n">
        <v>20</v>
      </c>
      <c r="H1116" s="7" t="n">
        <v>5</v>
      </c>
      <c r="I1116" s="7" t="n">
        <v>0</v>
      </c>
      <c r="J1116" s="7" t="n">
        <v>7</v>
      </c>
      <c r="K1116" s="7" t="n">
        <v>12</v>
      </c>
      <c r="L1116" s="7" t="n">
        <v>46</v>
      </c>
      <c r="M1116" s="7" t="n">
        <v>20</v>
      </c>
      <c r="N1116" s="7" t="n">
        <v>6</v>
      </c>
      <c r="O1116" s="7" t="n">
        <v>1</v>
      </c>
      <c r="P1116" s="8" t="n">
        <f aca="false">IF(E1116=0,0,G1116/E1116)</f>
        <v>0.555555555555556</v>
      </c>
      <c r="Q1116" s="8" t="n">
        <f aca="false">IF(E1116+N1116=0,0,(G1116+N1116)/(E1116+N1116))</f>
        <v>0.619047619047619</v>
      </c>
      <c r="R1116" s="8" t="n">
        <f aca="false">IF(E1116=0,0,L1116/E1116)</f>
        <v>1.27777777777778</v>
      </c>
      <c r="S1116" s="8" t="n">
        <f aca="false">R1116+Q1116</f>
        <v>1.8968253968254</v>
      </c>
      <c r="T1116" s="8" t="n">
        <f aca="false">R1116-P1116</f>
        <v>0.722222222222222</v>
      </c>
    </row>
    <row r="1117" customFormat="false" ht="14.25" hidden="false" customHeight="true" outlineLevel="0" collapsed="false">
      <c r="A1117" s="6" t="n">
        <v>2019</v>
      </c>
      <c r="B1117" s="6" t="s">
        <v>71</v>
      </c>
      <c r="C1117" s="6" t="s">
        <v>81</v>
      </c>
      <c r="D1117" s="7" t="n">
        <v>13</v>
      </c>
      <c r="E1117" s="7" t="n">
        <v>39</v>
      </c>
      <c r="F1117" s="7" t="n">
        <v>11</v>
      </c>
      <c r="G1117" s="7" t="n">
        <v>17</v>
      </c>
      <c r="H1117" s="7" t="n">
        <v>1</v>
      </c>
      <c r="I1117" s="7" t="n">
        <v>0</v>
      </c>
      <c r="J1117" s="7" t="n">
        <v>6</v>
      </c>
      <c r="K1117" s="7" t="n">
        <v>7</v>
      </c>
      <c r="L1117" s="7" t="n">
        <v>36</v>
      </c>
      <c r="M1117" s="7" t="n">
        <v>19</v>
      </c>
      <c r="N1117" s="7" t="n">
        <v>4</v>
      </c>
      <c r="O1117" s="7" t="n">
        <v>0</v>
      </c>
      <c r="P1117" s="8" t="n">
        <f aca="false">IF(E1117=0,0,G1117/E1117)</f>
        <v>0.435897435897436</v>
      </c>
      <c r="Q1117" s="8" t="n">
        <f aca="false">IF(E1117+N1117=0,0,(G1117+N1117)/(E1117+N1117))</f>
        <v>0.488372093023256</v>
      </c>
      <c r="R1117" s="8" t="n">
        <f aca="false">IF(E1117=0,0,L1117/E1117)</f>
        <v>0.923076923076923</v>
      </c>
      <c r="S1117" s="8" t="n">
        <f aca="false">R1117+Q1117</f>
        <v>1.41144901610018</v>
      </c>
      <c r="T1117" s="8" t="n">
        <f aca="false">R1117-P1117</f>
        <v>0.487179487179487</v>
      </c>
    </row>
    <row r="1118" customFormat="false" ht="14.25" hidden="false" customHeight="true" outlineLevel="0" collapsed="false">
      <c r="A1118" s="6" t="n">
        <v>2019</v>
      </c>
      <c r="B1118" s="6" t="s">
        <v>71</v>
      </c>
      <c r="C1118" s="6" t="s">
        <v>243</v>
      </c>
      <c r="D1118" s="7" t="n">
        <v>10</v>
      </c>
      <c r="E1118" s="7" t="n">
        <v>30</v>
      </c>
      <c r="F1118" s="7" t="n">
        <v>10</v>
      </c>
      <c r="G1118" s="7" t="n">
        <v>14</v>
      </c>
      <c r="H1118" s="7" t="n">
        <v>2</v>
      </c>
      <c r="I1118" s="7" t="n">
        <v>0</v>
      </c>
      <c r="J1118" s="7" t="n">
        <v>6</v>
      </c>
      <c r="K1118" s="7" t="n">
        <v>8</v>
      </c>
      <c r="L1118" s="7" t="n">
        <v>34</v>
      </c>
      <c r="M1118" s="7" t="n">
        <v>12</v>
      </c>
      <c r="N1118" s="7" t="n">
        <v>4</v>
      </c>
      <c r="O1118" s="7" t="n">
        <v>1</v>
      </c>
      <c r="P1118" s="8" t="n">
        <f aca="false">IF(E1118=0,0,G1118/E1118)</f>
        <v>0.466666666666667</v>
      </c>
      <c r="Q1118" s="8" t="n">
        <f aca="false">IF(E1118+N1118=0,0,(G1118+N1118)/(E1118+N1118))</f>
        <v>0.529411764705882</v>
      </c>
      <c r="R1118" s="8" t="n">
        <f aca="false">IF(E1118=0,0,L1118/E1118)</f>
        <v>1.13333333333333</v>
      </c>
      <c r="S1118" s="8" t="n">
        <f aca="false">R1118+Q1118</f>
        <v>1.66274509803922</v>
      </c>
      <c r="T1118" s="8" t="n">
        <f aca="false">R1118-P1118</f>
        <v>0.666666666666667</v>
      </c>
    </row>
    <row r="1119" customFormat="false" ht="14.25" hidden="false" customHeight="true" outlineLevel="0" collapsed="false">
      <c r="A1119" s="6" t="n">
        <v>2019</v>
      </c>
      <c r="B1119" s="6" t="s">
        <v>71</v>
      </c>
      <c r="C1119" s="6" t="s">
        <v>73</v>
      </c>
      <c r="D1119" s="7" t="n">
        <v>10</v>
      </c>
      <c r="E1119" s="7" t="n">
        <v>29</v>
      </c>
      <c r="F1119" s="7" t="n">
        <v>19</v>
      </c>
      <c r="G1119" s="7" t="n">
        <v>14</v>
      </c>
      <c r="H1119" s="7" t="n">
        <v>5</v>
      </c>
      <c r="I1119" s="7" t="n">
        <v>1</v>
      </c>
      <c r="J1119" s="7" t="n">
        <v>4</v>
      </c>
      <c r="K1119" s="7" t="n">
        <v>10</v>
      </c>
      <c r="L1119" s="7" t="n">
        <v>33</v>
      </c>
      <c r="M1119" s="7" t="n">
        <v>9</v>
      </c>
      <c r="N1119" s="7" t="n">
        <v>7</v>
      </c>
      <c r="O1119" s="7" t="n">
        <v>1</v>
      </c>
      <c r="P1119" s="8" t="n">
        <f aca="false">IF(E1119=0,0,G1119/E1119)</f>
        <v>0.482758620689655</v>
      </c>
      <c r="Q1119" s="8" t="n">
        <f aca="false">IF(E1119+N1119=0,0,(G1119+N1119)/(E1119+N1119))</f>
        <v>0.583333333333333</v>
      </c>
      <c r="R1119" s="8" t="n">
        <f aca="false">IF(E1119=0,0,L1119/E1119)</f>
        <v>1.13793103448276</v>
      </c>
      <c r="S1119" s="8" t="n">
        <f aca="false">R1119+Q1119</f>
        <v>1.72126436781609</v>
      </c>
      <c r="T1119" s="8" t="n">
        <f aca="false">R1119-P1119</f>
        <v>0.655172413793103</v>
      </c>
    </row>
    <row r="1120" customFormat="false" ht="14.25" hidden="false" customHeight="true" outlineLevel="0" collapsed="false">
      <c r="A1120" s="6" t="n">
        <v>2019</v>
      </c>
      <c r="B1120" s="6" t="s">
        <v>71</v>
      </c>
      <c r="C1120" s="6" t="s">
        <v>79</v>
      </c>
      <c r="D1120" s="7" t="n">
        <v>13</v>
      </c>
      <c r="E1120" s="7" t="n">
        <v>36</v>
      </c>
      <c r="F1120" s="7" t="n">
        <v>5</v>
      </c>
      <c r="G1120" s="7" t="n">
        <v>14</v>
      </c>
      <c r="H1120" s="7" t="n">
        <v>1</v>
      </c>
      <c r="I1120" s="7" t="n">
        <v>0</v>
      </c>
      <c r="J1120" s="7" t="n">
        <v>0</v>
      </c>
      <c r="K1120" s="7" t="n">
        <v>1</v>
      </c>
      <c r="L1120" s="7" t="n">
        <v>15</v>
      </c>
      <c r="M1120" s="7" t="n">
        <v>7</v>
      </c>
      <c r="N1120" s="7" t="n">
        <v>3</v>
      </c>
      <c r="O1120" s="7" t="n">
        <v>1</v>
      </c>
      <c r="P1120" s="8" t="n">
        <f aca="false">IF(E1120=0,0,G1120/E1120)</f>
        <v>0.388888888888889</v>
      </c>
      <c r="Q1120" s="8" t="n">
        <f aca="false">IF(E1120+N1120=0,0,(G1120+N1120)/(E1120+N1120))</f>
        <v>0.435897435897436</v>
      </c>
      <c r="R1120" s="8" t="n">
        <f aca="false">IF(E1120=0,0,L1120/E1120)</f>
        <v>0.416666666666667</v>
      </c>
      <c r="S1120" s="8" t="n">
        <f aca="false">R1120+Q1120</f>
        <v>0.852564102564103</v>
      </c>
      <c r="T1120" s="8" t="n">
        <f aca="false">R1120-P1120</f>
        <v>0.0277777777777778</v>
      </c>
    </row>
    <row r="1121" customFormat="false" ht="14.25" hidden="false" customHeight="true" outlineLevel="0" collapsed="false">
      <c r="A1121" s="6" t="n">
        <v>2019</v>
      </c>
      <c r="B1121" s="6" t="s">
        <v>71</v>
      </c>
      <c r="C1121" s="6" t="s">
        <v>80</v>
      </c>
      <c r="D1121" s="7" t="n">
        <v>11</v>
      </c>
      <c r="E1121" s="7" t="n">
        <v>27</v>
      </c>
      <c r="F1121" s="7" t="n">
        <v>12</v>
      </c>
      <c r="G1121" s="7" t="n">
        <v>10</v>
      </c>
      <c r="H1121" s="7" t="n">
        <v>1</v>
      </c>
      <c r="I1121" s="7" t="n">
        <v>0</v>
      </c>
      <c r="J1121" s="7" t="n">
        <v>4</v>
      </c>
      <c r="K1121" s="7" t="n">
        <v>5</v>
      </c>
      <c r="L1121" s="7" t="n">
        <v>23</v>
      </c>
      <c r="M1121" s="7" t="n">
        <v>9</v>
      </c>
      <c r="N1121" s="7" t="n">
        <v>8</v>
      </c>
      <c r="O1121" s="7" t="n">
        <v>0</v>
      </c>
      <c r="P1121" s="8" t="n">
        <f aca="false">IF(E1121=0,0,G1121/E1121)</f>
        <v>0.37037037037037</v>
      </c>
      <c r="Q1121" s="8" t="n">
        <f aca="false">IF(E1121+N1121=0,0,(G1121+N1121)/(E1121+N1121))</f>
        <v>0.514285714285714</v>
      </c>
      <c r="R1121" s="8" t="n">
        <f aca="false">IF(E1121=0,0,L1121/E1121)</f>
        <v>0.851851851851852</v>
      </c>
      <c r="S1121" s="8" t="n">
        <f aca="false">R1121+Q1121</f>
        <v>1.36613756613757</v>
      </c>
      <c r="T1121" s="8" t="n">
        <f aca="false">R1121-P1121</f>
        <v>0.481481481481482</v>
      </c>
    </row>
    <row r="1122" customFormat="false" ht="14.25" hidden="false" customHeight="true" outlineLevel="0" collapsed="false">
      <c r="A1122" s="6" t="n">
        <v>2019</v>
      </c>
      <c r="B1122" s="6" t="s">
        <v>71</v>
      </c>
      <c r="C1122" s="6" t="s">
        <v>77</v>
      </c>
      <c r="D1122" s="7" t="n">
        <v>12</v>
      </c>
      <c r="E1122" s="7" t="n">
        <v>33</v>
      </c>
      <c r="F1122" s="7" t="n">
        <v>8</v>
      </c>
      <c r="G1122" s="7" t="n">
        <v>10</v>
      </c>
      <c r="H1122" s="7" t="n">
        <v>1</v>
      </c>
      <c r="I1122" s="7" t="n">
        <v>0</v>
      </c>
      <c r="J1122" s="7" t="n">
        <v>2</v>
      </c>
      <c r="K1122" s="7" t="n">
        <v>3</v>
      </c>
      <c r="L1122" s="7" t="n">
        <v>17</v>
      </c>
      <c r="M1122" s="7" t="n">
        <v>10</v>
      </c>
      <c r="N1122" s="7" t="n">
        <v>4</v>
      </c>
      <c r="O1122" s="7" t="n">
        <v>1</v>
      </c>
      <c r="P1122" s="8" t="n">
        <f aca="false">IF(E1122=0,0,G1122/E1122)</f>
        <v>0.303030303030303</v>
      </c>
      <c r="Q1122" s="8" t="n">
        <f aca="false">IF(E1122+N1122=0,0,(G1122+N1122)/(E1122+N1122))</f>
        <v>0.378378378378378</v>
      </c>
      <c r="R1122" s="8" t="n">
        <f aca="false">IF(E1122=0,0,L1122/E1122)</f>
        <v>0.515151515151515</v>
      </c>
      <c r="S1122" s="8" t="n">
        <f aca="false">R1122+Q1122</f>
        <v>0.893529893529894</v>
      </c>
      <c r="T1122" s="8" t="n">
        <f aca="false">R1122-P1122</f>
        <v>0.212121212121212</v>
      </c>
    </row>
    <row r="1123" customFormat="false" ht="14.25" hidden="false" customHeight="true" outlineLevel="0" collapsed="false">
      <c r="A1123" s="6" t="n">
        <v>2019</v>
      </c>
      <c r="B1123" s="6" t="s">
        <v>71</v>
      </c>
      <c r="C1123" s="6" t="s">
        <v>83</v>
      </c>
      <c r="D1123" s="7" t="n">
        <v>8</v>
      </c>
      <c r="E1123" s="7" t="n">
        <v>26</v>
      </c>
      <c r="F1123" s="7" t="n">
        <v>9</v>
      </c>
      <c r="G1123" s="7" t="n">
        <v>9</v>
      </c>
      <c r="H1123" s="7" t="n">
        <v>0</v>
      </c>
      <c r="I1123" s="7" t="n">
        <v>0</v>
      </c>
      <c r="J1123" s="7" t="n">
        <v>1</v>
      </c>
      <c r="K1123" s="7" t="n">
        <v>1</v>
      </c>
      <c r="L1123" s="7" t="n">
        <v>12</v>
      </c>
      <c r="M1123" s="7" t="n">
        <v>1</v>
      </c>
      <c r="N1123" s="7" t="n">
        <v>2</v>
      </c>
      <c r="O1123" s="7" t="n">
        <v>1</v>
      </c>
      <c r="P1123" s="8" t="n">
        <f aca="false">IF(E1123=0,0,G1123/E1123)</f>
        <v>0.346153846153846</v>
      </c>
      <c r="Q1123" s="8" t="n">
        <f aca="false">IF(E1123+N1123=0,0,(G1123+N1123)/(E1123+N1123))</f>
        <v>0.392857142857143</v>
      </c>
      <c r="R1123" s="8" t="n">
        <f aca="false">IF(E1123=0,0,L1123/E1123)</f>
        <v>0.461538461538462</v>
      </c>
      <c r="S1123" s="8" t="n">
        <f aca="false">R1123+Q1123</f>
        <v>0.854395604395605</v>
      </c>
      <c r="T1123" s="8" t="n">
        <f aca="false">R1123-P1123</f>
        <v>0.115384615384615</v>
      </c>
    </row>
    <row r="1124" customFormat="false" ht="14.25" hidden="false" customHeight="true" outlineLevel="0" collapsed="false">
      <c r="A1124" s="6" t="n">
        <v>2019</v>
      </c>
      <c r="B1124" s="6" t="s">
        <v>71</v>
      </c>
      <c r="C1124" s="6" t="s">
        <v>90</v>
      </c>
      <c r="D1124" s="7" t="n">
        <v>9</v>
      </c>
      <c r="E1124" s="7" t="n">
        <v>23</v>
      </c>
      <c r="F1124" s="7" t="n">
        <v>1</v>
      </c>
      <c r="G1124" s="7" t="n">
        <v>6</v>
      </c>
      <c r="H1124" s="7" t="n">
        <v>3</v>
      </c>
      <c r="I1124" s="7" t="n">
        <v>0</v>
      </c>
      <c r="J1124" s="7" t="n">
        <v>0</v>
      </c>
      <c r="K1124" s="7" t="n">
        <v>3</v>
      </c>
      <c r="L1124" s="7" t="n">
        <v>9</v>
      </c>
      <c r="M1124" s="7" t="n">
        <v>2</v>
      </c>
      <c r="N1124" s="7" t="n">
        <v>4</v>
      </c>
      <c r="O1124" s="7" t="n">
        <v>3</v>
      </c>
      <c r="P1124" s="8" t="n">
        <f aca="false">IF(E1124=0,0,G1124/E1124)</f>
        <v>0.260869565217391</v>
      </c>
      <c r="Q1124" s="8" t="n">
        <f aca="false">IF(E1124+N1124=0,0,(G1124+N1124)/(E1124+N1124))</f>
        <v>0.37037037037037</v>
      </c>
      <c r="R1124" s="8" t="n">
        <f aca="false">IF(E1124=0,0,L1124/E1124)</f>
        <v>0.391304347826087</v>
      </c>
      <c r="S1124" s="8" t="n">
        <f aca="false">R1124+Q1124</f>
        <v>0.761674718196457</v>
      </c>
      <c r="T1124" s="8" t="n">
        <f aca="false">R1124-P1124</f>
        <v>0.130434782608696</v>
      </c>
    </row>
    <row r="1125" customFormat="false" ht="14.25" hidden="false" customHeight="true" outlineLevel="0" collapsed="false">
      <c r="A1125" s="6" t="n">
        <v>2019</v>
      </c>
      <c r="B1125" s="6" t="s">
        <v>71</v>
      </c>
      <c r="C1125" s="6" t="s">
        <v>412</v>
      </c>
      <c r="D1125" s="7" t="n">
        <v>10</v>
      </c>
      <c r="E1125" s="7" t="n">
        <v>20</v>
      </c>
      <c r="F1125" s="7" t="n">
        <v>2</v>
      </c>
      <c r="G1125" s="7" t="n">
        <v>6</v>
      </c>
      <c r="H1125" s="7" t="n">
        <v>2</v>
      </c>
      <c r="I1125" s="7" t="n">
        <v>0</v>
      </c>
      <c r="J1125" s="7" t="n">
        <v>0</v>
      </c>
      <c r="K1125" s="7" t="n">
        <v>2</v>
      </c>
      <c r="L1125" s="7" t="n">
        <v>8</v>
      </c>
      <c r="M1125" s="7" t="n">
        <v>6</v>
      </c>
      <c r="N1125" s="7" t="n">
        <v>1</v>
      </c>
      <c r="O1125" s="7" t="n">
        <v>4</v>
      </c>
      <c r="P1125" s="8" t="n">
        <f aca="false">IF(E1125=0,0,G1125/E1125)</f>
        <v>0.3</v>
      </c>
      <c r="Q1125" s="8" t="n">
        <f aca="false">IF(E1125+N1125=0,0,(G1125+N1125)/(E1125+N1125))</f>
        <v>0.333333333333333</v>
      </c>
      <c r="R1125" s="8" t="n">
        <f aca="false">IF(E1125=0,0,L1125/E1125)</f>
        <v>0.4</v>
      </c>
      <c r="S1125" s="8" t="n">
        <f aca="false">R1125+Q1125</f>
        <v>0.733333333333333</v>
      </c>
      <c r="T1125" s="8" t="n">
        <f aca="false">R1125-P1125</f>
        <v>0.1</v>
      </c>
    </row>
    <row r="1126" customFormat="false" ht="14.25" hidden="false" customHeight="true" outlineLevel="0" collapsed="false">
      <c r="A1126" s="6" t="n">
        <v>2019</v>
      </c>
      <c r="B1126" s="6" t="s">
        <v>71</v>
      </c>
      <c r="C1126" s="6" t="s">
        <v>242</v>
      </c>
      <c r="D1126" s="7" t="n">
        <v>7</v>
      </c>
      <c r="E1126" s="7" t="n">
        <v>19</v>
      </c>
      <c r="F1126" s="7" t="n">
        <v>2</v>
      </c>
      <c r="G1126" s="7" t="n">
        <v>4</v>
      </c>
      <c r="H1126" s="7" t="n">
        <v>2</v>
      </c>
      <c r="I1126" s="7" t="n">
        <v>0</v>
      </c>
      <c r="J1126" s="7" t="n">
        <v>0</v>
      </c>
      <c r="K1126" s="7" t="n">
        <v>2</v>
      </c>
      <c r="L1126" s="7" t="n">
        <v>6</v>
      </c>
      <c r="M1126" s="7" t="n">
        <v>1</v>
      </c>
      <c r="N1126" s="7" t="n">
        <v>0</v>
      </c>
      <c r="O1126" s="7" t="n">
        <v>0</v>
      </c>
      <c r="P1126" s="8" t="n">
        <f aca="false">IF(E1126=0,0,G1126/E1126)</f>
        <v>0.210526315789474</v>
      </c>
      <c r="Q1126" s="8" t="n">
        <f aca="false">IF(E1126+N1126=0,0,(G1126+N1126)/(E1126+N1126))</f>
        <v>0.210526315789474</v>
      </c>
      <c r="R1126" s="8" t="n">
        <f aca="false">IF(E1126=0,0,L1126/E1126)</f>
        <v>0.315789473684211</v>
      </c>
      <c r="S1126" s="8" t="n">
        <f aca="false">R1126+Q1126</f>
        <v>0.526315789473684</v>
      </c>
      <c r="T1126" s="8" t="n">
        <f aca="false">R1126-P1126</f>
        <v>0.105263157894737</v>
      </c>
    </row>
    <row r="1127" customFormat="false" ht="14.25" hidden="false" customHeight="true" outlineLevel="0" collapsed="false">
      <c r="A1127" s="6" t="n">
        <v>2019</v>
      </c>
      <c r="B1127" s="6" t="s">
        <v>71</v>
      </c>
      <c r="C1127" s="6" t="s">
        <v>85</v>
      </c>
      <c r="D1127" s="7" t="n">
        <v>11</v>
      </c>
      <c r="E1127" s="7" t="n">
        <v>21</v>
      </c>
      <c r="F1127" s="7" t="n">
        <v>3</v>
      </c>
      <c r="G1127" s="7" t="n">
        <v>4</v>
      </c>
      <c r="H1127" s="7" t="n">
        <v>1</v>
      </c>
      <c r="I1127" s="7" t="n">
        <v>0</v>
      </c>
      <c r="J1127" s="7" t="n">
        <v>0</v>
      </c>
      <c r="K1127" s="7" t="n">
        <v>1</v>
      </c>
      <c r="L1127" s="7" t="n">
        <v>5</v>
      </c>
      <c r="M1127" s="7" t="n">
        <v>0</v>
      </c>
      <c r="N1127" s="7" t="n">
        <v>5</v>
      </c>
      <c r="O1127" s="7" t="n">
        <v>1</v>
      </c>
      <c r="P1127" s="8" t="n">
        <f aca="false">IF(E1127=0,0,G1127/E1127)</f>
        <v>0.19047619047619</v>
      </c>
      <c r="Q1127" s="8" t="n">
        <f aca="false">IF(E1127+N1127=0,0,(G1127+N1127)/(E1127+N1127))</f>
        <v>0.346153846153846</v>
      </c>
      <c r="R1127" s="8" t="n">
        <f aca="false">IF(E1127=0,0,L1127/E1127)</f>
        <v>0.238095238095238</v>
      </c>
      <c r="S1127" s="8" t="n">
        <f aca="false">R1127+Q1127</f>
        <v>0.584249084249084</v>
      </c>
      <c r="T1127" s="8" t="n">
        <f aca="false">R1127-P1127</f>
        <v>0.0476190476190476</v>
      </c>
    </row>
    <row r="1128" customFormat="false" ht="14.25" hidden="false" customHeight="true" outlineLevel="0" collapsed="false">
      <c r="A1128" s="6" t="n">
        <v>2019</v>
      </c>
      <c r="B1128" s="6" t="s">
        <v>71</v>
      </c>
      <c r="C1128" s="6" t="s">
        <v>375</v>
      </c>
      <c r="D1128" s="7" t="n">
        <v>12</v>
      </c>
      <c r="E1128" s="7" t="n">
        <v>33</v>
      </c>
      <c r="F1128" s="7" t="n">
        <v>1</v>
      </c>
      <c r="G1128" s="7" t="n">
        <v>2</v>
      </c>
      <c r="H1128" s="7" t="n">
        <v>0</v>
      </c>
      <c r="I1128" s="7" t="n">
        <v>0</v>
      </c>
      <c r="J1128" s="7" t="n">
        <v>0</v>
      </c>
      <c r="K1128" s="7" t="n">
        <v>0</v>
      </c>
      <c r="L1128" s="7" t="n">
        <v>2</v>
      </c>
      <c r="M1128" s="7" t="n">
        <v>2</v>
      </c>
      <c r="N1128" s="7" t="n">
        <v>0</v>
      </c>
      <c r="O1128" s="7" t="n">
        <v>0</v>
      </c>
      <c r="P1128" s="8" t="n">
        <f aca="false">IF(E1128=0,0,G1128/E1128)</f>
        <v>0.0606060606060606</v>
      </c>
      <c r="Q1128" s="8" t="n">
        <f aca="false">IF(E1128+N1128=0,0,(G1128+N1128)/(E1128+N1128))</f>
        <v>0.0606060606060606</v>
      </c>
      <c r="R1128" s="8" t="n">
        <f aca="false">IF(E1128=0,0,L1128/E1128)</f>
        <v>0.0606060606060606</v>
      </c>
      <c r="S1128" s="8" t="n">
        <f aca="false">R1128+Q1128</f>
        <v>0.121212121212121</v>
      </c>
      <c r="T1128" s="8" t="n">
        <f aca="false">R1128-P1128</f>
        <v>0</v>
      </c>
    </row>
    <row r="1129" customFormat="false" ht="14.25" hidden="false" customHeight="true" outlineLevel="0" collapsed="false">
      <c r="A1129" s="6" t="n">
        <v>2019</v>
      </c>
      <c r="B1129" s="6" t="s">
        <v>71</v>
      </c>
      <c r="C1129" s="6" t="s">
        <v>319</v>
      </c>
      <c r="D1129" s="7" t="n">
        <v>8</v>
      </c>
      <c r="E1129" s="7" t="n">
        <v>13</v>
      </c>
      <c r="F1129" s="7" t="n">
        <v>1</v>
      </c>
      <c r="G1129" s="7" t="n">
        <v>2</v>
      </c>
      <c r="H1129" s="7" t="n">
        <v>0</v>
      </c>
      <c r="I1129" s="7" t="n">
        <v>0</v>
      </c>
      <c r="J1129" s="7" t="n">
        <v>0</v>
      </c>
      <c r="K1129" s="7" t="n">
        <v>0</v>
      </c>
      <c r="L1129" s="7" t="n">
        <v>2</v>
      </c>
      <c r="M1129" s="7" t="n">
        <v>1</v>
      </c>
      <c r="N1129" s="7" t="n">
        <v>3</v>
      </c>
      <c r="O1129" s="7" t="n">
        <v>1</v>
      </c>
      <c r="P1129" s="8" t="n">
        <f aca="false">IF(E1129=0,0,G1129/E1129)</f>
        <v>0.153846153846154</v>
      </c>
      <c r="Q1129" s="8" t="n">
        <f aca="false">IF(E1129+N1129=0,0,(G1129+N1129)/(E1129+N1129))</f>
        <v>0.3125</v>
      </c>
      <c r="R1129" s="8" t="n">
        <f aca="false">IF(E1129=0,0,L1129/E1129)</f>
        <v>0.153846153846154</v>
      </c>
      <c r="S1129" s="8" t="n">
        <f aca="false">R1129+Q1129</f>
        <v>0.466346153846154</v>
      </c>
      <c r="T1129" s="8" t="n">
        <f aca="false">R1129-P1129</f>
        <v>0</v>
      </c>
    </row>
    <row r="1130" customFormat="false" ht="14.25" hidden="false" customHeight="true" outlineLevel="0" collapsed="false">
      <c r="A1130" s="6" t="n">
        <v>2019</v>
      </c>
      <c r="B1130" s="6" t="s">
        <v>71</v>
      </c>
      <c r="C1130" s="6" t="s">
        <v>246</v>
      </c>
      <c r="D1130" s="7" t="n">
        <v>7</v>
      </c>
      <c r="E1130" s="7" t="n">
        <v>14</v>
      </c>
      <c r="F1130" s="7" t="n">
        <v>1</v>
      </c>
      <c r="G1130" s="7" t="n">
        <v>2</v>
      </c>
      <c r="H1130" s="7" t="n">
        <v>0</v>
      </c>
      <c r="I1130" s="7" t="n">
        <v>0</v>
      </c>
      <c r="J1130" s="7" t="n">
        <v>0</v>
      </c>
      <c r="K1130" s="7" t="n">
        <v>0</v>
      </c>
      <c r="L1130" s="7" t="n">
        <v>2</v>
      </c>
      <c r="M1130" s="7" t="n">
        <v>0</v>
      </c>
      <c r="N1130" s="7" t="n">
        <v>1</v>
      </c>
      <c r="O1130" s="7" t="n">
        <v>1</v>
      </c>
      <c r="P1130" s="8" t="n">
        <f aca="false">IF(E1130=0,0,G1130/E1130)</f>
        <v>0.142857142857143</v>
      </c>
      <c r="Q1130" s="8" t="n">
        <f aca="false">IF(E1130+N1130=0,0,(G1130+N1130)/(E1130+N1130))</f>
        <v>0.2</v>
      </c>
      <c r="R1130" s="8" t="n">
        <f aca="false">IF(E1130=0,0,L1130/E1130)</f>
        <v>0.142857142857143</v>
      </c>
      <c r="S1130" s="8" t="n">
        <f aca="false">R1130+Q1130</f>
        <v>0.342857142857143</v>
      </c>
      <c r="T1130" s="8" t="n">
        <f aca="false">R1130-P1130</f>
        <v>0</v>
      </c>
    </row>
    <row r="1131" customFormat="false" ht="14.25" hidden="false" customHeight="true" outlineLevel="0" collapsed="false">
      <c r="A1131" s="6" t="n">
        <v>2019</v>
      </c>
      <c r="B1131" s="6" t="s">
        <v>71</v>
      </c>
      <c r="C1131" s="6" t="s">
        <v>278</v>
      </c>
      <c r="D1131" s="7" t="n">
        <v>1</v>
      </c>
      <c r="E1131" s="7" t="n">
        <v>4</v>
      </c>
      <c r="F1131" s="7" t="n">
        <v>0</v>
      </c>
      <c r="G1131" s="7" t="n">
        <v>0</v>
      </c>
      <c r="H1131" s="7" t="n">
        <v>0</v>
      </c>
      <c r="I1131" s="7" t="n">
        <v>0</v>
      </c>
      <c r="J1131" s="7" t="n">
        <v>0</v>
      </c>
      <c r="K1131" s="7" t="n">
        <v>0</v>
      </c>
      <c r="L1131" s="7" t="n">
        <v>0</v>
      </c>
      <c r="M1131" s="7" t="n">
        <v>0</v>
      </c>
      <c r="N1131" s="7" t="n">
        <v>0</v>
      </c>
      <c r="O1131" s="7" t="n">
        <v>4</v>
      </c>
      <c r="P1131" s="8" t="n">
        <f aca="false">IF(E1131=0,0,G1131/E1131)</f>
        <v>0</v>
      </c>
      <c r="Q1131" s="8" t="n">
        <f aca="false">IF(E1131+N1131=0,0,(G1131+N1131)/(E1131+N1131))</f>
        <v>0</v>
      </c>
      <c r="R1131" s="8" t="n">
        <f aca="false">IF(E1131=0,0,L1131/E1131)</f>
        <v>0</v>
      </c>
      <c r="S1131" s="8" t="n">
        <f aca="false">R1131+Q1131</f>
        <v>0</v>
      </c>
      <c r="T1131" s="8" t="n">
        <f aca="false">R1131-P1131</f>
        <v>0</v>
      </c>
    </row>
    <row r="1132" customFormat="false" ht="14.25" hidden="false" customHeight="true" outlineLevel="0" collapsed="false">
      <c r="A1132" s="6" t="n">
        <v>2019</v>
      </c>
      <c r="B1132" s="6" t="s">
        <v>71</v>
      </c>
      <c r="C1132" s="6" t="s">
        <v>245</v>
      </c>
      <c r="D1132" s="7" t="n">
        <v>1</v>
      </c>
      <c r="E1132" s="7" t="n">
        <v>1</v>
      </c>
      <c r="F1132" s="7" t="n">
        <v>0</v>
      </c>
      <c r="G1132" s="7" t="n">
        <v>0</v>
      </c>
      <c r="H1132" s="7" t="n">
        <v>0</v>
      </c>
      <c r="I1132" s="7" t="n">
        <v>0</v>
      </c>
      <c r="J1132" s="7" t="n">
        <v>0</v>
      </c>
      <c r="K1132" s="7" t="n">
        <v>0</v>
      </c>
      <c r="L1132" s="7" t="n">
        <v>0</v>
      </c>
      <c r="M1132" s="7" t="n">
        <v>0</v>
      </c>
      <c r="N1132" s="7" t="n">
        <v>0</v>
      </c>
      <c r="O1132" s="7" t="n">
        <v>1</v>
      </c>
      <c r="P1132" s="8" t="n">
        <f aca="false">IF(E1132=0,0,G1132/E1132)</f>
        <v>0</v>
      </c>
      <c r="Q1132" s="8" t="n">
        <f aca="false">IF(E1132+N1132=0,0,(G1132+N1132)/(E1132+N1132))</f>
        <v>0</v>
      </c>
      <c r="R1132" s="8" t="n">
        <f aca="false">IF(E1132=0,0,L1132/E1132)</f>
        <v>0</v>
      </c>
      <c r="S1132" s="8" t="n">
        <f aca="false">R1132+Q1132</f>
        <v>0</v>
      </c>
      <c r="T1132" s="8" t="n">
        <f aca="false">R1132-P1132</f>
        <v>0</v>
      </c>
    </row>
    <row r="1133" customFormat="false" ht="14.25" hidden="false" customHeight="true" outlineLevel="0" collapsed="false">
      <c r="A1133" s="6" t="n">
        <v>2019</v>
      </c>
      <c r="B1133" s="6" t="s">
        <v>71</v>
      </c>
      <c r="C1133" s="6" t="s">
        <v>462</v>
      </c>
      <c r="D1133" s="7" t="n">
        <v>1</v>
      </c>
      <c r="E1133" s="7" t="n">
        <v>0</v>
      </c>
      <c r="F1133" s="7" t="n">
        <v>1</v>
      </c>
      <c r="G1133" s="7" t="n">
        <v>0</v>
      </c>
      <c r="H1133" s="7" t="n">
        <v>0</v>
      </c>
      <c r="I1133" s="7" t="n">
        <v>0</v>
      </c>
      <c r="J1133" s="7" t="n">
        <v>0</v>
      </c>
      <c r="K1133" s="7" t="n">
        <v>0</v>
      </c>
      <c r="L1133" s="7" t="n">
        <v>0</v>
      </c>
      <c r="M1133" s="7" t="n">
        <v>0</v>
      </c>
      <c r="N1133" s="7" t="n">
        <v>1</v>
      </c>
      <c r="O1133" s="7" t="n">
        <v>0</v>
      </c>
      <c r="P1133" s="8" t="n">
        <f aca="false">IF(E1133=0,0,G1133/E1133)</f>
        <v>0</v>
      </c>
      <c r="Q1133" s="8" t="n">
        <f aca="false">IF(E1133+N1133=0,0,(G1133+N1133)/(E1133+N1133))</f>
        <v>1</v>
      </c>
      <c r="R1133" s="8" t="n">
        <f aca="false">IF(E1133=0,0,L1133/E1133)</f>
        <v>0</v>
      </c>
      <c r="S1133" s="8" t="n">
        <f aca="false">R1133+Q1133</f>
        <v>1</v>
      </c>
      <c r="T1133" s="8" t="n">
        <f aca="false">R1133-P1133</f>
        <v>0</v>
      </c>
    </row>
    <row r="1134" customFormat="false" ht="14.25" hidden="false" customHeight="true" outlineLevel="0" collapsed="false">
      <c r="A1134" s="6" t="n">
        <v>2019</v>
      </c>
      <c r="B1134" s="6" t="s">
        <v>71</v>
      </c>
      <c r="C1134" s="6" t="s">
        <v>249</v>
      </c>
      <c r="D1134" s="7" t="n">
        <v>1</v>
      </c>
      <c r="E1134" s="7" t="n">
        <v>1</v>
      </c>
      <c r="F1134" s="7" t="n">
        <v>0</v>
      </c>
      <c r="G1134" s="7" t="n">
        <v>0</v>
      </c>
      <c r="H1134" s="7" t="n">
        <v>0</v>
      </c>
      <c r="I1134" s="7" t="n">
        <v>0</v>
      </c>
      <c r="J1134" s="7" t="n">
        <v>0</v>
      </c>
      <c r="K1134" s="7" t="n">
        <v>0</v>
      </c>
      <c r="L1134" s="7" t="n">
        <v>0</v>
      </c>
      <c r="M1134" s="7" t="n">
        <v>0</v>
      </c>
      <c r="N1134" s="7" t="n">
        <v>0</v>
      </c>
      <c r="O1134" s="7" t="n">
        <v>0</v>
      </c>
      <c r="P1134" s="8" t="n">
        <f aca="false">IF(E1134=0,0,G1134/E1134)</f>
        <v>0</v>
      </c>
      <c r="Q1134" s="8" t="n">
        <f aca="false">IF(E1134+N1134=0,0,(G1134+N1134)/(E1134+N1134))</f>
        <v>0</v>
      </c>
      <c r="R1134" s="8" t="n">
        <f aca="false">IF(E1134=0,0,L1134/E1134)</f>
        <v>0</v>
      </c>
      <c r="S1134" s="8" t="n">
        <f aca="false">R1134+Q1134</f>
        <v>0</v>
      </c>
      <c r="T1134" s="8" t="n">
        <f aca="false">R1134-P1134</f>
        <v>0</v>
      </c>
    </row>
    <row r="1135" customFormat="false" ht="14.25" hidden="false" customHeight="true" outlineLevel="0" collapsed="false">
      <c r="A1135" s="6" t="n">
        <v>2019</v>
      </c>
      <c r="B1135" s="6" t="s">
        <v>97</v>
      </c>
      <c r="C1135" s="6" t="s">
        <v>108</v>
      </c>
      <c r="D1135" s="7" t="n">
        <v>13</v>
      </c>
      <c r="E1135" s="7" t="n">
        <v>35</v>
      </c>
      <c r="F1135" s="7" t="n">
        <v>5</v>
      </c>
      <c r="G1135" s="7" t="n">
        <v>14</v>
      </c>
      <c r="H1135" s="7" t="n">
        <v>0</v>
      </c>
      <c r="I1135" s="7" t="n">
        <v>0</v>
      </c>
      <c r="J1135" s="7" t="n">
        <v>0</v>
      </c>
      <c r="K1135" s="7" t="n">
        <v>0</v>
      </c>
      <c r="L1135" s="7" t="n">
        <v>14</v>
      </c>
      <c r="M1135" s="7" t="n">
        <v>7</v>
      </c>
      <c r="N1135" s="7" t="n">
        <v>5</v>
      </c>
      <c r="O1135" s="7" t="n">
        <v>2</v>
      </c>
      <c r="P1135" s="8" t="n">
        <f aca="false">IF(E1135=0,0,G1135/E1135)</f>
        <v>0.4</v>
      </c>
      <c r="Q1135" s="8" t="n">
        <f aca="false">IF(E1135+N1135=0,0,(G1135+N1135)/(E1135+N1135))</f>
        <v>0.475</v>
      </c>
      <c r="R1135" s="8" t="n">
        <f aca="false">IF(E1135=0,0,L1135/E1135)</f>
        <v>0.4</v>
      </c>
      <c r="S1135" s="8" t="n">
        <f aca="false">R1135+Q1135</f>
        <v>0.875</v>
      </c>
      <c r="T1135" s="8" t="n">
        <f aca="false">R1135-P1135</f>
        <v>0</v>
      </c>
    </row>
    <row r="1136" customFormat="false" ht="14.25" hidden="false" customHeight="true" outlineLevel="0" collapsed="false">
      <c r="A1136" s="6" t="n">
        <v>2019</v>
      </c>
      <c r="B1136" s="6" t="s">
        <v>97</v>
      </c>
      <c r="C1136" s="6" t="s">
        <v>178</v>
      </c>
      <c r="D1136" s="7" t="n">
        <v>12</v>
      </c>
      <c r="E1136" s="7" t="n">
        <v>32</v>
      </c>
      <c r="F1136" s="7" t="n">
        <v>11</v>
      </c>
      <c r="G1136" s="7" t="n">
        <v>11</v>
      </c>
      <c r="H1136" s="7" t="n">
        <v>3</v>
      </c>
      <c r="I1136" s="7" t="n">
        <v>1</v>
      </c>
      <c r="J1136" s="7" t="n">
        <v>3</v>
      </c>
      <c r="K1136" s="7" t="n">
        <v>7</v>
      </c>
      <c r="L1136" s="7" t="n">
        <v>25</v>
      </c>
      <c r="M1136" s="7" t="n">
        <v>6</v>
      </c>
      <c r="N1136" s="7" t="n">
        <v>12</v>
      </c>
      <c r="O1136" s="7" t="n">
        <v>0</v>
      </c>
      <c r="P1136" s="8" t="n">
        <f aca="false">IF(E1136=0,0,G1136/E1136)</f>
        <v>0.34375</v>
      </c>
      <c r="Q1136" s="8" t="n">
        <f aca="false">IF(E1136+N1136=0,0,(G1136+N1136)/(E1136+N1136))</f>
        <v>0.522727272727273</v>
      </c>
      <c r="R1136" s="8" t="n">
        <f aca="false">IF(E1136=0,0,L1136/E1136)</f>
        <v>0.78125</v>
      </c>
      <c r="S1136" s="8" t="n">
        <f aca="false">R1136+Q1136</f>
        <v>1.30397727272727</v>
      </c>
      <c r="T1136" s="8" t="n">
        <f aca="false">R1136-P1136</f>
        <v>0.4375</v>
      </c>
    </row>
    <row r="1137" customFormat="false" ht="14.25" hidden="false" customHeight="true" outlineLevel="0" collapsed="false">
      <c r="A1137" s="6" t="n">
        <v>2019</v>
      </c>
      <c r="B1137" s="6" t="s">
        <v>97</v>
      </c>
      <c r="C1137" s="6" t="s">
        <v>170</v>
      </c>
      <c r="D1137" s="7" t="n">
        <v>12</v>
      </c>
      <c r="E1137" s="7" t="n">
        <v>29</v>
      </c>
      <c r="F1137" s="7" t="n">
        <v>11</v>
      </c>
      <c r="G1137" s="7" t="n">
        <v>11</v>
      </c>
      <c r="H1137" s="7" t="n">
        <v>1</v>
      </c>
      <c r="I1137" s="7" t="n">
        <v>0</v>
      </c>
      <c r="J1137" s="7" t="n">
        <v>2</v>
      </c>
      <c r="K1137" s="7" t="n">
        <v>3</v>
      </c>
      <c r="L1137" s="7" t="n">
        <v>18</v>
      </c>
      <c r="M1137" s="7" t="n">
        <v>10</v>
      </c>
      <c r="N1137" s="7" t="n">
        <v>9</v>
      </c>
      <c r="O1137" s="7" t="n">
        <v>2</v>
      </c>
      <c r="P1137" s="8" t="n">
        <f aca="false">IF(E1137=0,0,G1137/E1137)</f>
        <v>0.379310344827586</v>
      </c>
      <c r="Q1137" s="8" t="n">
        <f aca="false">IF(E1137+N1137=0,0,(G1137+N1137)/(E1137+N1137))</f>
        <v>0.526315789473684</v>
      </c>
      <c r="R1137" s="8" t="n">
        <f aca="false">IF(E1137=0,0,L1137/E1137)</f>
        <v>0.620689655172414</v>
      </c>
      <c r="S1137" s="8" t="n">
        <f aca="false">R1137+Q1137</f>
        <v>1.1470054446461</v>
      </c>
      <c r="T1137" s="8" t="n">
        <f aca="false">R1137-P1137</f>
        <v>0.241379310344828</v>
      </c>
    </row>
    <row r="1138" customFormat="false" ht="14.25" hidden="false" customHeight="true" outlineLevel="0" collapsed="false">
      <c r="A1138" s="6" t="n">
        <v>2019</v>
      </c>
      <c r="B1138" s="6" t="s">
        <v>97</v>
      </c>
      <c r="C1138" s="6" t="s">
        <v>54</v>
      </c>
      <c r="D1138" s="7" t="n">
        <v>11</v>
      </c>
      <c r="E1138" s="7" t="n">
        <v>35</v>
      </c>
      <c r="F1138" s="7" t="n">
        <v>7</v>
      </c>
      <c r="G1138" s="7" t="n">
        <v>11</v>
      </c>
      <c r="H1138" s="7" t="n">
        <v>1</v>
      </c>
      <c r="I1138" s="7" t="n">
        <v>0</v>
      </c>
      <c r="J1138" s="7" t="n">
        <v>0</v>
      </c>
      <c r="K1138" s="7" t="n">
        <v>1</v>
      </c>
      <c r="L1138" s="7" t="n">
        <v>12</v>
      </c>
      <c r="M1138" s="7" t="n">
        <v>0</v>
      </c>
      <c r="N1138" s="7" t="n">
        <v>5</v>
      </c>
      <c r="O1138" s="7" t="n">
        <v>1</v>
      </c>
      <c r="P1138" s="8" t="n">
        <f aca="false">IF(E1138=0,0,G1138/E1138)</f>
        <v>0.314285714285714</v>
      </c>
      <c r="Q1138" s="8" t="n">
        <f aca="false">IF(E1138+N1138=0,0,(G1138+N1138)/(E1138+N1138))</f>
        <v>0.4</v>
      </c>
      <c r="R1138" s="8" t="n">
        <f aca="false">IF(E1138=0,0,L1138/E1138)</f>
        <v>0.342857142857143</v>
      </c>
      <c r="S1138" s="8" t="n">
        <f aca="false">R1138+Q1138</f>
        <v>0.742857142857143</v>
      </c>
      <c r="T1138" s="8" t="n">
        <f aca="false">R1138-P1138</f>
        <v>0.0285714285714286</v>
      </c>
    </row>
    <row r="1139" customFormat="false" ht="14.25" hidden="false" customHeight="true" outlineLevel="0" collapsed="false">
      <c r="A1139" s="6" t="n">
        <v>2019</v>
      </c>
      <c r="B1139" s="6" t="s">
        <v>97</v>
      </c>
      <c r="C1139" s="6" t="s">
        <v>325</v>
      </c>
      <c r="D1139" s="7" t="n">
        <v>7</v>
      </c>
      <c r="E1139" s="7" t="n">
        <v>21</v>
      </c>
      <c r="F1139" s="7" t="n">
        <v>5</v>
      </c>
      <c r="G1139" s="7" t="n">
        <v>9</v>
      </c>
      <c r="H1139" s="7" t="n">
        <v>0</v>
      </c>
      <c r="I1139" s="7" t="n">
        <v>1</v>
      </c>
      <c r="J1139" s="7" t="n">
        <v>3</v>
      </c>
      <c r="K1139" s="7" t="n">
        <v>4</v>
      </c>
      <c r="L1139" s="7" t="n">
        <v>20</v>
      </c>
      <c r="M1139" s="7" t="n">
        <v>8</v>
      </c>
      <c r="N1139" s="7" t="n">
        <v>3</v>
      </c>
      <c r="O1139" s="7" t="n">
        <v>0</v>
      </c>
      <c r="P1139" s="8" t="n">
        <f aca="false">IF(E1139=0,0,G1139/E1139)</f>
        <v>0.428571428571429</v>
      </c>
      <c r="Q1139" s="8" t="n">
        <f aca="false">IF(E1139+N1139=0,0,(G1139+N1139)/(E1139+N1139))</f>
        <v>0.5</v>
      </c>
      <c r="R1139" s="8" t="n">
        <f aca="false">IF(E1139=0,0,L1139/E1139)</f>
        <v>0.952380952380952</v>
      </c>
      <c r="S1139" s="8" t="n">
        <f aca="false">R1139+Q1139</f>
        <v>1.45238095238095</v>
      </c>
      <c r="T1139" s="8" t="n">
        <f aca="false">R1139-P1139</f>
        <v>0.523809523809524</v>
      </c>
    </row>
    <row r="1140" customFormat="false" ht="14.25" hidden="false" customHeight="true" outlineLevel="0" collapsed="false">
      <c r="A1140" s="6" t="n">
        <v>2019</v>
      </c>
      <c r="B1140" s="6" t="s">
        <v>97</v>
      </c>
      <c r="C1140" s="6" t="s">
        <v>288</v>
      </c>
      <c r="D1140" s="7" t="n">
        <v>11</v>
      </c>
      <c r="E1140" s="7" t="n">
        <v>31</v>
      </c>
      <c r="F1140" s="7" t="n">
        <v>8</v>
      </c>
      <c r="G1140" s="7" t="n">
        <v>9</v>
      </c>
      <c r="H1140" s="7" t="n">
        <v>0</v>
      </c>
      <c r="I1140" s="7" t="n">
        <v>0</v>
      </c>
      <c r="J1140" s="7" t="n">
        <v>0</v>
      </c>
      <c r="K1140" s="7" t="n">
        <v>0</v>
      </c>
      <c r="L1140" s="7" t="n">
        <v>9</v>
      </c>
      <c r="M1140" s="7" t="n">
        <v>1</v>
      </c>
      <c r="N1140" s="7" t="n">
        <v>9</v>
      </c>
      <c r="O1140" s="7" t="n">
        <v>3</v>
      </c>
      <c r="P1140" s="8" t="n">
        <f aca="false">IF(E1140=0,0,G1140/E1140)</f>
        <v>0.290322580645161</v>
      </c>
      <c r="Q1140" s="8" t="n">
        <f aca="false">IF(E1140+N1140=0,0,(G1140+N1140)/(E1140+N1140))</f>
        <v>0.45</v>
      </c>
      <c r="R1140" s="8" t="n">
        <f aca="false">IF(E1140=0,0,L1140/E1140)</f>
        <v>0.290322580645161</v>
      </c>
      <c r="S1140" s="8" t="n">
        <f aca="false">R1140+Q1140</f>
        <v>0.740322580645161</v>
      </c>
      <c r="T1140" s="8" t="n">
        <f aca="false">R1140-P1140</f>
        <v>0</v>
      </c>
    </row>
    <row r="1141" customFormat="false" ht="14.25" hidden="false" customHeight="true" outlineLevel="0" collapsed="false">
      <c r="A1141" s="6" t="n">
        <v>2019</v>
      </c>
      <c r="B1141" s="6" t="s">
        <v>97</v>
      </c>
      <c r="C1141" s="6" t="s">
        <v>289</v>
      </c>
      <c r="D1141" s="7" t="n">
        <v>10</v>
      </c>
      <c r="E1141" s="7" t="n">
        <v>27</v>
      </c>
      <c r="F1141" s="7" t="n">
        <v>4</v>
      </c>
      <c r="G1141" s="7" t="n">
        <v>8</v>
      </c>
      <c r="H1141" s="7" t="n">
        <v>2</v>
      </c>
      <c r="I1141" s="7" t="n">
        <v>0</v>
      </c>
      <c r="J1141" s="7" t="n">
        <v>0</v>
      </c>
      <c r="K1141" s="7" t="n">
        <v>2</v>
      </c>
      <c r="L1141" s="7" t="n">
        <v>10</v>
      </c>
      <c r="M1141" s="7" t="n">
        <v>6</v>
      </c>
      <c r="N1141" s="7" t="n">
        <v>3</v>
      </c>
      <c r="O1141" s="7" t="n">
        <v>0</v>
      </c>
      <c r="P1141" s="8" t="n">
        <f aca="false">IF(E1141=0,0,G1141/E1141)</f>
        <v>0.296296296296296</v>
      </c>
      <c r="Q1141" s="8" t="n">
        <f aca="false">IF(E1141+N1141=0,0,(G1141+N1141)/(E1141+N1141))</f>
        <v>0.366666666666667</v>
      </c>
      <c r="R1141" s="8" t="n">
        <f aca="false">IF(E1141=0,0,L1141/E1141)</f>
        <v>0.37037037037037</v>
      </c>
      <c r="S1141" s="8" t="n">
        <f aca="false">R1141+Q1141</f>
        <v>0.737037037037037</v>
      </c>
      <c r="T1141" s="8" t="n">
        <f aca="false">R1141-P1141</f>
        <v>0.0740740740740741</v>
      </c>
    </row>
    <row r="1142" customFormat="false" ht="14.25" hidden="false" customHeight="true" outlineLevel="0" collapsed="false">
      <c r="A1142" s="6" t="n">
        <v>2019</v>
      </c>
      <c r="B1142" s="6" t="s">
        <v>97</v>
      </c>
      <c r="C1142" s="6" t="s">
        <v>99</v>
      </c>
      <c r="D1142" s="7" t="n">
        <v>11</v>
      </c>
      <c r="E1142" s="7" t="n">
        <v>31</v>
      </c>
      <c r="F1142" s="7" t="n">
        <v>1</v>
      </c>
      <c r="G1142" s="7" t="n">
        <v>5</v>
      </c>
      <c r="H1142" s="7" t="n">
        <v>1</v>
      </c>
      <c r="I1142" s="7" t="n">
        <v>0</v>
      </c>
      <c r="J1142" s="7" t="n">
        <v>0</v>
      </c>
      <c r="K1142" s="7" t="n">
        <v>1</v>
      </c>
      <c r="L1142" s="7" t="n">
        <v>6</v>
      </c>
      <c r="M1142" s="7" t="n">
        <v>2</v>
      </c>
      <c r="N1142" s="7" t="n">
        <v>2</v>
      </c>
      <c r="O1142" s="7" t="n">
        <v>3</v>
      </c>
      <c r="P1142" s="8" t="n">
        <f aca="false">IF(E1142=0,0,G1142/E1142)</f>
        <v>0.161290322580645</v>
      </c>
      <c r="Q1142" s="8" t="n">
        <f aca="false">IF(E1142+N1142=0,0,(G1142+N1142)/(E1142+N1142))</f>
        <v>0.212121212121212</v>
      </c>
      <c r="R1142" s="8" t="n">
        <f aca="false">IF(E1142=0,0,L1142/E1142)</f>
        <v>0.193548387096774</v>
      </c>
      <c r="S1142" s="8" t="n">
        <f aca="false">R1142+Q1142</f>
        <v>0.405669599217986</v>
      </c>
      <c r="T1142" s="8" t="n">
        <f aca="false">R1142-P1142</f>
        <v>0.032258064516129</v>
      </c>
    </row>
    <row r="1143" customFormat="false" ht="14.25" hidden="false" customHeight="true" outlineLevel="0" collapsed="false">
      <c r="A1143" s="6" t="n">
        <v>2019</v>
      </c>
      <c r="B1143" s="6" t="s">
        <v>97</v>
      </c>
      <c r="C1143" s="6" t="s">
        <v>177</v>
      </c>
      <c r="D1143" s="7" t="n">
        <v>9</v>
      </c>
      <c r="E1143" s="7" t="n">
        <v>23</v>
      </c>
      <c r="F1143" s="7" t="n">
        <v>3</v>
      </c>
      <c r="G1143" s="7" t="n">
        <v>5</v>
      </c>
      <c r="H1143" s="7" t="n">
        <v>1</v>
      </c>
      <c r="I1143" s="7" t="n">
        <v>0</v>
      </c>
      <c r="J1143" s="7" t="n">
        <v>0</v>
      </c>
      <c r="K1143" s="7" t="n">
        <v>1</v>
      </c>
      <c r="L1143" s="7" t="n">
        <v>6</v>
      </c>
      <c r="M1143" s="7" t="n">
        <v>2</v>
      </c>
      <c r="N1143" s="7" t="n">
        <v>4</v>
      </c>
      <c r="O1143" s="7" t="n">
        <v>1</v>
      </c>
      <c r="P1143" s="8" t="n">
        <f aca="false">IF(E1143=0,0,G1143/E1143)</f>
        <v>0.217391304347826</v>
      </c>
      <c r="Q1143" s="8" t="n">
        <f aca="false">IF(E1143+N1143=0,0,(G1143+N1143)/(E1143+N1143))</f>
        <v>0.333333333333333</v>
      </c>
      <c r="R1143" s="8" t="n">
        <f aca="false">IF(E1143=0,0,L1143/E1143)</f>
        <v>0.260869565217391</v>
      </c>
      <c r="S1143" s="8" t="n">
        <f aca="false">R1143+Q1143</f>
        <v>0.594202898550725</v>
      </c>
      <c r="T1143" s="8" t="n">
        <f aca="false">R1143-P1143</f>
        <v>0.0434782608695652</v>
      </c>
    </row>
    <row r="1144" customFormat="false" ht="14.25" hidden="false" customHeight="true" outlineLevel="0" collapsed="false">
      <c r="A1144" s="6" t="n">
        <v>2019</v>
      </c>
      <c r="B1144" s="6" t="s">
        <v>97</v>
      </c>
      <c r="C1144" s="6" t="s">
        <v>463</v>
      </c>
      <c r="D1144" s="7" t="n">
        <v>2</v>
      </c>
      <c r="E1144" s="7" t="n">
        <v>6</v>
      </c>
      <c r="F1144" s="7" t="n">
        <v>3</v>
      </c>
      <c r="G1144" s="7" t="n">
        <v>5</v>
      </c>
      <c r="H1144" s="7" t="n">
        <v>0</v>
      </c>
      <c r="I1144" s="7" t="n">
        <v>0</v>
      </c>
      <c r="J1144" s="7" t="n">
        <v>0</v>
      </c>
      <c r="K1144" s="7" t="n">
        <v>0</v>
      </c>
      <c r="L1144" s="7" t="n">
        <v>5</v>
      </c>
      <c r="M1144" s="7" t="n">
        <v>4</v>
      </c>
      <c r="N1144" s="7" t="n">
        <v>0</v>
      </c>
      <c r="O1144" s="7" t="n">
        <v>0</v>
      </c>
      <c r="P1144" s="8" t="n">
        <f aca="false">IF(E1144=0,0,G1144/E1144)</f>
        <v>0.833333333333333</v>
      </c>
      <c r="Q1144" s="8" t="n">
        <f aca="false">IF(E1144+N1144=0,0,(G1144+N1144)/(E1144+N1144))</f>
        <v>0.833333333333333</v>
      </c>
      <c r="R1144" s="8" t="n">
        <f aca="false">IF(E1144=0,0,L1144/E1144)</f>
        <v>0.833333333333333</v>
      </c>
      <c r="S1144" s="8" t="n">
        <f aca="false">R1144+Q1144</f>
        <v>1.66666666666667</v>
      </c>
      <c r="T1144" s="8" t="n">
        <f aca="false">R1144-P1144</f>
        <v>0</v>
      </c>
    </row>
    <row r="1145" customFormat="false" ht="14.25" hidden="false" customHeight="true" outlineLevel="0" collapsed="false">
      <c r="A1145" s="6" t="n">
        <v>2019</v>
      </c>
      <c r="B1145" s="6" t="s">
        <v>97</v>
      </c>
      <c r="C1145" s="6" t="s">
        <v>436</v>
      </c>
      <c r="D1145" s="7" t="n">
        <v>5</v>
      </c>
      <c r="E1145" s="7" t="n">
        <v>14</v>
      </c>
      <c r="F1145" s="7" t="n">
        <v>4</v>
      </c>
      <c r="G1145" s="7" t="n">
        <v>4</v>
      </c>
      <c r="H1145" s="7" t="n">
        <v>0</v>
      </c>
      <c r="I1145" s="7" t="n">
        <v>1</v>
      </c>
      <c r="J1145" s="7" t="n">
        <v>1</v>
      </c>
      <c r="K1145" s="7" t="n">
        <v>2</v>
      </c>
      <c r="L1145" s="7" t="n">
        <v>9</v>
      </c>
      <c r="M1145" s="7" t="n">
        <v>4</v>
      </c>
      <c r="N1145" s="7" t="n">
        <v>1</v>
      </c>
      <c r="O1145" s="7" t="n">
        <v>1</v>
      </c>
      <c r="P1145" s="8" t="n">
        <f aca="false">IF(E1145=0,0,G1145/E1145)</f>
        <v>0.285714285714286</v>
      </c>
      <c r="Q1145" s="8" t="n">
        <f aca="false">IF(E1145+N1145=0,0,(G1145+N1145)/(E1145+N1145))</f>
        <v>0.333333333333333</v>
      </c>
      <c r="R1145" s="8" t="n">
        <f aca="false">IF(E1145=0,0,L1145/E1145)</f>
        <v>0.642857142857143</v>
      </c>
      <c r="S1145" s="8" t="n">
        <f aca="false">R1145+Q1145</f>
        <v>0.976190476190476</v>
      </c>
      <c r="T1145" s="8" t="n">
        <f aca="false">R1145-P1145</f>
        <v>0.357142857142857</v>
      </c>
    </row>
    <row r="1146" customFormat="false" ht="14.25" hidden="false" customHeight="true" outlineLevel="0" collapsed="false">
      <c r="A1146" s="6" t="n">
        <v>2019</v>
      </c>
      <c r="B1146" s="6" t="s">
        <v>97</v>
      </c>
      <c r="C1146" s="6" t="s">
        <v>464</v>
      </c>
      <c r="D1146" s="7" t="n">
        <v>3</v>
      </c>
      <c r="E1146" s="7" t="n">
        <v>10</v>
      </c>
      <c r="F1146" s="7" t="n">
        <v>2</v>
      </c>
      <c r="G1146" s="7" t="n">
        <v>4</v>
      </c>
      <c r="H1146" s="7" t="n">
        <v>1</v>
      </c>
      <c r="I1146" s="7" t="n">
        <v>0</v>
      </c>
      <c r="J1146" s="7" t="n">
        <v>1</v>
      </c>
      <c r="K1146" s="7" t="n">
        <v>2</v>
      </c>
      <c r="L1146" s="7" t="n">
        <v>8</v>
      </c>
      <c r="M1146" s="7" t="n">
        <v>4</v>
      </c>
      <c r="N1146" s="7" t="n">
        <v>0</v>
      </c>
      <c r="O1146" s="7" t="n">
        <v>0</v>
      </c>
      <c r="P1146" s="8" t="n">
        <f aca="false">IF(E1146=0,0,G1146/E1146)</f>
        <v>0.4</v>
      </c>
      <c r="Q1146" s="8" t="n">
        <f aca="false">IF(E1146+N1146=0,0,(G1146+N1146)/(E1146+N1146))</f>
        <v>0.4</v>
      </c>
      <c r="R1146" s="8" t="n">
        <f aca="false">IF(E1146=0,0,L1146/E1146)</f>
        <v>0.8</v>
      </c>
      <c r="S1146" s="8" t="n">
        <f aca="false">R1146+Q1146</f>
        <v>1.2</v>
      </c>
      <c r="T1146" s="8" t="n">
        <f aca="false">R1146-P1146</f>
        <v>0.4</v>
      </c>
    </row>
    <row r="1147" customFormat="false" ht="14.25" hidden="false" customHeight="true" outlineLevel="0" collapsed="false">
      <c r="A1147" s="6" t="n">
        <v>2019</v>
      </c>
      <c r="B1147" s="6" t="s">
        <v>97</v>
      </c>
      <c r="C1147" s="6" t="s">
        <v>169</v>
      </c>
      <c r="D1147" s="7" t="n">
        <v>1</v>
      </c>
      <c r="E1147" s="7" t="n">
        <v>3</v>
      </c>
      <c r="F1147" s="7" t="n">
        <v>2</v>
      </c>
      <c r="G1147" s="7" t="n">
        <v>3</v>
      </c>
      <c r="H1147" s="7" t="n">
        <v>0</v>
      </c>
      <c r="I1147" s="7" t="n">
        <v>0</v>
      </c>
      <c r="J1147" s="7" t="n">
        <v>0</v>
      </c>
      <c r="K1147" s="7" t="n">
        <v>0</v>
      </c>
      <c r="L1147" s="7" t="n">
        <v>3</v>
      </c>
      <c r="M1147" s="7" t="n">
        <v>0</v>
      </c>
      <c r="N1147" s="7" t="n">
        <v>0</v>
      </c>
      <c r="O1147" s="7" t="n">
        <v>0</v>
      </c>
      <c r="P1147" s="8" t="n">
        <f aca="false">IF(E1147=0,0,G1147/E1147)</f>
        <v>1</v>
      </c>
      <c r="Q1147" s="8" t="n">
        <f aca="false">IF(E1147+N1147=0,0,(G1147+N1147)/(E1147+N1147))</f>
        <v>1</v>
      </c>
      <c r="R1147" s="8" t="n">
        <f aca="false">IF(E1147=0,0,L1147/E1147)</f>
        <v>1</v>
      </c>
      <c r="S1147" s="8" t="n">
        <f aca="false">R1147+Q1147</f>
        <v>2</v>
      </c>
      <c r="T1147" s="8" t="n">
        <f aca="false">R1147-P1147</f>
        <v>0</v>
      </c>
    </row>
    <row r="1148" customFormat="false" ht="14.25" hidden="false" customHeight="true" outlineLevel="0" collapsed="false">
      <c r="A1148" s="6" t="n">
        <v>2019</v>
      </c>
      <c r="B1148" s="6" t="s">
        <v>97</v>
      </c>
      <c r="C1148" s="6" t="s">
        <v>465</v>
      </c>
      <c r="D1148" s="7" t="n">
        <v>4</v>
      </c>
      <c r="E1148" s="7" t="n">
        <v>10</v>
      </c>
      <c r="F1148" s="7" t="n">
        <v>1</v>
      </c>
      <c r="G1148" s="7" t="n">
        <v>2</v>
      </c>
      <c r="H1148" s="7" t="n">
        <v>0</v>
      </c>
      <c r="I1148" s="7" t="n">
        <v>0</v>
      </c>
      <c r="J1148" s="7" t="n">
        <v>0</v>
      </c>
      <c r="K1148" s="7" t="n">
        <v>0</v>
      </c>
      <c r="L1148" s="7" t="n">
        <v>2</v>
      </c>
      <c r="M1148" s="7" t="n">
        <v>1</v>
      </c>
      <c r="N1148" s="7" t="n">
        <v>0</v>
      </c>
      <c r="O1148" s="7" t="n">
        <v>3</v>
      </c>
      <c r="P1148" s="8" t="n">
        <f aca="false">IF(E1148=0,0,G1148/E1148)</f>
        <v>0.2</v>
      </c>
      <c r="Q1148" s="8" t="n">
        <f aca="false">IF(E1148+N1148=0,0,(G1148+N1148)/(E1148+N1148))</f>
        <v>0.2</v>
      </c>
      <c r="R1148" s="8" t="n">
        <f aca="false">IF(E1148=0,0,L1148/E1148)</f>
        <v>0.2</v>
      </c>
      <c r="S1148" s="8" t="n">
        <f aca="false">R1148+Q1148</f>
        <v>0.4</v>
      </c>
      <c r="T1148" s="8" t="n">
        <f aca="false">R1148-P1148</f>
        <v>0</v>
      </c>
    </row>
    <row r="1149" customFormat="false" ht="14.25" hidden="false" customHeight="true" outlineLevel="0" collapsed="false">
      <c r="A1149" s="6" t="n">
        <v>2019</v>
      </c>
      <c r="B1149" s="6" t="s">
        <v>97</v>
      </c>
      <c r="C1149" s="6" t="s">
        <v>466</v>
      </c>
      <c r="D1149" s="7" t="n">
        <v>1</v>
      </c>
      <c r="E1149" s="7" t="n">
        <v>3</v>
      </c>
      <c r="F1149" s="7" t="n">
        <v>0</v>
      </c>
      <c r="G1149" s="7" t="n">
        <v>1</v>
      </c>
      <c r="H1149" s="7" t="n">
        <v>1</v>
      </c>
      <c r="I1149" s="7" t="n">
        <v>0</v>
      </c>
      <c r="J1149" s="7" t="n">
        <v>0</v>
      </c>
      <c r="K1149" s="7" t="n">
        <v>1</v>
      </c>
      <c r="L1149" s="7" t="n">
        <v>2</v>
      </c>
      <c r="M1149" s="7" t="n">
        <v>1</v>
      </c>
      <c r="N1149" s="7" t="n">
        <v>0</v>
      </c>
      <c r="O1149" s="7" t="n">
        <v>0</v>
      </c>
      <c r="P1149" s="8" t="n">
        <f aca="false">IF(E1149=0,0,G1149/E1149)</f>
        <v>0.333333333333333</v>
      </c>
      <c r="Q1149" s="8" t="n">
        <f aca="false">IF(E1149+N1149=0,0,(G1149+N1149)/(E1149+N1149))</f>
        <v>0.333333333333333</v>
      </c>
      <c r="R1149" s="8" t="n">
        <f aca="false">IF(E1149=0,0,L1149/E1149)</f>
        <v>0.666666666666667</v>
      </c>
      <c r="S1149" s="8" t="n">
        <f aca="false">R1149+Q1149</f>
        <v>1</v>
      </c>
      <c r="T1149" s="8" t="n">
        <f aca="false">R1149-P1149</f>
        <v>0.333333333333333</v>
      </c>
    </row>
    <row r="1150" customFormat="false" ht="14.25" hidden="false" customHeight="true" outlineLevel="0" collapsed="false">
      <c r="A1150" s="6" t="n">
        <v>2019</v>
      </c>
      <c r="B1150" s="6" t="s">
        <v>97</v>
      </c>
      <c r="C1150" s="6" t="s">
        <v>467</v>
      </c>
      <c r="D1150" s="7" t="n">
        <v>1</v>
      </c>
      <c r="E1150" s="7" t="n">
        <v>3</v>
      </c>
      <c r="F1150" s="7" t="n">
        <v>0</v>
      </c>
      <c r="G1150" s="7" t="n">
        <v>1</v>
      </c>
      <c r="H1150" s="7" t="n">
        <v>0</v>
      </c>
      <c r="I1150" s="7" t="n">
        <v>0</v>
      </c>
      <c r="J1150" s="7" t="n">
        <v>0</v>
      </c>
      <c r="K1150" s="7" t="n">
        <v>0</v>
      </c>
      <c r="L1150" s="7" t="n">
        <v>1</v>
      </c>
      <c r="M1150" s="7" t="n">
        <v>0</v>
      </c>
      <c r="N1150" s="7" t="n">
        <v>0</v>
      </c>
      <c r="O1150" s="7" t="n">
        <v>0</v>
      </c>
      <c r="P1150" s="8" t="n">
        <f aca="false">IF(E1150=0,0,G1150/E1150)</f>
        <v>0.333333333333333</v>
      </c>
      <c r="Q1150" s="8" t="n">
        <f aca="false">IF(E1150+N1150=0,0,(G1150+N1150)/(E1150+N1150))</f>
        <v>0.333333333333333</v>
      </c>
      <c r="R1150" s="8" t="n">
        <f aca="false">IF(E1150=0,0,L1150/E1150)</f>
        <v>0.333333333333333</v>
      </c>
      <c r="S1150" s="8" t="n">
        <f aca="false">R1150+Q1150</f>
        <v>0.666666666666667</v>
      </c>
      <c r="T1150" s="8" t="n">
        <f aca="false">R1150-P1150</f>
        <v>0</v>
      </c>
    </row>
    <row r="1151" customFormat="false" ht="14.25" hidden="false" customHeight="true" outlineLevel="0" collapsed="false">
      <c r="A1151" s="6" t="n">
        <v>2019</v>
      </c>
      <c r="B1151" s="6" t="s">
        <v>97</v>
      </c>
      <c r="C1151" s="6" t="s">
        <v>468</v>
      </c>
      <c r="D1151" s="7" t="n">
        <v>4</v>
      </c>
      <c r="E1151" s="7" t="n">
        <v>7</v>
      </c>
      <c r="F1151" s="7" t="n">
        <v>0</v>
      </c>
      <c r="G1151" s="7" t="n">
        <v>0</v>
      </c>
      <c r="H1151" s="7" t="n">
        <v>0</v>
      </c>
      <c r="I1151" s="7" t="n">
        <v>0</v>
      </c>
      <c r="J1151" s="7" t="n">
        <v>0</v>
      </c>
      <c r="K1151" s="7" t="n">
        <v>0</v>
      </c>
      <c r="L1151" s="7" t="n">
        <v>0</v>
      </c>
      <c r="M1151" s="7" t="n">
        <v>2</v>
      </c>
      <c r="N1151" s="7" t="n">
        <v>0</v>
      </c>
      <c r="O1151" s="7" t="n">
        <v>0</v>
      </c>
      <c r="P1151" s="8" t="n">
        <f aca="false">IF(E1151=0,0,G1151/E1151)</f>
        <v>0</v>
      </c>
      <c r="Q1151" s="8" t="n">
        <f aca="false">IF(E1151+N1151=0,0,(G1151+N1151)/(E1151+N1151))</f>
        <v>0</v>
      </c>
      <c r="R1151" s="8" t="n">
        <f aca="false">IF(E1151=0,0,L1151/E1151)</f>
        <v>0</v>
      </c>
      <c r="S1151" s="8" t="n">
        <f aca="false">R1151+Q1151</f>
        <v>0</v>
      </c>
      <c r="T1151" s="8" t="n">
        <f aca="false">R1151-P1151</f>
        <v>0</v>
      </c>
    </row>
    <row r="1152" customFormat="false" ht="14.25" hidden="false" customHeight="true" outlineLevel="0" collapsed="false">
      <c r="A1152" s="6" t="n">
        <v>2019</v>
      </c>
      <c r="B1152" s="6" t="s">
        <v>97</v>
      </c>
      <c r="C1152" s="6" t="s">
        <v>307</v>
      </c>
      <c r="D1152" s="7" t="n">
        <v>2</v>
      </c>
      <c r="E1152" s="7" t="n">
        <v>5</v>
      </c>
      <c r="F1152" s="7" t="n">
        <v>0</v>
      </c>
      <c r="G1152" s="7" t="n">
        <v>0</v>
      </c>
      <c r="H1152" s="7" t="n">
        <v>0</v>
      </c>
      <c r="I1152" s="7" t="n">
        <v>0</v>
      </c>
      <c r="J1152" s="7" t="n">
        <v>0</v>
      </c>
      <c r="K1152" s="7" t="n">
        <v>0</v>
      </c>
      <c r="L1152" s="7" t="n">
        <v>0</v>
      </c>
      <c r="M1152" s="7" t="n">
        <v>1</v>
      </c>
      <c r="N1152" s="7" t="n">
        <v>1</v>
      </c>
      <c r="O1152" s="7" t="n">
        <v>2</v>
      </c>
      <c r="P1152" s="8" t="n">
        <f aca="false">IF(E1152=0,0,G1152/E1152)</f>
        <v>0</v>
      </c>
      <c r="Q1152" s="8" t="n">
        <f aca="false">IF(E1152+N1152=0,0,(G1152+N1152)/(E1152+N1152))</f>
        <v>0.166666666666667</v>
      </c>
      <c r="R1152" s="8" t="n">
        <f aca="false">IF(E1152=0,0,L1152/E1152)</f>
        <v>0</v>
      </c>
      <c r="S1152" s="8" t="n">
        <f aca="false">R1152+Q1152</f>
        <v>0.166666666666667</v>
      </c>
      <c r="T1152" s="8" t="n">
        <f aca="false">R1152-P1152</f>
        <v>0</v>
      </c>
    </row>
    <row r="1153" customFormat="false" ht="14.25" hidden="false" customHeight="true" outlineLevel="0" collapsed="false">
      <c r="A1153" s="6" t="n">
        <v>2019</v>
      </c>
      <c r="B1153" s="6" t="s">
        <v>97</v>
      </c>
      <c r="C1153" s="6" t="s">
        <v>385</v>
      </c>
      <c r="D1153" s="7" t="n">
        <v>3</v>
      </c>
      <c r="E1153" s="7" t="n">
        <v>8</v>
      </c>
      <c r="F1153" s="7" t="n">
        <v>1</v>
      </c>
      <c r="G1153" s="7" t="n">
        <v>0</v>
      </c>
      <c r="H1153" s="7" t="n">
        <v>0</v>
      </c>
      <c r="I1153" s="7" t="n">
        <v>0</v>
      </c>
      <c r="J1153" s="7" t="n">
        <v>0</v>
      </c>
      <c r="K1153" s="7" t="n">
        <v>0</v>
      </c>
      <c r="L1153" s="7" t="n">
        <v>0</v>
      </c>
      <c r="M1153" s="7" t="n">
        <v>0</v>
      </c>
      <c r="N1153" s="7" t="n">
        <v>0</v>
      </c>
      <c r="O1153" s="7" t="n">
        <v>1</v>
      </c>
      <c r="P1153" s="8" t="n">
        <f aca="false">IF(E1153=0,0,G1153/E1153)</f>
        <v>0</v>
      </c>
      <c r="Q1153" s="8" t="n">
        <f aca="false">IF(E1153+N1153=0,0,(G1153+N1153)/(E1153+N1153))</f>
        <v>0</v>
      </c>
      <c r="R1153" s="8" t="n">
        <f aca="false">IF(E1153=0,0,L1153/E1153)</f>
        <v>0</v>
      </c>
      <c r="S1153" s="8" t="n">
        <f aca="false">R1153+Q1153</f>
        <v>0</v>
      </c>
      <c r="T1153" s="8" t="n">
        <f aca="false">R1153-P1153</f>
        <v>0</v>
      </c>
    </row>
    <row r="1154" customFormat="false" ht="14.25" hidden="false" customHeight="true" outlineLevel="0" collapsed="false">
      <c r="A1154" s="6" t="n">
        <v>2019</v>
      </c>
      <c r="B1154" s="6" t="s">
        <v>97</v>
      </c>
      <c r="C1154" s="6" t="s">
        <v>469</v>
      </c>
      <c r="D1154" s="7" t="n">
        <v>1</v>
      </c>
      <c r="E1154" s="7" t="n">
        <v>3</v>
      </c>
      <c r="F1154" s="7" t="n">
        <v>0</v>
      </c>
      <c r="G1154" s="7" t="n">
        <v>0</v>
      </c>
      <c r="H1154" s="7" t="n">
        <v>0</v>
      </c>
      <c r="I1154" s="7" t="n">
        <v>0</v>
      </c>
      <c r="J1154" s="7" t="n">
        <v>0</v>
      </c>
      <c r="K1154" s="7" t="n">
        <v>0</v>
      </c>
      <c r="L1154" s="7" t="n">
        <v>0</v>
      </c>
      <c r="M1154" s="7" t="n">
        <v>0</v>
      </c>
      <c r="N1154" s="7" t="n">
        <v>0</v>
      </c>
      <c r="O1154" s="7" t="n">
        <v>1</v>
      </c>
      <c r="P1154" s="8" t="n">
        <f aca="false">IF(E1154=0,0,G1154/E1154)</f>
        <v>0</v>
      </c>
      <c r="Q1154" s="8" t="n">
        <f aca="false">IF(E1154+N1154=0,0,(G1154+N1154)/(E1154+N1154))</f>
        <v>0</v>
      </c>
      <c r="R1154" s="8" t="n">
        <f aca="false">IF(E1154=0,0,L1154/E1154)</f>
        <v>0</v>
      </c>
      <c r="S1154" s="8" t="n">
        <f aca="false">R1154+Q1154</f>
        <v>0</v>
      </c>
      <c r="T1154" s="8" t="n">
        <f aca="false">R1154-P1154</f>
        <v>0</v>
      </c>
    </row>
    <row r="1155" customFormat="false" ht="14.25" hidden="false" customHeight="true" outlineLevel="0" collapsed="false">
      <c r="A1155" s="6" t="n">
        <v>2019</v>
      </c>
      <c r="B1155" s="6" t="s">
        <v>97</v>
      </c>
      <c r="C1155" s="6" t="s">
        <v>366</v>
      </c>
      <c r="D1155" s="7" t="n">
        <v>3</v>
      </c>
      <c r="E1155" s="7" t="n">
        <v>9</v>
      </c>
      <c r="F1155" s="7" t="n">
        <v>0</v>
      </c>
      <c r="G1155" s="7" t="n">
        <v>0</v>
      </c>
      <c r="H1155" s="7" t="n">
        <v>0</v>
      </c>
      <c r="I1155" s="7" t="n">
        <v>0</v>
      </c>
      <c r="J1155" s="7" t="n">
        <v>0</v>
      </c>
      <c r="K1155" s="7" t="n">
        <v>0</v>
      </c>
      <c r="L1155" s="7" t="n">
        <v>0</v>
      </c>
      <c r="M1155" s="7" t="n">
        <v>0</v>
      </c>
      <c r="N1155" s="7" t="n">
        <v>0</v>
      </c>
      <c r="O1155" s="7" t="n">
        <v>0</v>
      </c>
      <c r="P1155" s="8" t="n">
        <f aca="false">IF(E1155=0,0,G1155/E1155)</f>
        <v>0</v>
      </c>
      <c r="Q1155" s="8" t="n">
        <f aca="false">IF(E1155+N1155=0,0,(G1155+N1155)/(E1155+N1155))</f>
        <v>0</v>
      </c>
      <c r="R1155" s="8" t="n">
        <f aca="false">IF(E1155=0,0,L1155/E1155)</f>
        <v>0</v>
      </c>
      <c r="S1155" s="8" t="n">
        <f aca="false">R1155+Q1155</f>
        <v>0</v>
      </c>
      <c r="T1155" s="8" t="n">
        <f aca="false">R1155-P1155</f>
        <v>0</v>
      </c>
    </row>
    <row r="1156" customFormat="false" ht="14.25" hidden="false" customHeight="true" outlineLevel="0" collapsed="false">
      <c r="A1156" s="6" t="n">
        <v>2019</v>
      </c>
      <c r="B1156" s="6" t="s">
        <v>97</v>
      </c>
      <c r="C1156" s="6" t="s">
        <v>470</v>
      </c>
      <c r="D1156" s="7" t="n">
        <v>4</v>
      </c>
      <c r="E1156" s="7" t="n">
        <v>5</v>
      </c>
      <c r="F1156" s="7" t="n">
        <v>0</v>
      </c>
      <c r="G1156" s="7" t="n">
        <v>0</v>
      </c>
      <c r="H1156" s="7" t="n">
        <v>0</v>
      </c>
      <c r="I1156" s="7" t="n">
        <v>0</v>
      </c>
      <c r="J1156" s="7" t="n">
        <v>0</v>
      </c>
      <c r="K1156" s="7" t="n">
        <v>0</v>
      </c>
      <c r="L1156" s="7" t="n">
        <v>0</v>
      </c>
      <c r="M1156" s="7" t="n">
        <v>0</v>
      </c>
      <c r="N1156" s="7" t="n">
        <v>0</v>
      </c>
      <c r="O1156" s="7" t="n">
        <v>0</v>
      </c>
      <c r="P1156" s="8" t="n">
        <f aca="false">IF(E1156=0,0,G1156/E1156)</f>
        <v>0</v>
      </c>
      <c r="Q1156" s="8" t="n">
        <f aca="false">IF(E1156+N1156=0,0,(G1156+N1156)/(E1156+N1156))</f>
        <v>0</v>
      </c>
      <c r="R1156" s="8" t="n">
        <f aca="false">IF(E1156=0,0,L1156/E1156)</f>
        <v>0</v>
      </c>
      <c r="S1156" s="8" t="n">
        <f aca="false">R1156+Q1156</f>
        <v>0</v>
      </c>
      <c r="T1156" s="8" t="n">
        <f aca="false">R1156-P1156</f>
        <v>0</v>
      </c>
    </row>
    <row r="1157" customFormat="false" ht="14.25" hidden="false" customHeight="true" outlineLevel="0" collapsed="false">
      <c r="A1157" s="6" t="n">
        <v>2019</v>
      </c>
      <c r="B1157" s="6" t="s">
        <v>97</v>
      </c>
      <c r="C1157" s="6" t="s">
        <v>471</v>
      </c>
      <c r="D1157" s="7" t="n">
        <v>2</v>
      </c>
      <c r="E1157" s="7" t="n">
        <v>5</v>
      </c>
      <c r="F1157" s="7" t="n">
        <v>0</v>
      </c>
      <c r="G1157" s="7" t="n">
        <v>0</v>
      </c>
      <c r="H1157" s="7" t="n">
        <v>0</v>
      </c>
      <c r="I1157" s="7" t="n">
        <v>0</v>
      </c>
      <c r="J1157" s="7" t="n">
        <v>0</v>
      </c>
      <c r="K1157" s="7" t="n">
        <v>0</v>
      </c>
      <c r="L1157" s="7" t="n">
        <v>0</v>
      </c>
      <c r="M1157" s="7" t="n">
        <v>0</v>
      </c>
      <c r="N1157" s="7" t="n">
        <v>0</v>
      </c>
      <c r="O1157" s="7" t="n">
        <v>0</v>
      </c>
      <c r="P1157" s="8" t="n">
        <f aca="false">IF(E1157=0,0,G1157/E1157)</f>
        <v>0</v>
      </c>
      <c r="Q1157" s="8" t="n">
        <f aca="false">IF(E1157+N1157=0,0,(G1157+N1157)/(E1157+N1157))</f>
        <v>0</v>
      </c>
      <c r="R1157" s="8" t="n">
        <f aca="false">IF(E1157=0,0,L1157/E1157)</f>
        <v>0</v>
      </c>
      <c r="S1157" s="8" t="n">
        <f aca="false">R1157+Q1157</f>
        <v>0</v>
      </c>
      <c r="T1157" s="8" t="n">
        <f aca="false">R1157-P1157</f>
        <v>0</v>
      </c>
    </row>
    <row r="1158" customFormat="false" ht="14.25" hidden="false" customHeight="true" outlineLevel="0" collapsed="false">
      <c r="A1158" s="6" t="n">
        <v>2019</v>
      </c>
      <c r="B1158" s="6" t="s">
        <v>97</v>
      </c>
      <c r="C1158" s="6" t="s">
        <v>472</v>
      </c>
      <c r="D1158" s="7" t="n">
        <v>1</v>
      </c>
      <c r="E1158" s="7" t="n">
        <v>3</v>
      </c>
      <c r="F1158" s="7" t="n">
        <v>0</v>
      </c>
      <c r="G1158" s="7" t="n">
        <v>0</v>
      </c>
      <c r="H1158" s="7" t="n">
        <v>0</v>
      </c>
      <c r="I1158" s="7" t="n">
        <v>0</v>
      </c>
      <c r="J1158" s="7" t="n">
        <v>0</v>
      </c>
      <c r="K1158" s="7" t="n">
        <v>0</v>
      </c>
      <c r="L1158" s="7" t="n">
        <v>0</v>
      </c>
      <c r="M1158" s="7" t="n">
        <v>0</v>
      </c>
      <c r="N1158" s="7" t="n">
        <v>0</v>
      </c>
      <c r="O1158" s="7" t="n">
        <v>0</v>
      </c>
      <c r="P1158" s="8" t="n">
        <f aca="false">IF(E1158=0,0,G1158/E1158)</f>
        <v>0</v>
      </c>
      <c r="Q1158" s="8" t="n">
        <f aca="false">IF(E1158+N1158=0,0,(G1158+N1158)/(E1158+N1158))</f>
        <v>0</v>
      </c>
      <c r="R1158" s="8" t="n">
        <f aca="false">IF(E1158=0,0,L1158/E1158)</f>
        <v>0</v>
      </c>
      <c r="S1158" s="8" t="n">
        <f aca="false">R1158+Q1158</f>
        <v>0</v>
      </c>
      <c r="T1158" s="8" t="n">
        <f aca="false">R1158-P1158</f>
        <v>0</v>
      </c>
    </row>
    <row r="1159" customFormat="false" ht="14.25" hidden="false" customHeight="true" outlineLevel="0" collapsed="false">
      <c r="A1159" s="6" t="n">
        <v>2019</v>
      </c>
      <c r="B1159" s="6" t="s">
        <v>97</v>
      </c>
      <c r="C1159" s="6" t="s">
        <v>473</v>
      </c>
      <c r="D1159" s="7" t="n">
        <v>1</v>
      </c>
      <c r="E1159" s="7" t="n">
        <v>3</v>
      </c>
      <c r="F1159" s="7" t="n">
        <v>0</v>
      </c>
      <c r="G1159" s="7" t="n">
        <v>0</v>
      </c>
      <c r="H1159" s="7" t="n">
        <v>0</v>
      </c>
      <c r="I1159" s="7" t="n">
        <v>0</v>
      </c>
      <c r="J1159" s="7" t="n">
        <v>0</v>
      </c>
      <c r="K1159" s="7" t="n">
        <v>0</v>
      </c>
      <c r="L1159" s="7" t="n">
        <v>0</v>
      </c>
      <c r="M1159" s="7" t="n">
        <v>0</v>
      </c>
      <c r="N1159" s="7" t="n">
        <v>0</v>
      </c>
      <c r="O1159" s="7" t="n">
        <v>0</v>
      </c>
      <c r="P1159" s="8" t="n">
        <f aca="false">IF(E1159=0,0,G1159/E1159)</f>
        <v>0</v>
      </c>
      <c r="Q1159" s="8" t="n">
        <f aca="false">IF(E1159+N1159=0,0,(G1159+N1159)/(E1159+N1159))</f>
        <v>0</v>
      </c>
      <c r="R1159" s="8" t="n">
        <f aca="false">IF(E1159=0,0,L1159/E1159)</f>
        <v>0</v>
      </c>
      <c r="S1159" s="8" t="n">
        <f aca="false">R1159+Q1159</f>
        <v>0</v>
      </c>
      <c r="T1159" s="8" t="n">
        <f aca="false">R1159-P1159</f>
        <v>0</v>
      </c>
    </row>
    <row r="1160" customFormat="false" ht="14.25" hidden="false" customHeight="true" outlineLevel="0" collapsed="false">
      <c r="A1160" s="6" t="n">
        <v>2019</v>
      </c>
      <c r="B1160" s="6" t="s">
        <v>97</v>
      </c>
      <c r="C1160" s="6" t="s">
        <v>474</v>
      </c>
      <c r="D1160" s="7" t="n">
        <v>1</v>
      </c>
      <c r="E1160" s="7" t="n">
        <v>3</v>
      </c>
      <c r="F1160" s="7" t="n">
        <v>0</v>
      </c>
      <c r="G1160" s="7" t="n">
        <v>0</v>
      </c>
      <c r="H1160" s="7" t="n">
        <v>0</v>
      </c>
      <c r="I1160" s="7" t="n">
        <v>0</v>
      </c>
      <c r="J1160" s="7" t="n">
        <v>0</v>
      </c>
      <c r="K1160" s="7" t="n">
        <v>0</v>
      </c>
      <c r="L1160" s="7" t="n">
        <v>0</v>
      </c>
      <c r="M1160" s="7" t="n">
        <v>0</v>
      </c>
      <c r="N1160" s="7" t="n">
        <v>0</v>
      </c>
      <c r="O1160" s="7" t="n">
        <v>0</v>
      </c>
      <c r="P1160" s="8" t="n">
        <f aca="false">IF(E1160=0,0,G1160/E1160)</f>
        <v>0</v>
      </c>
      <c r="Q1160" s="8" t="n">
        <f aca="false">IF(E1160+N1160=0,0,(G1160+N1160)/(E1160+N1160))</f>
        <v>0</v>
      </c>
      <c r="R1160" s="8" t="n">
        <f aca="false">IF(E1160=0,0,L1160/E1160)</f>
        <v>0</v>
      </c>
      <c r="S1160" s="8" t="n">
        <f aca="false">R1160+Q1160</f>
        <v>0</v>
      </c>
      <c r="T1160" s="8" t="n">
        <f aca="false">R1160-P1160</f>
        <v>0</v>
      </c>
    </row>
    <row r="1161" customFormat="false" ht="14.25" hidden="false" customHeight="true" outlineLevel="0" collapsed="false">
      <c r="A1161" s="6" t="n">
        <v>2019</v>
      </c>
      <c r="B1161" s="6" t="s">
        <v>97</v>
      </c>
      <c r="C1161" s="6" t="s">
        <v>475</v>
      </c>
      <c r="D1161" s="7" t="n">
        <v>1</v>
      </c>
      <c r="E1161" s="7" t="n">
        <v>2</v>
      </c>
      <c r="F1161" s="7" t="n">
        <v>0</v>
      </c>
      <c r="G1161" s="7" t="n">
        <v>0</v>
      </c>
      <c r="H1161" s="7" t="n">
        <v>0</v>
      </c>
      <c r="I1161" s="7" t="n">
        <v>0</v>
      </c>
      <c r="J1161" s="7" t="n">
        <v>0</v>
      </c>
      <c r="K1161" s="7" t="n">
        <v>0</v>
      </c>
      <c r="L1161" s="7" t="n">
        <v>0</v>
      </c>
      <c r="M1161" s="7" t="n">
        <v>0</v>
      </c>
      <c r="N1161" s="7" t="n">
        <v>0</v>
      </c>
      <c r="O1161" s="7" t="n">
        <v>0</v>
      </c>
      <c r="P1161" s="8" t="n">
        <f aca="false">IF(E1161=0,0,G1161/E1161)</f>
        <v>0</v>
      </c>
      <c r="Q1161" s="8" t="n">
        <f aca="false">IF(E1161+N1161=0,0,(G1161+N1161)/(E1161+N1161))</f>
        <v>0</v>
      </c>
      <c r="R1161" s="8" t="n">
        <f aca="false">IF(E1161=0,0,L1161/E1161)</f>
        <v>0</v>
      </c>
      <c r="S1161" s="8" t="n">
        <f aca="false">R1161+Q1161</f>
        <v>0</v>
      </c>
      <c r="T1161" s="8" t="n">
        <f aca="false">R1161-P1161</f>
        <v>0</v>
      </c>
    </row>
    <row r="1162" customFormat="false" ht="14.25" hidden="false" customHeight="true" outlineLevel="0" collapsed="false">
      <c r="A1162" s="6" t="n">
        <v>2019</v>
      </c>
      <c r="B1162" s="6" t="s">
        <v>121</v>
      </c>
      <c r="C1162" s="6" t="s">
        <v>476</v>
      </c>
      <c r="D1162" s="7" t="n">
        <v>8</v>
      </c>
      <c r="E1162" s="7" t="n">
        <v>23</v>
      </c>
      <c r="F1162" s="7" t="n">
        <v>6</v>
      </c>
      <c r="G1162" s="7" t="n">
        <v>9</v>
      </c>
      <c r="H1162" s="7" t="n">
        <v>3</v>
      </c>
      <c r="I1162" s="7" t="n">
        <v>0</v>
      </c>
      <c r="J1162" s="7" t="n">
        <v>3</v>
      </c>
      <c r="K1162" s="7" t="n">
        <v>6</v>
      </c>
      <c r="L1162" s="7" t="n">
        <v>21</v>
      </c>
      <c r="M1162" s="7" t="n">
        <v>13</v>
      </c>
      <c r="N1162" s="7" t="n">
        <v>4</v>
      </c>
      <c r="O1162" s="7" t="n">
        <v>0</v>
      </c>
      <c r="P1162" s="8" t="n">
        <f aca="false">IF(E1162=0,0,G1162/E1162)</f>
        <v>0.391304347826087</v>
      </c>
      <c r="Q1162" s="8" t="n">
        <f aca="false">IF(E1162+N1162=0,0,(G1162+N1162)/(E1162+N1162))</f>
        <v>0.481481481481481</v>
      </c>
      <c r="R1162" s="8" t="n">
        <f aca="false">IF(E1162=0,0,L1162/E1162)</f>
        <v>0.91304347826087</v>
      </c>
      <c r="S1162" s="8" t="n">
        <f aca="false">R1162+Q1162</f>
        <v>1.39452495974235</v>
      </c>
      <c r="T1162" s="8" t="n">
        <f aca="false">R1162-P1162</f>
        <v>0.521739130434783</v>
      </c>
    </row>
    <row r="1163" customFormat="false" ht="14.25" hidden="false" customHeight="true" outlineLevel="0" collapsed="false">
      <c r="A1163" s="6" t="n">
        <v>2019</v>
      </c>
      <c r="B1163" s="6" t="s">
        <v>121</v>
      </c>
      <c r="C1163" s="6" t="s">
        <v>122</v>
      </c>
      <c r="D1163" s="7" t="n">
        <v>6</v>
      </c>
      <c r="E1163" s="7" t="n">
        <v>13</v>
      </c>
      <c r="F1163" s="7" t="n">
        <v>8</v>
      </c>
      <c r="G1163" s="7" t="n">
        <v>9</v>
      </c>
      <c r="H1163" s="7" t="n">
        <v>2</v>
      </c>
      <c r="I1163" s="7" t="n">
        <v>0</v>
      </c>
      <c r="J1163" s="7" t="n">
        <v>0</v>
      </c>
      <c r="K1163" s="7" t="n">
        <v>2</v>
      </c>
      <c r="L1163" s="7" t="n">
        <v>11</v>
      </c>
      <c r="M1163" s="7" t="n">
        <v>3</v>
      </c>
      <c r="N1163" s="7" t="n">
        <v>8</v>
      </c>
      <c r="O1163" s="7" t="n">
        <v>0</v>
      </c>
      <c r="P1163" s="8" t="n">
        <f aca="false">IF(E1163=0,0,G1163/E1163)</f>
        <v>0.692307692307692</v>
      </c>
      <c r="Q1163" s="8" t="n">
        <f aca="false">IF(E1163+N1163=0,0,(G1163+N1163)/(E1163+N1163))</f>
        <v>0.80952380952381</v>
      </c>
      <c r="R1163" s="8" t="n">
        <f aca="false">IF(E1163=0,0,L1163/E1163)</f>
        <v>0.846153846153846</v>
      </c>
      <c r="S1163" s="8" t="n">
        <f aca="false">R1163+Q1163</f>
        <v>1.65567765567766</v>
      </c>
      <c r="T1163" s="8" t="n">
        <f aca="false">R1163-P1163</f>
        <v>0.153846153846154</v>
      </c>
    </row>
    <row r="1164" customFormat="false" ht="14.25" hidden="false" customHeight="true" outlineLevel="0" collapsed="false">
      <c r="A1164" s="6" t="n">
        <v>2019</v>
      </c>
      <c r="B1164" s="6" t="s">
        <v>121</v>
      </c>
      <c r="C1164" s="6" t="s">
        <v>143</v>
      </c>
      <c r="D1164" s="7" t="n">
        <v>5</v>
      </c>
      <c r="E1164" s="7" t="n">
        <v>13</v>
      </c>
      <c r="F1164" s="7" t="n">
        <v>5</v>
      </c>
      <c r="G1164" s="7" t="n">
        <v>8</v>
      </c>
      <c r="H1164" s="7" t="n">
        <v>3</v>
      </c>
      <c r="I1164" s="7" t="n">
        <v>0</v>
      </c>
      <c r="J1164" s="7" t="n">
        <v>0</v>
      </c>
      <c r="K1164" s="7" t="n">
        <v>3</v>
      </c>
      <c r="L1164" s="7" t="n">
        <v>11</v>
      </c>
      <c r="M1164" s="7" t="n">
        <v>0</v>
      </c>
      <c r="N1164" s="7" t="n">
        <v>2</v>
      </c>
      <c r="O1164" s="7" t="n">
        <v>0</v>
      </c>
      <c r="P1164" s="8" t="n">
        <f aca="false">IF(E1164=0,0,G1164/E1164)</f>
        <v>0.615384615384615</v>
      </c>
      <c r="Q1164" s="8" t="n">
        <f aca="false">IF(E1164+N1164=0,0,(G1164+N1164)/(E1164+N1164))</f>
        <v>0.666666666666667</v>
      </c>
      <c r="R1164" s="8" t="n">
        <f aca="false">IF(E1164=0,0,L1164/E1164)</f>
        <v>0.846153846153846</v>
      </c>
      <c r="S1164" s="8" t="n">
        <f aca="false">R1164+Q1164</f>
        <v>1.51282051282051</v>
      </c>
      <c r="T1164" s="8" t="n">
        <f aca="false">R1164-P1164</f>
        <v>0.230769230769231</v>
      </c>
    </row>
    <row r="1165" customFormat="false" ht="14.25" hidden="false" customHeight="true" outlineLevel="0" collapsed="false">
      <c r="A1165" s="6" t="n">
        <v>2019</v>
      </c>
      <c r="B1165" s="6" t="s">
        <v>121</v>
      </c>
      <c r="C1165" s="6" t="s">
        <v>137</v>
      </c>
      <c r="D1165" s="7" t="n">
        <v>9</v>
      </c>
      <c r="E1165" s="7" t="n">
        <v>28</v>
      </c>
      <c r="F1165" s="7" t="n">
        <v>6</v>
      </c>
      <c r="G1165" s="7" t="n">
        <v>8</v>
      </c>
      <c r="H1165" s="7" t="n">
        <v>1</v>
      </c>
      <c r="I1165" s="7" t="n">
        <v>0</v>
      </c>
      <c r="J1165" s="7" t="n">
        <v>0</v>
      </c>
      <c r="K1165" s="7" t="n">
        <v>1</v>
      </c>
      <c r="L1165" s="7" t="n">
        <v>9</v>
      </c>
      <c r="M1165" s="7" t="n">
        <v>3</v>
      </c>
      <c r="N1165" s="7" t="n">
        <v>0</v>
      </c>
      <c r="O1165" s="7" t="n">
        <v>1</v>
      </c>
      <c r="P1165" s="8" t="n">
        <f aca="false">IF(E1165=0,0,G1165/E1165)</f>
        <v>0.285714285714286</v>
      </c>
      <c r="Q1165" s="8" t="n">
        <f aca="false">IF(E1165+N1165=0,0,(G1165+N1165)/(E1165+N1165))</f>
        <v>0.285714285714286</v>
      </c>
      <c r="R1165" s="8" t="n">
        <f aca="false">IF(E1165=0,0,L1165/E1165)</f>
        <v>0.321428571428571</v>
      </c>
      <c r="S1165" s="8" t="n">
        <f aca="false">R1165+Q1165</f>
        <v>0.607142857142857</v>
      </c>
      <c r="T1165" s="8" t="n">
        <f aca="false">R1165-P1165</f>
        <v>0.0357142857142858</v>
      </c>
    </row>
    <row r="1166" customFormat="false" ht="14.25" hidden="false" customHeight="true" outlineLevel="0" collapsed="false">
      <c r="A1166" s="6" t="n">
        <v>2019</v>
      </c>
      <c r="B1166" s="6" t="s">
        <v>121</v>
      </c>
      <c r="C1166" s="6" t="s">
        <v>130</v>
      </c>
      <c r="D1166" s="7" t="n">
        <v>11</v>
      </c>
      <c r="E1166" s="7" t="n">
        <v>31</v>
      </c>
      <c r="F1166" s="7" t="n">
        <v>6</v>
      </c>
      <c r="G1166" s="7" t="n">
        <v>7</v>
      </c>
      <c r="H1166" s="7" t="n">
        <v>4</v>
      </c>
      <c r="I1166" s="7" t="n">
        <v>1</v>
      </c>
      <c r="J1166" s="7" t="n">
        <v>2</v>
      </c>
      <c r="K1166" s="7" t="n">
        <v>7</v>
      </c>
      <c r="L1166" s="7" t="n">
        <v>19</v>
      </c>
      <c r="M1166" s="7" t="n">
        <v>9</v>
      </c>
      <c r="N1166" s="7" t="n">
        <v>5</v>
      </c>
      <c r="O1166" s="7" t="n">
        <v>1</v>
      </c>
      <c r="P1166" s="8" t="n">
        <f aca="false">IF(E1166=0,0,G1166/E1166)</f>
        <v>0.225806451612903</v>
      </c>
      <c r="Q1166" s="8" t="n">
        <f aca="false">IF(E1166+N1166=0,0,(G1166+N1166)/(E1166+N1166))</f>
        <v>0.333333333333333</v>
      </c>
      <c r="R1166" s="8" t="n">
        <f aca="false">IF(E1166=0,0,L1166/E1166)</f>
        <v>0.612903225806452</v>
      </c>
      <c r="S1166" s="8" t="n">
        <f aca="false">R1166+Q1166</f>
        <v>0.946236559139785</v>
      </c>
      <c r="T1166" s="8" t="n">
        <f aca="false">R1166-P1166</f>
        <v>0.387096774193548</v>
      </c>
    </row>
    <row r="1167" customFormat="false" ht="14.25" hidden="false" customHeight="true" outlineLevel="0" collapsed="false">
      <c r="A1167" s="6" t="n">
        <v>2019</v>
      </c>
      <c r="B1167" s="6" t="s">
        <v>121</v>
      </c>
      <c r="C1167" s="6" t="s">
        <v>138</v>
      </c>
      <c r="D1167" s="7" t="n">
        <v>7</v>
      </c>
      <c r="E1167" s="7" t="n">
        <v>16</v>
      </c>
      <c r="F1167" s="7" t="n">
        <v>1</v>
      </c>
      <c r="G1167" s="7" t="n">
        <v>6</v>
      </c>
      <c r="H1167" s="7" t="n">
        <v>0</v>
      </c>
      <c r="I1167" s="7" t="n">
        <v>1</v>
      </c>
      <c r="J1167" s="7" t="n">
        <v>0</v>
      </c>
      <c r="K1167" s="7" t="n">
        <v>1</v>
      </c>
      <c r="L1167" s="7" t="n">
        <v>8</v>
      </c>
      <c r="M1167" s="7" t="n">
        <v>3</v>
      </c>
      <c r="N1167" s="7" t="n">
        <v>4</v>
      </c>
      <c r="O1167" s="7" t="n">
        <v>0</v>
      </c>
      <c r="P1167" s="8" t="n">
        <f aca="false">IF(E1167=0,0,G1167/E1167)</f>
        <v>0.375</v>
      </c>
      <c r="Q1167" s="8" t="n">
        <f aca="false">IF(E1167+N1167=0,0,(G1167+N1167)/(E1167+N1167))</f>
        <v>0.5</v>
      </c>
      <c r="R1167" s="8" t="n">
        <f aca="false">IF(E1167=0,0,L1167/E1167)</f>
        <v>0.5</v>
      </c>
      <c r="S1167" s="8" t="n">
        <f aca="false">R1167+Q1167</f>
        <v>1</v>
      </c>
      <c r="T1167" s="8" t="n">
        <f aca="false">R1167-P1167</f>
        <v>0.125</v>
      </c>
    </row>
    <row r="1168" customFormat="false" ht="14.25" hidden="false" customHeight="true" outlineLevel="0" collapsed="false">
      <c r="A1168" s="6" t="n">
        <v>2019</v>
      </c>
      <c r="B1168" s="6" t="s">
        <v>121</v>
      </c>
      <c r="C1168" s="6" t="s">
        <v>144</v>
      </c>
      <c r="D1168" s="7" t="n">
        <v>10</v>
      </c>
      <c r="E1168" s="7" t="n">
        <v>27</v>
      </c>
      <c r="F1168" s="7" t="n">
        <v>5</v>
      </c>
      <c r="G1168" s="7" t="n">
        <v>5</v>
      </c>
      <c r="H1168" s="7" t="n">
        <v>0</v>
      </c>
      <c r="I1168" s="7" t="n">
        <v>0</v>
      </c>
      <c r="J1168" s="7" t="n">
        <v>0</v>
      </c>
      <c r="K1168" s="7" t="n">
        <v>0</v>
      </c>
      <c r="L1168" s="7" t="n">
        <v>5</v>
      </c>
      <c r="M1168" s="7" t="n">
        <v>3</v>
      </c>
      <c r="N1168" s="7" t="n">
        <v>5</v>
      </c>
      <c r="O1168" s="7" t="n">
        <v>1</v>
      </c>
      <c r="P1168" s="8" t="n">
        <f aca="false">IF(E1168=0,0,G1168/E1168)</f>
        <v>0.185185185185185</v>
      </c>
      <c r="Q1168" s="8" t="n">
        <f aca="false">IF(E1168+N1168=0,0,(G1168+N1168)/(E1168+N1168))</f>
        <v>0.3125</v>
      </c>
      <c r="R1168" s="8" t="n">
        <f aca="false">IF(E1168=0,0,L1168/E1168)</f>
        <v>0.185185185185185</v>
      </c>
      <c r="S1168" s="8" t="n">
        <f aca="false">R1168+Q1168</f>
        <v>0.497685185185185</v>
      </c>
      <c r="T1168" s="8" t="n">
        <f aca="false">R1168-P1168</f>
        <v>0</v>
      </c>
    </row>
    <row r="1169" customFormat="false" ht="14.25" hidden="false" customHeight="true" outlineLevel="0" collapsed="false">
      <c r="A1169" s="6" t="n">
        <v>2019</v>
      </c>
      <c r="B1169" s="6" t="s">
        <v>121</v>
      </c>
      <c r="C1169" s="6" t="s">
        <v>132</v>
      </c>
      <c r="D1169" s="7" t="n">
        <v>8</v>
      </c>
      <c r="E1169" s="7" t="n">
        <v>17</v>
      </c>
      <c r="F1169" s="7" t="n">
        <v>4</v>
      </c>
      <c r="G1169" s="7" t="n">
        <v>5</v>
      </c>
      <c r="H1169" s="7" t="n">
        <v>0</v>
      </c>
      <c r="I1169" s="7" t="n">
        <v>0</v>
      </c>
      <c r="J1169" s="7" t="n">
        <v>0</v>
      </c>
      <c r="K1169" s="7" t="n">
        <v>0</v>
      </c>
      <c r="L1169" s="7" t="n">
        <v>5</v>
      </c>
      <c r="M1169" s="7" t="n">
        <v>2</v>
      </c>
      <c r="N1169" s="7" t="n">
        <v>3</v>
      </c>
      <c r="O1169" s="7" t="n">
        <v>1</v>
      </c>
      <c r="P1169" s="8" t="n">
        <f aca="false">IF(E1169=0,0,G1169/E1169)</f>
        <v>0.294117647058824</v>
      </c>
      <c r="Q1169" s="8" t="n">
        <f aca="false">IF(E1169+N1169=0,0,(G1169+N1169)/(E1169+N1169))</f>
        <v>0.4</v>
      </c>
      <c r="R1169" s="8" t="n">
        <f aca="false">IF(E1169=0,0,L1169/E1169)</f>
        <v>0.294117647058824</v>
      </c>
      <c r="S1169" s="8" t="n">
        <f aca="false">R1169+Q1169</f>
        <v>0.694117647058824</v>
      </c>
      <c r="T1169" s="8" t="n">
        <f aca="false">R1169-P1169</f>
        <v>0</v>
      </c>
    </row>
    <row r="1170" customFormat="false" ht="14.25" hidden="false" customHeight="true" outlineLevel="0" collapsed="false">
      <c r="A1170" s="6" t="n">
        <v>2019</v>
      </c>
      <c r="B1170" s="6" t="s">
        <v>121</v>
      </c>
      <c r="C1170" s="6" t="s">
        <v>142</v>
      </c>
      <c r="D1170" s="7" t="n">
        <v>5</v>
      </c>
      <c r="E1170" s="7" t="n">
        <v>10</v>
      </c>
      <c r="F1170" s="7" t="n">
        <v>2</v>
      </c>
      <c r="G1170" s="7" t="n">
        <v>5</v>
      </c>
      <c r="H1170" s="7" t="n">
        <v>0</v>
      </c>
      <c r="I1170" s="7" t="n">
        <v>0</v>
      </c>
      <c r="J1170" s="7" t="n">
        <v>0</v>
      </c>
      <c r="K1170" s="7" t="n">
        <v>0</v>
      </c>
      <c r="L1170" s="7" t="n">
        <v>5</v>
      </c>
      <c r="M1170" s="7" t="n">
        <v>1</v>
      </c>
      <c r="N1170" s="7" t="n">
        <v>2</v>
      </c>
      <c r="O1170" s="7" t="n">
        <v>0</v>
      </c>
      <c r="P1170" s="8" t="n">
        <f aca="false">IF(E1170=0,0,G1170/E1170)</f>
        <v>0.5</v>
      </c>
      <c r="Q1170" s="8" t="n">
        <f aca="false">IF(E1170+N1170=0,0,(G1170+N1170)/(E1170+N1170))</f>
        <v>0.583333333333333</v>
      </c>
      <c r="R1170" s="8" t="n">
        <f aca="false">IF(E1170=0,0,L1170/E1170)</f>
        <v>0.5</v>
      </c>
      <c r="S1170" s="8" t="n">
        <f aca="false">R1170+Q1170</f>
        <v>1.08333333333333</v>
      </c>
      <c r="T1170" s="8" t="n">
        <f aca="false">R1170-P1170</f>
        <v>0</v>
      </c>
    </row>
    <row r="1171" customFormat="false" ht="14.25" hidden="false" customHeight="true" outlineLevel="0" collapsed="false">
      <c r="A1171" s="6" t="n">
        <v>2019</v>
      </c>
      <c r="B1171" s="6" t="s">
        <v>121</v>
      </c>
      <c r="C1171" s="6" t="s">
        <v>140</v>
      </c>
      <c r="D1171" s="7" t="n">
        <v>8</v>
      </c>
      <c r="E1171" s="7" t="n">
        <v>15</v>
      </c>
      <c r="F1171" s="7" t="n">
        <v>3</v>
      </c>
      <c r="G1171" s="7" t="n">
        <v>4</v>
      </c>
      <c r="H1171" s="7" t="n">
        <v>1</v>
      </c>
      <c r="I1171" s="7" t="n">
        <v>0</v>
      </c>
      <c r="J1171" s="7" t="n">
        <v>0</v>
      </c>
      <c r="K1171" s="7" t="n">
        <v>1</v>
      </c>
      <c r="L1171" s="7" t="n">
        <v>5</v>
      </c>
      <c r="M1171" s="7" t="n">
        <v>4</v>
      </c>
      <c r="N1171" s="7" t="n">
        <v>7</v>
      </c>
      <c r="O1171" s="7" t="n">
        <v>0</v>
      </c>
      <c r="P1171" s="8" t="n">
        <f aca="false">IF(E1171=0,0,G1171/E1171)</f>
        <v>0.266666666666667</v>
      </c>
      <c r="Q1171" s="8" t="n">
        <f aca="false">IF(E1171+N1171=0,0,(G1171+N1171)/(E1171+N1171))</f>
        <v>0.5</v>
      </c>
      <c r="R1171" s="8" t="n">
        <f aca="false">IF(E1171=0,0,L1171/E1171)</f>
        <v>0.333333333333333</v>
      </c>
      <c r="S1171" s="8" t="n">
        <f aca="false">R1171+Q1171</f>
        <v>0.833333333333333</v>
      </c>
      <c r="T1171" s="8" t="n">
        <f aca="false">R1171-P1171</f>
        <v>0.0666666666666667</v>
      </c>
    </row>
    <row r="1172" customFormat="false" ht="14.25" hidden="false" customHeight="true" outlineLevel="0" collapsed="false">
      <c r="A1172" s="6" t="n">
        <v>2019</v>
      </c>
      <c r="B1172" s="6" t="s">
        <v>121</v>
      </c>
      <c r="C1172" s="6" t="s">
        <v>136</v>
      </c>
      <c r="D1172" s="7" t="n">
        <v>8</v>
      </c>
      <c r="E1172" s="7" t="n">
        <v>22</v>
      </c>
      <c r="F1172" s="7" t="n">
        <v>5</v>
      </c>
      <c r="G1172" s="7" t="n">
        <v>4</v>
      </c>
      <c r="H1172" s="7" t="n">
        <v>0</v>
      </c>
      <c r="I1172" s="7" t="n">
        <v>0</v>
      </c>
      <c r="J1172" s="7" t="n">
        <v>0</v>
      </c>
      <c r="K1172" s="7" t="n">
        <v>0</v>
      </c>
      <c r="L1172" s="7" t="n">
        <v>4</v>
      </c>
      <c r="M1172" s="7" t="n">
        <v>2</v>
      </c>
      <c r="N1172" s="7" t="n">
        <v>4</v>
      </c>
      <c r="O1172" s="7" t="n">
        <v>2</v>
      </c>
      <c r="P1172" s="8" t="n">
        <f aca="false">IF(E1172=0,0,G1172/E1172)</f>
        <v>0.181818181818182</v>
      </c>
      <c r="Q1172" s="8" t="n">
        <f aca="false">IF(E1172+N1172=0,0,(G1172+N1172)/(E1172+N1172))</f>
        <v>0.307692307692308</v>
      </c>
      <c r="R1172" s="8" t="n">
        <f aca="false">IF(E1172=0,0,L1172/E1172)</f>
        <v>0.181818181818182</v>
      </c>
      <c r="S1172" s="8" t="n">
        <f aca="false">R1172+Q1172</f>
        <v>0.48951048951049</v>
      </c>
      <c r="T1172" s="8" t="n">
        <f aca="false">R1172-P1172</f>
        <v>0</v>
      </c>
    </row>
    <row r="1173" customFormat="false" ht="14.25" hidden="false" customHeight="true" outlineLevel="0" collapsed="false">
      <c r="A1173" s="6" t="n">
        <v>2019</v>
      </c>
      <c r="B1173" s="6" t="s">
        <v>121</v>
      </c>
      <c r="C1173" s="6" t="s">
        <v>129</v>
      </c>
      <c r="D1173" s="7" t="n">
        <v>7</v>
      </c>
      <c r="E1173" s="7" t="n">
        <v>16</v>
      </c>
      <c r="F1173" s="7" t="n">
        <v>1</v>
      </c>
      <c r="G1173" s="7" t="n">
        <v>3</v>
      </c>
      <c r="H1173" s="7" t="n">
        <v>1</v>
      </c>
      <c r="I1173" s="7" t="n">
        <v>0</v>
      </c>
      <c r="J1173" s="7" t="n">
        <v>0</v>
      </c>
      <c r="K1173" s="7" t="n">
        <v>1</v>
      </c>
      <c r="L1173" s="7" t="n">
        <v>4</v>
      </c>
      <c r="M1173" s="7" t="n">
        <v>2</v>
      </c>
      <c r="N1173" s="7" t="n">
        <v>2</v>
      </c>
      <c r="O1173" s="7" t="n">
        <v>0</v>
      </c>
      <c r="P1173" s="8" t="n">
        <f aca="false">IF(E1173=0,0,G1173/E1173)</f>
        <v>0.1875</v>
      </c>
      <c r="Q1173" s="8" t="n">
        <f aca="false">IF(E1173+N1173=0,0,(G1173+N1173)/(E1173+N1173))</f>
        <v>0.277777777777778</v>
      </c>
      <c r="R1173" s="8" t="n">
        <f aca="false">IF(E1173=0,0,L1173/E1173)</f>
        <v>0.25</v>
      </c>
      <c r="S1173" s="8" t="n">
        <f aca="false">R1173+Q1173</f>
        <v>0.527777777777778</v>
      </c>
      <c r="T1173" s="8" t="n">
        <f aca="false">R1173-P1173</f>
        <v>0.0625</v>
      </c>
    </row>
    <row r="1174" customFormat="false" ht="14.25" hidden="false" customHeight="true" outlineLevel="0" collapsed="false">
      <c r="A1174" s="6" t="n">
        <v>2019</v>
      </c>
      <c r="B1174" s="6" t="s">
        <v>121</v>
      </c>
      <c r="C1174" s="6" t="s">
        <v>133</v>
      </c>
      <c r="D1174" s="7" t="n">
        <v>5</v>
      </c>
      <c r="E1174" s="7" t="n">
        <v>9</v>
      </c>
      <c r="F1174" s="7" t="n">
        <v>1</v>
      </c>
      <c r="G1174" s="7" t="n">
        <v>3</v>
      </c>
      <c r="H1174" s="7" t="n">
        <v>1</v>
      </c>
      <c r="I1174" s="7" t="n">
        <v>0</v>
      </c>
      <c r="J1174" s="7" t="n">
        <v>0</v>
      </c>
      <c r="K1174" s="7" t="n">
        <v>1</v>
      </c>
      <c r="L1174" s="7" t="n">
        <v>4</v>
      </c>
      <c r="M1174" s="7" t="n">
        <v>1</v>
      </c>
      <c r="N1174" s="7" t="n">
        <v>1</v>
      </c>
      <c r="O1174" s="7" t="n">
        <v>0</v>
      </c>
      <c r="P1174" s="8" t="n">
        <f aca="false">IF(E1174=0,0,G1174/E1174)</f>
        <v>0.333333333333333</v>
      </c>
      <c r="Q1174" s="8" t="n">
        <f aca="false">IF(E1174+N1174=0,0,(G1174+N1174)/(E1174+N1174))</f>
        <v>0.4</v>
      </c>
      <c r="R1174" s="8" t="n">
        <f aca="false">IF(E1174=0,0,L1174/E1174)</f>
        <v>0.444444444444444</v>
      </c>
      <c r="S1174" s="8" t="n">
        <f aca="false">R1174+Q1174</f>
        <v>0.844444444444444</v>
      </c>
      <c r="T1174" s="8" t="n">
        <f aca="false">R1174-P1174</f>
        <v>0.111111111111111</v>
      </c>
    </row>
    <row r="1175" customFormat="false" ht="14.25" hidden="false" customHeight="true" outlineLevel="0" collapsed="false">
      <c r="A1175" s="6" t="n">
        <v>2019</v>
      </c>
      <c r="B1175" s="6" t="s">
        <v>121</v>
      </c>
      <c r="C1175" s="6" t="s">
        <v>123</v>
      </c>
      <c r="D1175" s="7" t="n">
        <v>2</v>
      </c>
      <c r="E1175" s="7" t="n">
        <v>5</v>
      </c>
      <c r="F1175" s="7" t="n">
        <v>1</v>
      </c>
      <c r="G1175" s="7" t="n">
        <v>3</v>
      </c>
      <c r="H1175" s="7" t="n">
        <v>1</v>
      </c>
      <c r="I1175" s="7" t="n">
        <v>0</v>
      </c>
      <c r="J1175" s="7" t="n">
        <v>0</v>
      </c>
      <c r="K1175" s="7" t="n">
        <v>1</v>
      </c>
      <c r="L1175" s="7" t="n">
        <v>4</v>
      </c>
      <c r="M1175" s="7" t="n">
        <v>0</v>
      </c>
      <c r="N1175" s="7" t="n">
        <v>0</v>
      </c>
      <c r="O1175" s="7" t="n">
        <v>0</v>
      </c>
      <c r="P1175" s="8" t="n">
        <f aca="false">IF(E1175=0,0,G1175/E1175)</f>
        <v>0.6</v>
      </c>
      <c r="Q1175" s="8" t="n">
        <f aca="false">IF(E1175+N1175=0,0,(G1175+N1175)/(E1175+N1175))</f>
        <v>0.6</v>
      </c>
      <c r="R1175" s="8" t="n">
        <f aca="false">IF(E1175=0,0,L1175/E1175)</f>
        <v>0.8</v>
      </c>
      <c r="S1175" s="8" t="n">
        <f aca="false">R1175+Q1175</f>
        <v>1.4</v>
      </c>
      <c r="T1175" s="8" t="n">
        <f aca="false">R1175-P1175</f>
        <v>0.2</v>
      </c>
    </row>
    <row r="1176" customFormat="false" ht="14.25" hidden="false" customHeight="true" outlineLevel="0" collapsed="false">
      <c r="A1176" s="6" t="n">
        <v>2019</v>
      </c>
      <c r="B1176" s="6" t="s">
        <v>121</v>
      </c>
      <c r="C1176" s="6" t="s">
        <v>270</v>
      </c>
      <c r="D1176" s="7" t="n">
        <v>3</v>
      </c>
      <c r="E1176" s="7" t="n">
        <v>5</v>
      </c>
      <c r="F1176" s="7" t="n">
        <v>2</v>
      </c>
      <c r="G1176" s="7" t="n">
        <v>3</v>
      </c>
      <c r="H1176" s="7" t="n">
        <v>0</v>
      </c>
      <c r="I1176" s="7" t="n">
        <v>0</v>
      </c>
      <c r="J1176" s="7" t="n">
        <v>0</v>
      </c>
      <c r="K1176" s="7" t="n">
        <v>0</v>
      </c>
      <c r="L1176" s="7" t="n">
        <v>3</v>
      </c>
      <c r="M1176" s="7" t="n">
        <v>2</v>
      </c>
      <c r="N1176" s="7" t="n">
        <v>1</v>
      </c>
      <c r="O1176" s="7" t="n">
        <v>0</v>
      </c>
      <c r="P1176" s="8" t="n">
        <f aca="false">IF(E1176=0,0,G1176/E1176)</f>
        <v>0.6</v>
      </c>
      <c r="Q1176" s="8" t="n">
        <f aca="false">IF(E1176+N1176=0,0,(G1176+N1176)/(E1176+N1176))</f>
        <v>0.666666666666667</v>
      </c>
      <c r="R1176" s="8" t="n">
        <f aca="false">IF(E1176=0,0,L1176/E1176)</f>
        <v>0.6</v>
      </c>
      <c r="S1176" s="8" t="n">
        <f aca="false">R1176+Q1176</f>
        <v>1.26666666666667</v>
      </c>
      <c r="T1176" s="8" t="n">
        <f aca="false">R1176-P1176</f>
        <v>0</v>
      </c>
    </row>
    <row r="1177" customFormat="false" ht="14.25" hidden="false" customHeight="true" outlineLevel="0" collapsed="false">
      <c r="A1177" s="6" t="n">
        <v>2019</v>
      </c>
      <c r="B1177" s="6" t="s">
        <v>121</v>
      </c>
      <c r="C1177" s="6" t="s">
        <v>145</v>
      </c>
      <c r="D1177" s="7" t="n">
        <v>3</v>
      </c>
      <c r="E1177" s="7" t="n">
        <v>6</v>
      </c>
      <c r="F1177" s="7" t="n">
        <v>0</v>
      </c>
      <c r="G1177" s="7" t="n">
        <v>2</v>
      </c>
      <c r="H1177" s="7" t="n">
        <v>0</v>
      </c>
      <c r="I1177" s="7" t="n">
        <v>0</v>
      </c>
      <c r="J1177" s="7" t="n">
        <v>0</v>
      </c>
      <c r="K1177" s="7" t="n">
        <v>0</v>
      </c>
      <c r="L1177" s="7" t="n">
        <v>2</v>
      </c>
      <c r="M1177" s="7" t="n">
        <v>1</v>
      </c>
      <c r="N1177" s="7" t="n">
        <v>3</v>
      </c>
      <c r="O1177" s="7" t="n">
        <v>0</v>
      </c>
      <c r="P1177" s="8" t="n">
        <f aca="false">IF(E1177=0,0,G1177/E1177)</f>
        <v>0.333333333333333</v>
      </c>
      <c r="Q1177" s="8" t="n">
        <f aca="false">IF(E1177+N1177=0,0,(G1177+N1177)/(E1177+N1177))</f>
        <v>0.555555555555556</v>
      </c>
      <c r="R1177" s="8" t="n">
        <f aca="false">IF(E1177=0,0,L1177/E1177)</f>
        <v>0.333333333333333</v>
      </c>
      <c r="S1177" s="8" t="n">
        <f aca="false">R1177+Q1177</f>
        <v>0.888888888888889</v>
      </c>
      <c r="T1177" s="8" t="n">
        <f aca="false">R1177-P1177</f>
        <v>0</v>
      </c>
    </row>
    <row r="1178" customFormat="false" ht="14.25" hidden="false" customHeight="true" outlineLevel="0" collapsed="false">
      <c r="A1178" s="6" t="n">
        <v>2019</v>
      </c>
      <c r="B1178" s="6" t="s">
        <v>121</v>
      </c>
      <c r="C1178" s="6" t="s">
        <v>126</v>
      </c>
      <c r="D1178" s="7" t="n">
        <v>4</v>
      </c>
      <c r="E1178" s="7" t="n">
        <v>11</v>
      </c>
      <c r="F1178" s="7" t="n">
        <v>1</v>
      </c>
      <c r="G1178" s="7" t="n">
        <v>2</v>
      </c>
      <c r="H1178" s="7" t="n">
        <v>0</v>
      </c>
      <c r="I1178" s="7" t="n">
        <v>0</v>
      </c>
      <c r="J1178" s="7" t="n">
        <v>0</v>
      </c>
      <c r="K1178" s="7" t="n">
        <v>0</v>
      </c>
      <c r="L1178" s="7" t="n">
        <v>2</v>
      </c>
      <c r="M1178" s="7" t="n">
        <v>1</v>
      </c>
      <c r="N1178" s="7" t="n">
        <v>2</v>
      </c>
      <c r="O1178" s="7" t="n">
        <v>0</v>
      </c>
      <c r="P1178" s="8" t="n">
        <f aca="false">IF(E1178=0,0,G1178/E1178)</f>
        <v>0.181818181818182</v>
      </c>
      <c r="Q1178" s="8" t="n">
        <f aca="false">IF(E1178+N1178=0,0,(G1178+N1178)/(E1178+N1178))</f>
        <v>0.307692307692308</v>
      </c>
      <c r="R1178" s="8" t="n">
        <f aca="false">IF(E1178=0,0,L1178/E1178)</f>
        <v>0.181818181818182</v>
      </c>
      <c r="S1178" s="8" t="n">
        <f aca="false">R1178+Q1178</f>
        <v>0.48951048951049</v>
      </c>
      <c r="T1178" s="8" t="n">
        <f aca="false">R1178-P1178</f>
        <v>0</v>
      </c>
    </row>
    <row r="1179" customFormat="false" ht="14.25" hidden="false" customHeight="true" outlineLevel="0" collapsed="false">
      <c r="A1179" s="6" t="n">
        <v>2019</v>
      </c>
      <c r="B1179" s="6" t="s">
        <v>121</v>
      </c>
      <c r="C1179" s="6" t="s">
        <v>431</v>
      </c>
      <c r="D1179" s="7" t="n">
        <v>4</v>
      </c>
      <c r="E1179" s="7" t="n">
        <v>8</v>
      </c>
      <c r="F1179" s="7" t="n">
        <v>1</v>
      </c>
      <c r="G1179" s="7" t="n">
        <v>2</v>
      </c>
      <c r="H1179" s="7" t="n">
        <v>0</v>
      </c>
      <c r="I1179" s="7" t="n">
        <v>0</v>
      </c>
      <c r="J1179" s="7" t="n">
        <v>0</v>
      </c>
      <c r="K1179" s="7" t="n">
        <v>0</v>
      </c>
      <c r="L1179" s="7" t="n">
        <v>2</v>
      </c>
      <c r="M1179" s="7" t="n">
        <v>1</v>
      </c>
      <c r="N1179" s="7" t="n">
        <v>1</v>
      </c>
      <c r="O1179" s="7" t="n">
        <v>0</v>
      </c>
      <c r="P1179" s="8" t="n">
        <f aca="false">IF(E1179=0,0,G1179/E1179)</f>
        <v>0.25</v>
      </c>
      <c r="Q1179" s="8" t="n">
        <f aca="false">IF(E1179+N1179=0,0,(G1179+N1179)/(E1179+N1179))</f>
        <v>0.333333333333333</v>
      </c>
      <c r="R1179" s="8" t="n">
        <f aca="false">IF(E1179=0,0,L1179/E1179)</f>
        <v>0.25</v>
      </c>
      <c r="S1179" s="8" t="n">
        <f aca="false">R1179+Q1179</f>
        <v>0.583333333333333</v>
      </c>
      <c r="T1179" s="8" t="n">
        <f aca="false">R1179-P1179</f>
        <v>0</v>
      </c>
    </row>
    <row r="1180" customFormat="false" ht="14.25" hidden="false" customHeight="true" outlineLevel="0" collapsed="false">
      <c r="A1180" s="6" t="n">
        <v>2019</v>
      </c>
      <c r="B1180" s="6" t="s">
        <v>121</v>
      </c>
      <c r="C1180" s="6" t="s">
        <v>271</v>
      </c>
      <c r="D1180" s="7" t="n">
        <v>4</v>
      </c>
      <c r="E1180" s="7" t="n">
        <v>7</v>
      </c>
      <c r="F1180" s="7" t="n">
        <v>1</v>
      </c>
      <c r="G1180" s="7" t="n">
        <v>2</v>
      </c>
      <c r="H1180" s="7" t="n">
        <v>0</v>
      </c>
      <c r="I1180" s="7" t="n">
        <v>0</v>
      </c>
      <c r="J1180" s="7" t="n">
        <v>0</v>
      </c>
      <c r="K1180" s="7" t="n">
        <v>0</v>
      </c>
      <c r="L1180" s="7" t="n">
        <v>2</v>
      </c>
      <c r="M1180" s="7" t="n">
        <v>0</v>
      </c>
      <c r="N1180" s="7" t="n">
        <v>0</v>
      </c>
      <c r="O1180" s="7" t="n">
        <v>1</v>
      </c>
      <c r="P1180" s="8" t="n">
        <f aca="false">IF(E1180=0,0,G1180/E1180)</f>
        <v>0.285714285714286</v>
      </c>
      <c r="Q1180" s="8" t="n">
        <f aca="false">IF(E1180+N1180=0,0,(G1180+N1180)/(E1180+N1180))</f>
        <v>0.285714285714286</v>
      </c>
      <c r="R1180" s="8" t="n">
        <f aca="false">IF(E1180=0,0,L1180/E1180)</f>
        <v>0.285714285714286</v>
      </c>
      <c r="S1180" s="8" t="n">
        <f aca="false">R1180+Q1180</f>
        <v>0.571428571428571</v>
      </c>
      <c r="T1180" s="8" t="n">
        <f aca="false">R1180-P1180</f>
        <v>0</v>
      </c>
    </row>
    <row r="1181" customFormat="false" ht="14.25" hidden="false" customHeight="true" outlineLevel="0" collapsed="false">
      <c r="A1181" s="6" t="n">
        <v>2019</v>
      </c>
      <c r="B1181" s="6" t="s">
        <v>121</v>
      </c>
      <c r="C1181" s="6" t="s">
        <v>428</v>
      </c>
      <c r="D1181" s="7" t="n">
        <v>5</v>
      </c>
      <c r="E1181" s="7" t="n">
        <v>7</v>
      </c>
      <c r="F1181" s="7" t="n">
        <v>1</v>
      </c>
      <c r="G1181" s="7" t="n">
        <v>2</v>
      </c>
      <c r="H1181" s="7" t="n">
        <v>0</v>
      </c>
      <c r="I1181" s="7" t="n">
        <v>0</v>
      </c>
      <c r="J1181" s="7" t="n">
        <v>0</v>
      </c>
      <c r="K1181" s="7" t="n">
        <v>0</v>
      </c>
      <c r="L1181" s="7" t="n">
        <v>2</v>
      </c>
      <c r="M1181" s="7" t="n">
        <v>0</v>
      </c>
      <c r="N1181" s="7" t="n">
        <v>0</v>
      </c>
      <c r="O1181" s="7" t="n">
        <v>0</v>
      </c>
      <c r="P1181" s="8" t="n">
        <f aca="false">IF(E1181=0,0,G1181/E1181)</f>
        <v>0.285714285714286</v>
      </c>
      <c r="Q1181" s="8" t="n">
        <f aca="false">IF(E1181+N1181=0,0,(G1181+N1181)/(E1181+N1181))</f>
        <v>0.285714285714286</v>
      </c>
      <c r="R1181" s="8" t="n">
        <f aca="false">IF(E1181=0,0,L1181/E1181)</f>
        <v>0.285714285714286</v>
      </c>
      <c r="S1181" s="8" t="n">
        <f aca="false">R1181+Q1181</f>
        <v>0.571428571428571</v>
      </c>
      <c r="T1181" s="8" t="n">
        <f aca="false">R1181-P1181</f>
        <v>0</v>
      </c>
    </row>
    <row r="1182" customFormat="false" ht="14.25" hidden="false" customHeight="true" outlineLevel="0" collapsed="false">
      <c r="A1182" s="6" t="n">
        <v>2019</v>
      </c>
      <c r="B1182" s="6" t="s">
        <v>121</v>
      </c>
      <c r="C1182" s="6" t="s">
        <v>477</v>
      </c>
      <c r="D1182" s="7" t="n">
        <v>2</v>
      </c>
      <c r="E1182" s="7" t="n">
        <v>5</v>
      </c>
      <c r="F1182" s="7" t="n">
        <v>0</v>
      </c>
      <c r="G1182" s="7" t="n">
        <v>1</v>
      </c>
      <c r="H1182" s="7" t="n">
        <v>0</v>
      </c>
      <c r="I1182" s="7" t="n">
        <v>0</v>
      </c>
      <c r="J1182" s="7" t="n">
        <v>0</v>
      </c>
      <c r="K1182" s="7" t="n">
        <v>0</v>
      </c>
      <c r="L1182" s="7" t="n">
        <v>1</v>
      </c>
      <c r="M1182" s="7" t="n">
        <v>2</v>
      </c>
      <c r="N1182" s="7" t="n">
        <v>0</v>
      </c>
      <c r="O1182" s="7" t="n">
        <v>0</v>
      </c>
      <c r="P1182" s="8" t="n">
        <f aca="false">IF(E1182=0,0,G1182/E1182)</f>
        <v>0.2</v>
      </c>
      <c r="Q1182" s="8" t="n">
        <f aca="false">IF(E1182+N1182=0,0,(G1182+N1182)/(E1182+N1182))</f>
        <v>0.2</v>
      </c>
      <c r="R1182" s="8" t="n">
        <f aca="false">IF(E1182=0,0,L1182/E1182)</f>
        <v>0.2</v>
      </c>
      <c r="S1182" s="8" t="n">
        <f aca="false">R1182+Q1182</f>
        <v>0.4</v>
      </c>
      <c r="T1182" s="8" t="n">
        <f aca="false">R1182-P1182</f>
        <v>0</v>
      </c>
    </row>
    <row r="1183" customFormat="false" ht="14.25" hidden="false" customHeight="true" outlineLevel="0" collapsed="false">
      <c r="A1183" s="6" t="n">
        <v>2019</v>
      </c>
      <c r="B1183" s="6" t="s">
        <v>121</v>
      </c>
      <c r="C1183" s="6" t="s">
        <v>478</v>
      </c>
      <c r="D1183" s="7" t="n">
        <v>5</v>
      </c>
      <c r="E1183" s="7" t="n">
        <v>13</v>
      </c>
      <c r="F1183" s="7" t="n">
        <v>0</v>
      </c>
      <c r="G1183" s="7" t="n">
        <v>1</v>
      </c>
      <c r="H1183" s="7" t="n">
        <v>0</v>
      </c>
      <c r="I1183" s="7" t="n">
        <v>0</v>
      </c>
      <c r="J1183" s="7" t="n">
        <v>0</v>
      </c>
      <c r="K1183" s="7" t="n">
        <v>0</v>
      </c>
      <c r="L1183" s="7" t="n">
        <v>1</v>
      </c>
      <c r="M1183" s="7" t="n">
        <v>2</v>
      </c>
      <c r="N1183" s="7" t="n">
        <v>0</v>
      </c>
      <c r="O1183" s="7" t="n">
        <v>0</v>
      </c>
      <c r="P1183" s="8" t="n">
        <f aca="false">IF(E1183=0,0,G1183/E1183)</f>
        <v>0.0769230769230769</v>
      </c>
      <c r="Q1183" s="8" t="n">
        <f aca="false">IF(E1183+N1183=0,0,(G1183+N1183)/(E1183+N1183))</f>
        <v>0.0769230769230769</v>
      </c>
      <c r="R1183" s="8" t="n">
        <f aca="false">IF(E1183=0,0,L1183/E1183)</f>
        <v>0.0769230769230769</v>
      </c>
      <c r="S1183" s="8" t="n">
        <f aca="false">R1183+Q1183</f>
        <v>0.153846153846154</v>
      </c>
      <c r="T1183" s="8" t="n">
        <f aca="false">R1183-P1183</f>
        <v>0</v>
      </c>
    </row>
    <row r="1184" customFormat="false" ht="14.25" hidden="false" customHeight="true" outlineLevel="0" collapsed="false">
      <c r="A1184" s="6" t="n">
        <v>2019</v>
      </c>
      <c r="B1184" s="6" t="s">
        <v>121</v>
      </c>
      <c r="C1184" s="6" t="s">
        <v>301</v>
      </c>
      <c r="D1184" s="7" t="n">
        <v>1</v>
      </c>
      <c r="E1184" s="7" t="n">
        <v>0</v>
      </c>
      <c r="F1184" s="7" t="n">
        <v>0</v>
      </c>
      <c r="G1184" s="7" t="n">
        <v>0</v>
      </c>
      <c r="H1184" s="7" t="n">
        <v>0</v>
      </c>
      <c r="I1184" s="7" t="n">
        <v>0</v>
      </c>
      <c r="J1184" s="7" t="n">
        <v>0</v>
      </c>
      <c r="K1184" s="7" t="n">
        <v>0</v>
      </c>
      <c r="L1184" s="7" t="n">
        <v>0</v>
      </c>
      <c r="M1184" s="7" t="n">
        <v>1</v>
      </c>
      <c r="N1184" s="7" t="n">
        <v>1</v>
      </c>
      <c r="O1184" s="7" t="n">
        <v>0</v>
      </c>
      <c r="P1184" s="8" t="n">
        <f aca="false">IF(E1184=0,0,G1184/E1184)</f>
        <v>0</v>
      </c>
      <c r="Q1184" s="8" t="n">
        <f aca="false">IF(E1184+N1184=0,0,(G1184+N1184)/(E1184+N1184))</f>
        <v>1</v>
      </c>
      <c r="R1184" s="8" t="n">
        <f aca="false">IF(E1184=0,0,L1184/E1184)</f>
        <v>0</v>
      </c>
      <c r="S1184" s="8" t="n">
        <f aca="false">R1184+Q1184</f>
        <v>1</v>
      </c>
      <c r="T1184" s="8" t="n">
        <f aca="false">R1184-P1184</f>
        <v>0</v>
      </c>
    </row>
    <row r="1185" customFormat="false" ht="14.25" hidden="false" customHeight="true" outlineLevel="0" collapsed="false">
      <c r="A1185" s="6" t="n">
        <v>2019</v>
      </c>
      <c r="B1185" s="6" t="s">
        <v>121</v>
      </c>
      <c r="C1185" s="6" t="s">
        <v>479</v>
      </c>
      <c r="D1185" s="7" t="n">
        <v>1</v>
      </c>
      <c r="E1185" s="7" t="n">
        <v>4</v>
      </c>
      <c r="F1185" s="7" t="n">
        <v>0</v>
      </c>
      <c r="G1185" s="7" t="n">
        <v>0</v>
      </c>
      <c r="H1185" s="7" t="n">
        <v>0</v>
      </c>
      <c r="I1185" s="7" t="n">
        <v>0</v>
      </c>
      <c r="J1185" s="7" t="n">
        <v>0</v>
      </c>
      <c r="K1185" s="7" t="n">
        <v>0</v>
      </c>
      <c r="L1185" s="7" t="n">
        <v>0</v>
      </c>
      <c r="M1185" s="7" t="n">
        <v>0</v>
      </c>
      <c r="N1185" s="7" t="n">
        <v>0</v>
      </c>
      <c r="O1185" s="7" t="n">
        <v>1</v>
      </c>
      <c r="P1185" s="8" t="n">
        <f aca="false">IF(E1185=0,0,G1185/E1185)</f>
        <v>0</v>
      </c>
      <c r="Q1185" s="8" t="n">
        <f aca="false">IF(E1185+N1185=0,0,(G1185+N1185)/(E1185+N1185))</f>
        <v>0</v>
      </c>
      <c r="R1185" s="8" t="n">
        <f aca="false">IF(E1185=0,0,L1185/E1185)</f>
        <v>0</v>
      </c>
      <c r="S1185" s="8" t="n">
        <f aca="false">R1185+Q1185</f>
        <v>0</v>
      </c>
      <c r="T1185" s="8" t="n">
        <f aca="false">R1185-P1185</f>
        <v>0</v>
      </c>
    </row>
    <row r="1186" customFormat="false" ht="14.25" hidden="false" customHeight="true" outlineLevel="0" collapsed="false">
      <c r="A1186" s="6" t="n">
        <v>2019</v>
      </c>
      <c r="B1186" s="6" t="s">
        <v>121</v>
      </c>
      <c r="C1186" s="6" t="s">
        <v>480</v>
      </c>
      <c r="D1186" s="7" t="n">
        <v>1</v>
      </c>
      <c r="E1186" s="7" t="n">
        <v>2</v>
      </c>
      <c r="F1186" s="7" t="n">
        <v>0</v>
      </c>
      <c r="G1186" s="7" t="n">
        <v>0</v>
      </c>
      <c r="H1186" s="7" t="n">
        <v>0</v>
      </c>
      <c r="I1186" s="7" t="n">
        <v>0</v>
      </c>
      <c r="J1186" s="7" t="n">
        <v>0</v>
      </c>
      <c r="K1186" s="7" t="n">
        <v>0</v>
      </c>
      <c r="L1186" s="7" t="n">
        <v>0</v>
      </c>
      <c r="M1186" s="7" t="n">
        <v>0</v>
      </c>
      <c r="N1186" s="7" t="n">
        <v>0</v>
      </c>
      <c r="O1186" s="7" t="n">
        <v>1</v>
      </c>
      <c r="P1186" s="8" t="n">
        <f aca="false">IF(E1186=0,0,G1186/E1186)</f>
        <v>0</v>
      </c>
      <c r="Q1186" s="8" t="n">
        <f aca="false">IF(E1186+N1186=0,0,(G1186+N1186)/(E1186+N1186))</f>
        <v>0</v>
      </c>
      <c r="R1186" s="8" t="n">
        <f aca="false">IF(E1186=0,0,L1186/E1186)</f>
        <v>0</v>
      </c>
      <c r="S1186" s="8" t="n">
        <f aca="false">R1186+Q1186</f>
        <v>0</v>
      </c>
      <c r="T1186" s="8" t="n">
        <f aca="false">R1186-P1186</f>
        <v>0</v>
      </c>
    </row>
    <row r="1187" customFormat="false" ht="14.25" hidden="false" customHeight="true" outlineLevel="0" collapsed="false">
      <c r="A1187" s="6" t="n">
        <v>2019</v>
      </c>
      <c r="B1187" s="6" t="s">
        <v>121</v>
      </c>
      <c r="C1187" s="6" t="s">
        <v>481</v>
      </c>
      <c r="D1187" s="7" t="n">
        <v>1</v>
      </c>
      <c r="E1187" s="7" t="n">
        <v>2</v>
      </c>
      <c r="F1187" s="7" t="n">
        <v>0</v>
      </c>
      <c r="G1187" s="7" t="n">
        <v>0</v>
      </c>
      <c r="H1187" s="7" t="n">
        <v>0</v>
      </c>
      <c r="I1187" s="7" t="n">
        <v>0</v>
      </c>
      <c r="J1187" s="7" t="n">
        <v>0</v>
      </c>
      <c r="K1187" s="7" t="n">
        <v>0</v>
      </c>
      <c r="L1187" s="7" t="n">
        <v>0</v>
      </c>
      <c r="M1187" s="7" t="n">
        <v>0</v>
      </c>
      <c r="N1187" s="7" t="n">
        <v>0</v>
      </c>
      <c r="O1187" s="7" t="n">
        <v>1</v>
      </c>
      <c r="P1187" s="8" t="n">
        <f aca="false">IF(E1187=0,0,G1187/E1187)</f>
        <v>0</v>
      </c>
      <c r="Q1187" s="8" t="n">
        <f aca="false">IF(E1187+N1187=0,0,(G1187+N1187)/(E1187+N1187))</f>
        <v>0</v>
      </c>
      <c r="R1187" s="8" t="n">
        <f aca="false">IF(E1187=0,0,L1187/E1187)</f>
        <v>0</v>
      </c>
      <c r="S1187" s="8" t="n">
        <f aca="false">R1187+Q1187</f>
        <v>0</v>
      </c>
      <c r="T1187" s="8" t="n">
        <f aca="false">R1187-P1187</f>
        <v>0</v>
      </c>
    </row>
    <row r="1188" customFormat="false" ht="14.25" hidden="false" customHeight="true" outlineLevel="0" collapsed="false">
      <c r="A1188" s="6" t="n">
        <v>2019</v>
      </c>
      <c r="B1188" s="6" t="s">
        <v>121</v>
      </c>
      <c r="C1188" s="6" t="s">
        <v>141</v>
      </c>
      <c r="D1188" s="7" t="n">
        <v>1</v>
      </c>
      <c r="E1188" s="7" t="n">
        <v>0</v>
      </c>
      <c r="F1188" s="7" t="n">
        <v>1</v>
      </c>
      <c r="G1188" s="7" t="n">
        <v>0</v>
      </c>
      <c r="H1188" s="7" t="n">
        <v>0</v>
      </c>
      <c r="I1188" s="7" t="n">
        <v>0</v>
      </c>
      <c r="J1188" s="7" t="n">
        <v>0</v>
      </c>
      <c r="K1188" s="7" t="n">
        <v>0</v>
      </c>
      <c r="L1188" s="7" t="n">
        <v>0</v>
      </c>
      <c r="M1188" s="7" t="n">
        <v>0</v>
      </c>
      <c r="N1188" s="7" t="n">
        <v>1</v>
      </c>
      <c r="O1188" s="7" t="n">
        <v>0</v>
      </c>
      <c r="P1188" s="8" t="n">
        <f aca="false">IF(E1188=0,0,G1188/E1188)</f>
        <v>0</v>
      </c>
      <c r="Q1188" s="8" t="n">
        <f aca="false">IF(E1188+N1188=0,0,(G1188+N1188)/(E1188+N1188))</f>
        <v>1</v>
      </c>
      <c r="R1188" s="8" t="n">
        <f aca="false">IF(E1188=0,0,L1188/E1188)</f>
        <v>0</v>
      </c>
      <c r="S1188" s="8" t="n">
        <f aca="false">R1188+Q1188</f>
        <v>1</v>
      </c>
      <c r="T1188" s="8" t="n">
        <f aca="false">R1188-P1188</f>
        <v>0</v>
      </c>
    </row>
    <row r="1189" customFormat="false" ht="14.25" hidden="false" customHeight="true" outlineLevel="0" collapsed="false">
      <c r="A1189" s="6" t="n">
        <v>2019</v>
      </c>
      <c r="B1189" s="6" t="s">
        <v>121</v>
      </c>
      <c r="C1189" s="6" t="s">
        <v>139</v>
      </c>
      <c r="D1189" s="7" t="n">
        <v>2</v>
      </c>
      <c r="E1189" s="7" t="n">
        <v>2</v>
      </c>
      <c r="F1189" s="7" t="n">
        <v>0</v>
      </c>
      <c r="G1189" s="7" t="n">
        <v>0</v>
      </c>
      <c r="H1189" s="7" t="n">
        <v>0</v>
      </c>
      <c r="I1189" s="7" t="n">
        <v>0</v>
      </c>
      <c r="J1189" s="7" t="n">
        <v>0</v>
      </c>
      <c r="K1189" s="7" t="n">
        <v>0</v>
      </c>
      <c r="L1189" s="7" t="n">
        <v>0</v>
      </c>
      <c r="M1189" s="7" t="n">
        <v>0</v>
      </c>
      <c r="N1189" s="7" t="n">
        <v>0</v>
      </c>
      <c r="O1189" s="7" t="n">
        <v>0</v>
      </c>
      <c r="P1189" s="8" t="n">
        <f aca="false">IF(E1189=0,0,G1189/E1189)</f>
        <v>0</v>
      </c>
      <c r="Q1189" s="8" t="n">
        <f aca="false">IF(E1189+N1189=0,0,(G1189+N1189)/(E1189+N1189))</f>
        <v>0</v>
      </c>
      <c r="R1189" s="8" t="n">
        <f aca="false">IF(E1189=0,0,L1189/E1189)</f>
        <v>0</v>
      </c>
      <c r="S1189" s="8" t="n">
        <f aca="false">R1189+Q1189</f>
        <v>0</v>
      </c>
      <c r="T1189" s="8" t="n">
        <f aca="false">R1189-P1189</f>
        <v>0</v>
      </c>
    </row>
    <row r="1190" customFormat="false" ht="14.25" hidden="false" customHeight="true" outlineLevel="0" collapsed="false">
      <c r="A1190" s="6" t="n">
        <v>2019</v>
      </c>
      <c r="B1190" s="6" t="s">
        <v>121</v>
      </c>
      <c r="C1190" s="6" t="s">
        <v>135</v>
      </c>
      <c r="D1190" s="7" t="n">
        <v>1</v>
      </c>
      <c r="E1190" s="7" t="n">
        <v>2</v>
      </c>
      <c r="F1190" s="7" t="n">
        <v>0</v>
      </c>
      <c r="G1190" s="7" t="n">
        <v>0</v>
      </c>
      <c r="H1190" s="7" t="n">
        <v>0</v>
      </c>
      <c r="I1190" s="7" t="n">
        <v>0</v>
      </c>
      <c r="J1190" s="7" t="n">
        <v>0</v>
      </c>
      <c r="K1190" s="7" t="n">
        <v>0</v>
      </c>
      <c r="L1190" s="7" t="n">
        <v>0</v>
      </c>
      <c r="M1190" s="7" t="n">
        <v>0</v>
      </c>
      <c r="N1190" s="7" t="n">
        <v>0</v>
      </c>
      <c r="O1190" s="7" t="n">
        <v>0</v>
      </c>
      <c r="P1190" s="8" t="n">
        <f aca="false">IF(E1190=0,0,G1190/E1190)</f>
        <v>0</v>
      </c>
      <c r="Q1190" s="8" t="n">
        <f aca="false">IF(E1190+N1190=0,0,(G1190+N1190)/(E1190+N1190))</f>
        <v>0</v>
      </c>
      <c r="R1190" s="8" t="n">
        <f aca="false">IF(E1190=0,0,L1190/E1190)</f>
        <v>0</v>
      </c>
      <c r="S1190" s="8" t="n">
        <f aca="false">R1190+Q1190</f>
        <v>0</v>
      </c>
      <c r="T1190" s="8" t="n">
        <f aca="false">R1190-P1190</f>
        <v>0</v>
      </c>
    </row>
    <row r="1191" customFormat="false" ht="14.25" hidden="false" customHeight="true" outlineLevel="0" collapsed="false">
      <c r="A1191" s="6" t="n">
        <v>2019</v>
      </c>
      <c r="B1191" s="6" t="s">
        <v>121</v>
      </c>
      <c r="C1191" s="6" t="s">
        <v>146</v>
      </c>
      <c r="D1191" s="7" t="n">
        <v>1</v>
      </c>
      <c r="E1191" s="7" t="n">
        <v>2</v>
      </c>
      <c r="F1191" s="7" t="n">
        <v>0</v>
      </c>
      <c r="G1191" s="7" t="n">
        <v>0</v>
      </c>
      <c r="H1191" s="7" t="n">
        <v>0</v>
      </c>
      <c r="I1191" s="7" t="n">
        <v>0</v>
      </c>
      <c r="J1191" s="7" t="n">
        <v>0</v>
      </c>
      <c r="K1191" s="7" t="n">
        <v>0</v>
      </c>
      <c r="L1191" s="7" t="n">
        <v>0</v>
      </c>
      <c r="M1191" s="7" t="n">
        <v>0</v>
      </c>
      <c r="N1191" s="7" t="n">
        <v>0</v>
      </c>
      <c r="O1191" s="7" t="n">
        <v>0</v>
      </c>
      <c r="P1191" s="8" t="n">
        <f aca="false">IF(E1191=0,0,G1191/E1191)</f>
        <v>0</v>
      </c>
      <c r="Q1191" s="8" t="n">
        <f aca="false">IF(E1191+N1191=0,0,(G1191+N1191)/(E1191+N1191))</f>
        <v>0</v>
      </c>
      <c r="R1191" s="8" t="n">
        <f aca="false">IF(E1191=0,0,L1191/E1191)</f>
        <v>0</v>
      </c>
      <c r="S1191" s="8" t="n">
        <f aca="false">R1191+Q1191</f>
        <v>0</v>
      </c>
      <c r="T1191" s="8" t="n">
        <f aca="false">R1191-P1191</f>
        <v>0</v>
      </c>
    </row>
    <row r="1192" customFormat="false" ht="14.25" hidden="false" customHeight="true" outlineLevel="0" collapsed="false">
      <c r="A1192" s="6" t="n">
        <v>2019</v>
      </c>
      <c r="B1192" s="6" t="s">
        <v>121</v>
      </c>
      <c r="C1192" s="6" t="s">
        <v>482</v>
      </c>
      <c r="D1192" s="7" t="n">
        <v>1</v>
      </c>
      <c r="E1192" s="7" t="n">
        <v>0</v>
      </c>
      <c r="F1192" s="7" t="n">
        <v>0</v>
      </c>
      <c r="G1192" s="7" t="n">
        <v>0</v>
      </c>
      <c r="H1192" s="7" t="n">
        <v>0</v>
      </c>
      <c r="I1192" s="7" t="n">
        <v>0</v>
      </c>
      <c r="J1192" s="7" t="n">
        <v>0</v>
      </c>
      <c r="K1192" s="7" t="n">
        <v>0</v>
      </c>
      <c r="L1192" s="7" t="n">
        <v>0</v>
      </c>
      <c r="M1192" s="7" t="n">
        <v>0</v>
      </c>
      <c r="N1192" s="7" t="n">
        <v>0</v>
      </c>
      <c r="O1192" s="7" t="n">
        <v>0</v>
      </c>
      <c r="P1192" s="8" t="n">
        <f aca="false">IF(E1192=0,0,G1192/E1192)</f>
        <v>0</v>
      </c>
      <c r="Q1192" s="8" t="n">
        <f aca="false">IF(E1192+N1192=0,0,(G1192+N1192)/(E1192+N1192))</f>
        <v>0</v>
      </c>
      <c r="R1192" s="8" t="n">
        <f aca="false">IF(E1192=0,0,L1192/E1192)</f>
        <v>0</v>
      </c>
      <c r="S1192" s="8" t="n">
        <f aca="false">R1192+Q1192</f>
        <v>0</v>
      </c>
      <c r="T1192" s="8" t="n">
        <f aca="false">R1192-P1192</f>
        <v>0</v>
      </c>
    </row>
    <row r="1193" customFormat="false" ht="14.25" hidden="false" customHeight="true" outlineLevel="0" collapsed="false">
      <c r="A1193" s="6" t="n">
        <v>2019</v>
      </c>
      <c r="B1193" s="6" t="s">
        <v>147</v>
      </c>
      <c r="C1193" s="6" t="s">
        <v>149</v>
      </c>
      <c r="D1193" s="7" t="n">
        <v>11</v>
      </c>
      <c r="E1193" s="7" t="n">
        <v>42</v>
      </c>
      <c r="F1193" s="7" t="n">
        <v>10</v>
      </c>
      <c r="G1193" s="7" t="n">
        <v>19</v>
      </c>
      <c r="H1193" s="7" t="n">
        <v>1</v>
      </c>
      <c r="I1193" s="7" t="n">
        <v>0</v>
      </c>
      <c r="J1193" s="7" t="n">
        <v>5</v>
      </c>
      <c r="K1193" s="7" t="n">
        <v>6</v>
      </c>
      <c r="L1193" s="7" t="n">
        <v>35</v>
      </c>
      <c r="M1193" s="7" t="n">
        <v>18</v>
      </c>
      <c r="N1193" s="7" t="n">
        <v>0</v>
      </c>
      <c r="O1193" s="7" t="n">
        <v>3</v>
      </c>
      <c r="P1193" s="8" t="n">
        <f aca="false">IF(E1193=0,0,G1193/E1193)</f>
        <v>0.452380952380952</v>
      </c>
      <c r="Q1193" s="8" t="n">
        <f aca="false">IF(E1193+N1193=0,0,(G1193+N1193)/(E1193+N1193))</f>
        <v>0.452380952380952</v>
      </c>
      <c r="R1193" s="8" t="n">
        <f aca="false">IF(E1193=0,0,L1193/E1193)</f>
        <v>0.833333333333333</v>
      </c>
      <c r="S1193" s="8" t="n">
        <f aca="false">R1193+Q1193</f>
        <v>1.28571428571429</v>
      </c>
      <c r="T1193" s="8" t="n">
        <f aca="false">R1193-P1193</f>
        <v>0.380952380952381</v>
      </c>
    </row>
    <row r="1194" customFormat="false" ht="14.25" hidden="false" customHeight="true" outlineLevel="0" collapsed="false">
      <c r="A1194" s="6" t="n">
        <v>2019</v>
      </c>
      <c r="B1194" s="6" t="s">
        <v>147</v>
      </c>
      <c r="C1194" s="6" t="s">
        <v>151</v>
      </c>
      <c r="D1194" s="7" t="n">
        <v>12</v>
      </c>
      <c r="E1194" s="7" t="n">
        <v>31</v>
      </c>
      <c r="F1194" s="7" t="n">
        <v>24</v>
      </c>
      <c r="G1194" s="7" t="n">
        <v>16</v>
      </c>
      <c r="H1194" s="7" t="n">
        <v>0</v>
      </c>
      <c r="I1194" s="7" t="n">
        <v>0</v>
      </c>
      <c r="J1194" s="7" t="n">
        <v>8</v>
      </c>
      <c r="K1194" s="7" t="n">
        <v>8</v>
      </c>
      <c r="L1194" s="7" t="n">
        <v>40</v>
      </c>
      <c r="M1194" s="7" t="n">
        <v>18</v>
      </c>
      <c r="N1194" s="7" t="n">
        <v>15</v>
      </c>
      <c r="O1194" s="7" t="n">
        <v>2</v>
      </c>
      <c r="P1194" s="8" t="n">
        <f aca="false">IF(E1194=0,0,G1194/E1194)</f>
        <v>0.516129032258065</v>
      </c>
      <c r="Q1194" s="8" t="n">
        <f aca="false">IF(E1194+N1194=0,0,(G1194+N1194)/(E1194+N1194))</f>
        <v>0.673913043478261</v>
      </c>
      <c r="R1194" s="8" t="n">
        <f aca="false">IF(E1194=0,0,L1194/E1194)</f>
        <v>1.29032258064516</v>
      </c>
      <c r="S1194" s="8" t="n">
        <f aca="false">R1194+Q1194</f>
        <v>1.96423562412342</v>
      </c>
      <c r="T1194" s="8" t="n">
        <f aca="false">R1194-P1194</f>
        <v>0.774193548387097</v>
      </c>
    </row>
    <row r="1195" customFormat="false" ht="14.25" hidden="false" customHeight="true" outlineLevel="0" collapsed="false">
      <c r="A1195" s="6" t="n">
        <v>2019</v>
      </c>
      <c r="B1195" s="6" t="s">
        <v>147</v>
      </c>
      <c r="C1195" s="6" t="s">
        <v>154</v>
      </c>
      <c r="D1195" s="7" t="n">
        <v>13</v>
      </c>
      <c r="E1195" s="7" t="n">
        <v>39</v>
      </c>
      <c r="F1195" s="7" t="n">
        <v>12</v>
      </c>
      <c r="G1195" s="7" t="n">
        <v>15</v>
      </c>
      <c r="H1195" s="7" t="n">
        <v>4</v>
      </c>
      <c r="I1195" s="7" t="n">
        <v>0</v>
      </c>
      <c r="J1195" s="7" t="n">
        <v>2</v>
      </c>
      <c r="K1195" s="7" t="n">
        <v>6</v>
      </c>
      <c r="L1195" s="7" t="n">
        <v>25</v>
      </c>
      <c r="M1195" s="7" t="n">
        <v>7</v>
      </c>
      <c r="N1195" s="7" t="n">
        <v>8</v>
      </c>
      <c r="O1195" s="7" t="n">
        <v>2</v>
      </c>
      <c r="P1195" s="8" t="n">
        <f aca="false">IF(E1195=0,0,G1195/E1195)</f>
        <v>0.384615384615385</v>
      </c>
      <c r="Q1195" s="8" t="n">
        <f aca="false">IF(E1195+N1195=0,0,(G1195+N1195)/(E1195+N1195))</f>
        <v>0.48936170212766</v>
      </c>
      <c r="R1195" s="8" t="n">
        <f aca="false">IF(E1195=0,0,L1195/E1195)</f>
        <v>0.641025641025641</v>
      </c>
      <c r="S1195" s="8" t="n">
        <f aca="false">R1195+Q1195</f>
        <v>1.1303873431533</v>
      </c>
      <c r="T1195" s="8" t="n">
        <f aca="false">R1195-P1195</f>
        <v>0.256410256410256</v>
      </c>
    </row>
    <row r="1196" customFormat="false" ht="14.25" hidden="false" customHeight="true" outlineLevel="0" collapsed="false">
      <c r="A1196" s="6" t="n">
        <v>2019</v>
      </c>
      <c r="B1196" s="6" t="s">
        <v>147</v>
      </c>
      <c r="C1196" s="6" t="s">
        <v>302</v>
      </c>
      <c r="D1196" s="7" t="n">
        <v>8</v>
      </c>
      <c r="E1196" s="7" t="n">
        <v>25</v>
      </c>
      <c r="F1196" s="7" t="n">
        <v>14</v>
      </c>
      <c r="G1196" s="7" t="n">
        <v>13</v>
      </c>
      <c r="H1196" s="7" t="n">
        <v>0</v>
      </c>
      <c r="I1196" s="7" t="n">
        <v>0</v>
      </c>
      <c r="J1196" s="7" t="n">
        <v>3</v>
      </c>
      <c r="K1196" s="7" t="n">
        <v>3</v>
      </c>
      <c r="L1196" s="7" t="n">
        <v>22</v>
      </c>
      <c r="M1196" s="7" t="n">
        <v>9</v>
      </c>
      <c r="N1196" s="7" t="n">
        <v>6</v>
      </c>
      <c r="O1196" s="7" t="n">
        <v>1</v>
      </c>
      <c r="P1196" s="8" t="n">
        <f aca="false">IF(E1196=0,0,G1196/E1196)</f>
        <v>0.52</v>
      </c>
      <c r="Q1196" s="8" t="n">
        <f aca="false">IF(E1196+N1196=0,0,(G1196+N1196)/(E1196+N1196))</f>
        <v>0.612903225806452</v>
      </c>
      <c r="R1196" s="8" t="n">
        <f aca="false">IF(E1196=0,0,L1196/E1196)</f>
        <v>0.88</v>
      </c>
      <c r="S1196" s="8" t="n">
        <f aca="false">R1196+Q1196</f>
        <v>1.49290322580645</v>
      </c>
      <c r="T1196" s="8" t="n">
        <f aca="false">R1196-P1196</f>
        <v>0.36</v>
      </c>
    </row>
    <row r="1197" customFormat="false" ht="14.25" hidden="false" customHeight="true" outlineLevel="0" collapsed="false">
      <c r="A1197" s="6" t="n">
        <v>2019</v>
      </c>
      <c r="B1197" s="6" t="s">
        <v>147</v>
      </c>
      <c r="C1197" s="6" t="s">
        <v>148</v>
      </c>
      <c r="D1197" s="7" t="n">
        <v>10</v>
      </c>
      <c r="E1197" s="7" t="n">
        <v>33</v>
      </c>
      <c r="F1197" s="7" t="n">
        <v>5</v>
      </c>
      <c r="G1197" s="7" t="n">
        <v>11</v>
      </c>
      <c r="H1197" s="7" t="n">
        <v>1</v>
      </c>
      <c r="I1197" s="7" t="n">
        <v>0</v>
      </c>
      <c r="J1197" s="7" t="n">
        <v>3</v>
      </c>
      <c r="K1197" s="7" t="n">
        <v>4</v>
      </c>
      <c r="L1197" s="7" t="n">
        <v>21</v>
      </c>
      <c r="M1197" s="7" t="n">
        <v>11</v>
      </c>
      <c r="N1197" s="7" t="n">
        <v>2</v>
      </c>
      <c r="O1197" s="7" t="n">
        <v>4</v>
      </c>
      <c r="P1197" s="8" t="n">
        <f aca="false">IF(E1197=0,0,G1197/E1197)</f>
        <v>0.333333333333333</v>
      </c>
      <c r="Q1197" s="8" t="n">
        <f aca="false">IF(E1197+N1197=0,0,(G1197+N1197)/(E1197+N1197))</f>
        <v>0.371428571428571</v>
      </c>
      <c r="R1197" s="8" t="n">
        <f aca="false">IF(E1197=0,0,L1197/E1197)</f>
        <v>0.636363636363636</v>
      </c>
      <c r="S1197" s="8" t="n">
        <f aca="false">R1197+Q1197</f>
        <v>1.00779220779221</v>
      </c>
      <c r="T1197" s="8" t="n">
        <f aca="false">R1197-P1197</f>
        <v>0.303030303030303</v>
      </c>
    </row>
    <row r="1198" customFormat="false" ht="14.25" hidden="false" customHeight="true" outlineLevel="0" collapsed="false">
      <c r="A1198" s="6" t="n">
        <v>2019</v>
      </c>
      <c r="B1198" s="6" t="s">
        <v>147</v>
      </c>
      <c r="C1198" s="6" t="s">
        <v>150</v>
      </c>
      <c r="D1198" s="7" t="n">
        <v>13</v>
      </c>
      <c r="E1198" s="7" t="n">
        <v>39</v>
      </c>
      <c r="F1198" s="7" t="n">
        <v>4</v>
      </c>
      <c r="G1198" s="7" t="n">
        <v>11</v>
      </c>
      <c r="H1198" s="7" t="n">
        <v>4</v>
      </c>
      <c r="I1198" s="7" t="n">
        <v>0</v>
      </c>
      <c r="J1198" s="7" t="n">
        <v>0</v>
      </c>
      <c r="K1198" s="7" t="n">
        <v>4</v>
      </c>
      <c r="L1198" s="7" t="n">
        <v>15</v>
      </c>
      <c r="M1198" s="7" t="n">
        <v>5</v>
      </c>
      <c r="N1198" s="7" t="n">
        <v>2</v>
      </c>
      <c r="O1198" s="7" t="n">
        <v>2</v>
      </c>
      <c r="P1198" s="8" t="n">
        <f aca="false">IF(E1198=0,0,G1198/E1198)</f>
        <v>0.282051282051282</v>
      </c>
      <c r="Q1198" s="8" t="n">
        <f aca="false">IF(E1198+N1198=0,0,(G1198+N1198)/(E1198+N1198))</f>
        <v>0.317073170731707</v>
      </c>
      <c r="R1198" s="8" t="n">
        <f aca="false">IF(E1198=0,0,L1198/E1198)</f>
        <v>0.384615384615385</v>
      </c>
      <c r="S1198" s="8" t="n">
        <f aca="false">R1198+Q1198</f>
        <v>0.701688555347092</v>
      </c>
      <c r="T1198" s="8" t="n">
        <f aca="false">R1198-P1198</f>
        <v>0.102564102564103</v>
      </c>
    </row>
    <row r="1199" customFormat="false" ht="14.25" hidden="false" customHeight="true" outlineLevel="0" collapsed="false">
      <c r="A1199" s="6" t="n">
        <v>2019</v>
      </c>
      <c r="B1199" s="6" t="s">
        <v>147</v>
      </c>
      <c r="C1199" s="6" t="s">
        <v>152</v>
      </c>
      <c r="D1199" s="7" t="n">
        <v>13</v>
      </c>
      <c r="E1199" s="7" t="n">
        <v>41</v>
      </c>
      <c r="F1199" s="7" t="n">
        <v>8</v>
      </c>
      <c r="G1199" s="7" t="n">
        <v>11</v>
      </c>
      <c r="H1199" s="7" t="n">
        <v>2</v>
      </c>
      <c r="I1199" s="7" t="n">
        <v>0</v>
      </c>
      <c r="J1199" s="7" t="n">
        <v>0</v>
      </c>
      <c r="K1199" s="7" t="n">
        <v>2</v>
      </c>
      <c r="L1199" s="7" t="n">
        <v>13</v>
      </c>
      <c r="M1199" s="7" t="n">
        <v>6</v>
      </c>
      <c r="N1199" s="7" t="n">
        <v>8</v>
      </c>
      <c r="O1199" s="7" t="n">
        <v>3</v>
      </c>
      <c r="P1199" s="8" t="n">
        <f aca="false">IF(E1199=0,0,G1199/E1199)</f>
        <v>0.268292682926829</v>
      </c>
      <c r="Q1199" s="8" t="n">
        <f aca="false">IF(E1199+N1199=0,0,(G1199+N1199)/(E1199+N1199))</f>
        <v>0.387755102040816</v>
      </c>
      <c r="R1199" s="8" t="n">
        <f aca="false">IF(E1199=0,0,L1199/E1199)</f>
        <v>0.317073170731707</v>
      </c>
      <c r="S1199" s="8" t="n">
        <f aca="false">R1199+Q1199</f>
        <v>0.704828272772524</v>
      </c>
      <c r="T1199" s="8" t="n">
        <f aca="false">R1199-P1199</f>
        <v>0.048780487804878</v>
      </c>
    </row>
    <row r="1200" customFormat="false" ht="14.25" hidden="false" customHeight="true" outlineLevel="0" collapsed="false">
      <c r="A1200" s="6" t="n">
        <v>2019</v>
      </c>
      <c r="B1200" s="6" t="s">
        <v>147</v>
      </c>
      <c r="C1200" s="6" t="s">
        <v>389</v>
      </c>
      <c r="D1200" s="7" t="n">
        <v>7</v>
      </c>
      <c r="E1200" s="7" t="n">
        <v>22</v>
      </c>
      <c r="F1200" s="7" t="n">
        <v>6</v>
      </c>
      <c r="G1200" s="7" t="n">
        <v>9</v>
      </c>
      <c r="H1200" s="7" t="n">
        <v>0</v>
      </c>
      <c r="I1200" s="7" t="n">
        <v>0</v>
      </c>
      <c r="J1200" s="7" t="n">
        <v>0</v>
      </c>
      <c r="K1200" s="7" t="n">
        <v>0</v>
      </c>
      <c r="L1200" s="7" t="n">
        <v>9</v>
      </c>
      <c r="M1200" s="7" t="n">
        <v>2</v>
      </c>
      <c r="N1200" s="7" t="n">
        <v>0</v>
      </c>
      <c r="O1200" s="7" t="n">
        <v>0</v>
      </c>
      <c r="P1200" s="8" t="n">
        <f aca="false">IF(E1200=0,0,G1200/E1200)</f>
        <v>0.409090909090909</v>
      </c>
      <c r="Q1200" s="8" t="n">
        <f aca="false">IF(E1200+N1200=0,0,(G1200+N1200)/(E1200+N1200))</f>
        <v>0.409090909090909</v>
      </c>
      <c r="R1200" s="8" t="n">
        <f aca="false">IF(E1200=0,0,L1200/E1200)</f>
        <v>0.409090909090909</v>
      </c>
      <c r="S1200" s="8" t="n">
        <f aca="false">R1200+Q1200</f>
        <v>0.818181818181818</v>
      </c>
      <c r="T1200" s="8" t="n">
        <f aca="false">R1200-P1200</f>
        <v>0</v>
      </c>
    </row>
    <row r="1201" customFormat="false" ht="14.25" hidden="false" customHeight="true" outlineLevel="0" collapsed="false">
      <c r="A1201" s="6" t="n">
        <v>2019</v>
      </c>
      <c r="B1201" s="6" t="s">
        <v>147</v>
      </c>
      <c r="C1201" s="6" t="s">
        <v>162</v>
      </c>
      <c r="D1201" s="7" t="n">
        <v>12</v>
      </c>
      <c r="E1201" s="7" t="n">
        <v>31</v>
      </c>
      <c r="F1201" s="7" t="n">
        <v>7</v>
      </c>
      <c r="G1201" s="7" t="n">
        <v>9</v>
      </c>
      <c r="H1201" s="7" t="n">
        <v>2</v>
      </c>
      <c r="I1201" s="7" t="n">
        <v>0</v>
      </c>
      <c r="J1201" s="7" t="n">
        <v>1</v>
      </c>
      <c r="K1201" s="7" t="n">
        <v>3</v>
      </c>
      <c r="L1201" s="7" t="n">
        <v>14</v>
      </c>
      <c r="M1201" s="7" t="n">
        <v>11</v>
      </c>
      <c r="N1201" s="7" t="n">
        <v>5</v>
      </c>
      <c r="O1201" s="7" t="n">
        <v>0</v>
      </c>
      <c r="P1201" s="8" t="n">
        <f aca="false">IF(E1201=0,0,G1201/E1201)</f>
        <v>0.290322580645161</v>
      </c>
      <c r="Q1201" s="8" t="n">
        <f aca="false">IF(E1201+N1201=0,0,(G1201+N1201)/(E1201+N1201))</f>
        <v>0.388888888888889</v>
      </c>
      <c r="R1201" s="8" t="n">
        <f aca="false">IF(E1201=0,0,L1201/E1201)</f>
        <v>0.451612903225806</v>
      </c>
      <c r="S1201" s="8" t="n">
        <f aca="false">R1201+Q1201</f>
        <v>0.840501792114695</v>
      </c>
      <c r="T1201" s="8" t="n">
        <f aca="false">R1201-P1201</f>
        <v>0.161290322580645</v>
      </c>
    </row>
    <row r="1202" customFormat="false" ht="14.25" hidden="false" customHeight="true" outlineLevel="0" collapsed="false">
      <c r="A1202" s="6" t="n">
        <v>2019</v>
      </c>
      <c r="B1202" s="6" t="s">
        <v>147</v>
      </c>
      <c r="C1202" s="6" t="s">
        <v>155</v>
      </c>
      <c r="D1202" s="7" t="n">
        <v>13</v>
      </c>
      <c r="E1202" s="7" t="n">
        <v>34</v>
      </c>
      <c r="F1202" s="7" t="n">
        <v>9</v>
      </c>
      <c r="G1202" s="7" t="n">
        <v>9</v>
      </c>
      <c r="H1202" s="7" t="n">
        <v>0</v>
      </c>
      <c r="I1202" s="7" t="n">
        <v>0</v>
      </c>
      <c r="J1202" s="7" t="n">
        <v>4</v>
      </c>
      <c r="K1202" s="7" t="n">
        <v>4</v>
      </c>
      <c r="L1202" s="7" t="n">
        <v>21</v>
      </c>
      <c r="M1202" s="7" t="n">
        <v>7</v>
      </c>
      <c r="N1202" s="7" t="n">
        <v>9</v>
      </c>
      <c r="O1202" s="7" t="n">
        <v>1</v>
      </c>
      <c r="P1202" s="8" t="n">
        <f aca="false">IF(E1202=0,0,G1202/E1202)</f>
        <v>0.264705882352941</v>
      </c>
      <c r="Q1202" s="8" t="n">
        <f aca="false">IF(E1202+N1202=0,0,(G1202+N1202)/(E1202+N1202))</f>
        <v>0.418604651162791</v>
      </c>
      <c r="R1202" s="8" t="n">
        <f aca="false">IF(E1202=0,0,L1202/E1202)</f>
        <v>0.617647058823529</v>
      </c>
      <c r="S1202" s="8" t="n">
        <f aca="false">R1202+Q1202</f>
        <v>1.03625170998632</v>
      </c>
      <c r="T1202" s="8" t="n">
        <f aca="false">R1202-P1202</f>
        <v>0.352941176470588</v>
      </c>
    </row>
    <row r="1203" customFormat="false" ht="14.25" hidden="false" customHeight="true" outlineLevel="0" collapsed="false">
      <c r="A1203" s="6" t="n">
        <v>2019</v>
      </c>
      <c r="B1203" s="6" t="s">
        <v>147</v>
      </c>
      <c r="C1203" s="6" t="s">
        <v>347</v>
      </c>
      <c r="D1203" s="7" t="n">
        <v>6</v>
      </c>
      <c r="E1203" s="7" t="n">
        <v>21</v>
      </c>
      <c r="F1203" s="7" t="n">
        <v>10</v>
      </c>
      <c r="G1203" s="7" t="n">
        <v>8</v>
      </c>
      <c r="H1203" s="7" t="n">
        <v>1</v>
      </c>
      <c r="I1203" s="7" t="n">
        <v>0</v>
      </c>
      <c r="J1203" s="7" t="n">
        <v>3</v>
      </c>
      <c r="K1203" s="7" t="n">
        <v>4</v>
      </c>
      <c r="L1203" s="7" t="n">
        <v>18</v>
      </c>
      <c r="M1203" s="7" t="n">
        <v>8</v>
      </c>
      <c r="N1203" s="7" t="n">
        <v>3</v>
      </c>
      <c r="O1203" s="7" t="n">
        <v>0</v>
      </c>
      <c r="P1203" s="8" t="n">
        <f aca="false">IF(E1203=0,0,G1203/E1203)</f>
        <v>0.380952380952381</v>
      </c>
      <c r="Q1203" s="8" t="n">
        <f aca="false">IF(E1203+N1203=0,0,(G1203+N1203)/(E1203+N1203))</f>
        <v>0.458333333333333</v>
      </c>
      <c r="R1203" s="8" t="n">
        <f aca="false">IF(E1203=0,0,L1203/E1203)</f>
        <v>0.857142857142857</v>
      </c>
      <c r="S1203" s="8" t="n">
        <f aca="false">R1203+Q1203</f>
        <v>1.31547619047619</v>
      </c>
      <c r="T1203" s="8" t="n">
        <f aca="false">R1203-P1203</f>
        <v>0.476190476190476</v>
      </c>
    </row>
    <row r="1204" customFormat="false" ht="14.25" hidden="false" customHeight="true" outlineLevel="0" collapsed="false">
      <c r="A1204" s="6" t="n">
        <v>2019</v>
      </c>
      <c r="B1204" s="6" t="s">
        <v>147</v>
      </c>
      <c r="C1204" s="6" t="s">
        <v>344</v>
      </c>
      <c r="D1204" s="7" t="n">
        <v>10</v>
      </c>
      <c r="E1204" s="7" t="n">
        <v>28</v>
      </c>
      <c r="F1204" s="7" t="n">
        <v>4</v>
      </c>
      <c r="G1204" s="7" t="n">
        <v>3</v>
      </c>
      <c r="H1204" s="7" t="n">
        <v>1</v>
      </c>
      <c r="I1204" s="7" t="n">
        <v>0</v>
      </c>
      <c r="J1204" s="7" t="n">
        <v>0</v>
      </c>
      <c r="K1204" s="7" t="n">
        <v>1</v>
      </c>
      <c r="L1204" s="7" t="n">
        <v>4</v>
      </c>
      <c r="M1204" s="7" t="n">
        <v>0</v>
      </c>
      <c r="N1204" s="7" t="n">
        <v>0</v>
      </c>
      <c r="O1204" s="7" t="n">
        <v>0</v>
      </c>
      <c r="P1204" s="8" t="n">
        <f aca="false">IF(E1204=0,0,G1204/E1204)</f>
        <v>0.107142857142857</v>
      </c>
      <c r="Q1204" s="8" t="n">
        <f aca="false">IF(E1204+N1204=0,0,(G1204+N1204)/(E1204+N1204))</f>
        <v>0.107142857142857</v>
      </c>
      <c r="R1204" s="8" t="n">
        <f aca="false">IF(E1204=0,0,L1204/E1204)</f>
        <v>0.142857142857143</v>
      </c>
      <c r="S1204" s="8" t="n">
        <f aca="false">R1204+Q1204</f>
        <v>0.25</v>
      </c>
      <c r="T1204" s="8" t="n">
        <f aca="false">R1204-P1204</f>
        <v>0.0357142857142857</v>
      </c>
    </row>
    <row r="1205" customFormat="false" ht="14.25" hidden="false" customHeight="true" outlineLevel="0" collapsed="false">
      <c r="A1205" s="6" t="n">
        <v>2019</v>
      </c>
      <c r="B1205" s="6" t="s">
        <v>147</v>
      </c>
      <c r="C1205" s="6" t="s">
        <v>435</v>
      </c>
      <c r="D1205" s="7" t="n">
        <v>2</v>
      </c>
      <c r="E1205" s="7" t="n">
        <v>9</v>
      </c>
      <c r="F1205" s="7" t="n">
        <v>0</v>
      </c>
      <c r="G1205" s="7" t="n">
        <v>2</v>
      </c>
      <c r="H1205" s="7" t="n">
        <v>0</v>
      </c>
      <c r="I1205" s="7" t="n">
        <v>0</v>
      </c>
      <c r="J1205" s="7" t="n">
        <v>0</v>
      </c>
      <c r="K1205" s="7" t="n">
        <v>0</v>
      </c>
      <c r="L1205" s="7" t="n">
        <v>2</v>
      </c>
      <c r="M1205" s="7" t="n">
        <v>0</v>
      </c>
      <c r="N1205" s="7" t="n">
        <v>0</v>
      </c>
      <c r="O1205" s="7" t="n">
        <v>0</v>
      </c>
      <c r="P1205" s="8" t="n">
        <f aca="false">IF(E1205=0,0,G1205/E1205)</f>
        <v>0.222222222222222</v>
      </c>
      <c r="Q1205" s="8" t="n">
        <f aca="false">IF(E1205+N1205=0,0,(G1205+N1205)/(E1205+N1205))</f>
        <v>0.222222222222222</v>
      </c>
      <c r="R1205" s="8" t="n">
        <f aca="false">IF(E1205=0,0,L1205/E1205)</f>
        <v>0.222222222222222</v>
      </c>
      <c r="S1205" s="8" t="n">
        <f aca="false">R1205+Q1205</f>
        <v>0.444444444444444</v>
      </c>
      <c r="T1205" s="8" t="n">
        <f aca="false">R1205-P1205</f>
        <v>0</v>
      </c>
    </row>
    <row r="1206" customFormat="false" ht="14.25" hidden="false" customHeight="true" outlineLevel="0" collapsed="false">
      <c r="A1206" s="6" t="n">
        <v>2019</v>
      </c>
      <c r="B1206" s="6" t="s">
        <v>147</v>
      </c>
      <c r="C1206" s="6" t="s">
        <v>160</v>
      </c>
      <c r="D1206" s="7" t="n">
        <v>3</v>
      </c>
      <c r="E1206" s="7" t="n">
        <v>9</v>
      </c>
      <c r="F1206" s="7" t="n">
        <v>1</v>
      </c>
      <c r="G1206" s="7" t="n">
        <v>1</v>
      </c>
      <c r="H1206" s="7" t="n">
        <v>0</v>
      </c>
      <c r="I1206" s="7" t="n">
        <v>0</v>
      </c>
      <c r="J1206" s="7" t="n">
        <v>0</v>
      </c>
      <c r="K1206" s="7" t="n">
        <v>0</v>
      </c>
      <c r="L1206" s="7" t="n">
        <v>1</v>
      </c>
      <c r="M1206" s="7" t="n">
        <v>2</v>
      </c>
      <c r="N1206" s="7" t="n">
        <v>0</v>
      </c>
      <c r="O1206" s="7" t="n">
        <v>0</v>
      </c>
      <c r="P1206" s="8" t="n">
        <f aca="false">IF(E1206=0,0,G1206/E1206)</f>
        <v>0.111111111111111</v>
      </c>
      <c r="Q1206" s="8" t="n">
        <f aca="false">IF(E1206+N1206=0,0,(G1206+N1206)/(E1206+N1206))</f>
        <v>0.111111111111111</v>
      </c>
      <c r="R1206" s="8" t="n">
        <f aca="false">IF(E1206=0,0,L1206/E1206)</f>
        <v>0.111111111111111</v>
      </c>
      <c r="S1206" s="8" t="n">
        <f aca="false">R1206+Q1206</f>
        <v>0.222222222222222</v>
      </c>
      <c r="T1206" s="8" t="n">
        <f aca="false">R1206-P1206</f>
        <v>0</v>
      </c>
    </row>
    <row r="1207" customFormat="false" ht="14.25" hidden="false" customHeight="true" outlineLevel="0" collapsed="false">
      <c r="A1207" s="6" t="n">
        <v>2019</v>
      </c>
      <c r="B1207" s="6" t="s">
        <v>147</v>
      </c>
      <c r="C1207" s="6" t="s">
        <v>483</v>
      </c>
      <c r="D1207" s="7" t="n">
        <v>2</v>
      </c>
      <c r="E1207" s="7" t="n">
        <v>4</v>
      </c>
      <c r="F1207" s="7" t="n">
        <v>0</v>
      </c>
      <c r="G1207" s="7" t="n">
        <v>0</v>
      </c>
      <c r="H1207" s="7" t="n">
        <v>0</v>
      </c>
      <c r="I1207" s="7" t="n">
        <v>0</v>
      </c>
      <c r="J1207" s="7" t="n">
        <v>0</v>
      </c>
      <c r="K1207" s="7" t="n">
        <v>0</v>
      </c>
      <c r="L1207" s="7" t="n">
        <v>0</v>
      </c>
      <c r="M1207" s="7" t="n">
        <v>0</v>
      </c>
      <c r="N1207" s="7" t="n">
        <v>0</v>
      </c>
      <c r="O1207" s="7" t="n">
        <v>0</v>
      </c>
      <c r="P1207" s="8" t="n">
        <f aca="false">IF(E1207=0,0,G1207/E1207)</f>
        <v>0</v>
      </c>
      <c r="Q1207" s="8" t="n">
        <f aca="false">IF(E1207+N1207=0,0,(G1207+N1207)/(E1207+N1207))</f>
        <v>0</v>
      </c>
      <c r="R1207" s="8" t="n">
        <f aca="false">IF(E1207=0,0,L1207/E1207)</f>
        <v>0</v>
      </c>
      <c r="S1207" s="8" t="n">
        <f aca="false">R1207+Q1207</f>
        <v>0</v>
      </c>
      <c r="T1207" s="8" t="n">
        <f aca="false">R1207-P1207</f>
        <v>0</v>
      </c>
    </row>
    <row r="1208" customFormat="false" ht="14.25" hidden="false" customHeight="true" outlineLevel="0" collapsed="false">
      <c r="A1208" s="6" t="n">
        <v>2019</v>
      </c>
      <c r="B1208" s="6" t="s">
        <v>147</v>
      </c>
      <c r="C1208" s="6" t="s">
        <v>390</v>
      </c>
      <c r="D1208" s="7" t="n">
        <v>1</v>
      </c>
      <c r="E1208" s="7" t="n">
        <v>3</v>
      </c>
      <c r="F1208" s="7" t="n">
        <v>0</v>
      </c>
      <c r="G1208" s="7" t="n">
        <v>0</v>
      </c>
      <c r="H1208" s="7" t="n">
        <v>0</v>
      </c>
      <c r="I1208" s="7" t="n">
        <v>0</v>
      </c>
      <c r="J1208" s="7" t="n">
        <v>0</v>
      </c>
      <c r="K1208" s="7" t="n">
        <v>0</v>
      </c>
      <c r="L1208" s="7" t="n">
        <v>0</v>
      </c>
      <c r="M1208" s="7" t="n">
        <v>0</v>
      </c>
      <c r="N1208" s="7" t="n">
        <v>0</v>
      </c>
      <c r="O1208" s="7" t="n">
        <v>0</v>
      </c>
      <c r="P1208" s="8" t="n">
        <f aca="false">IF(E1208=0,0,G1208/E1208)</f>
        <v>0</v>
      </c>
      <c r="Q1208" s="8" t="n">
        <f aca="false">IF(E1208+N1208=0,0,(G1208+N1208)/(E1208+N1208))</f>
        <v>0</v>
      </c>
      <c r="R1208" s="8" t="n">
        <f aca="false">IF(E1208=0,0,L1208/E1208)</f>
        <v>0</v>
      </c>
      <c r="S1208" s="8" t="n">
        <f aca="false">R1208+Q1208</f>
        <v>0</v>
      </c>
      <c r="T1208" s="8" t="n">
        <f aca="false">R1208-P1208</f>
        <v>0</v>
      </c>
    </row>
    <row r="1209" customFormat="false" ht="14.25" hidden="false" customHeight="true" outlineLevel="0" collapsed="false">
      <c r="A1209" s="6" t="n">
        <v>2019</v>
      </c>
      <c r="B1209" s="6" t="s">
        <v>147</v>
      </c>
      <c r="C1209" s="6" t="s">
        <v>395</v>
      </c>
      <c r="D1209" s="7" t="n">
        <v>1</v>
      </c>
      <c r="E1209" s="7" t="n">
        <v>1</v>
      </c>
      <c r="F1209" s="7" t="n">
        <v>0</v>
      </c>
      <c r="G1209" s="7" t="n">
        <v>0</v>
      </c>
      <c r="H1209" s="7" t="n">
        <v>0</v>
      </c>
      <c r="I1209" s="7" t="n">
        <v>0</v>
      </c>
      <c r="J1209" s="7" t="n">
        <v>0</v>
      </c>
      <c r="K1209" s="7" t="n">
        <v>0</v>
      </c>
      <c r="L1209" s="7" t="n">
        <v>0</v>
      </c>
      <c r="M1209" s="7" t="n">
        <v>0</v>
      </c>
      <c r="N1209" s="7" t="n">
        <v>0</v>
      </c>
      <c r="O1209" s="7" t="n">
        <v>0</v>
      </c>
      <c r="P1209" s="8" t="n">
        <f aca="false">IF(E1209=0,0,G1209/E1209)</f>
        <v>0</v>
      </c>
      <c r="Q1209" s="8" t="n">
        <f aca="false">IF(E1209+N1209=0,0,(G1209+N1209)/(E1209+N1209))</f>
        <v>0</v>
      </c>
      <c r="R1209" s="8" t="n">
        <f aca="false">IF(E1209=0,0,L1209/E1209)</f>
        <v>0</v>
      </c>
      <c r="S1209" s="8" t="n">
        <f aca="false">R1209+Q1209</f>
        <v>0</v>
      </c>
      <c r="T1209" s="8" t="n">
        <f aca="false">R1209-P1209</f>
        <v>0</v>
      </c>
    </row>
    <row r="1210" customFormat="false" ht="14.25" hidden="false" customHeight="true" outlineLevel="0" collapsed="false">
      <c r="A1210" s="6" t="n">
        <v>2019</v>
      </c>
      <c r="B1210" s="6" t="s">
        <v>166</v>
      </c>
      <c r="C1210" s="6" t="s">
        <v>484</v>
      </c>
      <c r="D1210" s="7" t="n">
        <v>10</v>
      </c>
      <c r="E1210" s="7" t="n">
        <v>32</v>
      </c>
      <c r="F1210" s="7" t="n">
        <v>4</v>
      </c>
      <c r="G1210" s="7" t="n">
        <v>13</v>
      </c>
      <c r="H1210" s="7" t="n">
        <v>1</v>
      </c>
      <c r="I1210" s="7" t="n">
        <v>0</v>
      </c>
      <c r="J1210" s="7" t="n">
        <v>0</v>
      </c>
      <c r="K1210" s="7" t="n">
        <v>1</v>
      </c>
      <c r="L1210" s="7" t="n">
        <v>14</v>
      </c>
      <c r="M1210" s="7" t="n">
        <v>4</v>
      </c>
      <c r="N1210" s="7" t="n">
        <v>1</v>
      </c>
      <c r="O1210" s="7" t="n">
        <v>2</v>
      </c>
      <c r="P1210" s="8" t="n">
        <f aca="false">IF(E1210=0,0,G1210/E1210)</f>
        <v>0.40625</v>
      </c>
      <c r="Q1210" s="8" t="n">
        <f aca="false">IF(E1210+N1210=0,0,(G1210+N1210)/(E1210+N1210))</f>
        <v>0.424242424242424</v>
      </c>
      <c r="R1210" s="8" t="n">
        <f aca="false">IF(E1210=0,0,L1210/E1210)</f>
        <v>0.4375</v>
      </c>
      <c r="S1210" s="8" t="n">
        <f aca="false">R1210+Q1210</f>
        <v>0.861742424242424</v>
      </c>
      <c r="T1210" s="8" t="n">
        <f aca="false">R1210-P1210</f>
        <v>0.03125</v>
      </c>
    </row>
    <row r="1211" customFormat="false" ht="14.25" hidden="false" customHeight="true" outlineLevel="0" collapsed="false">
      <c r="A1211" s="6" t="n">
        <v>2019</v>
      </c>
      <c r="B1211" s="6" t="s">
        <v>166</v>
      </c>
      <c r="C1211" s="6" t="s">
        <v>172</v>
      </c>
      <c r="D1211" s="7" t="n">
        <v>9</v>
      </c>
      <c r="E1211" s="7" t="n">
        <v>22</v>
      </c>
      <c r="F1211" s="7" t="n">
        <v>6</v>
      </c>
      <c r="G1211" s="7" t="n">
        <v>12</v>
      </c>
      <c r="H1211" s="7" t="n">
        <v>3</v>
      </c>
      <c r="I1211" s="7" t="n">
        <v>0</v>
      </c>
      <c r="J1211" s="7" t="n">
        <v>4</v>
      </c>
      <c r="K1211" s="7" t="n">
        <v>7</v>
      </c>
      <c r="L1211" s="7" t="n">
        <v>27</v>
      </c>
      <c r="M1211" s="7" t="n">
        <v>14</v>
      </c>
      <c r="N1211" s="7" t="n">
        <v>5</v>
      </c>
      <c r="O1211" s="7" t="n">
        <v>0</v>
      </c>
      <c r="P1211" s="8" t="n">
        <f aca="false">IF(E1211=0,0,G1211/E1211)</f>
        <v>0.545454545454545</v>
      </c>
      <c r="Q1211" s="8" t="n">
        <f aca="false">IF(E1211+N1211=0,0,(G1211+N1211)/(E1211+N1211))</f>
        <v>0.62962962962963</v>
      </c>
      <c r="R1211" s="8" t="n">
        <f aca="false">IF(E1211=0,0,L1211/E1211)</f>
        <v>1.22727272727273</v>
      </c>
      <c r="S1211" s="8" t="n">
        <f aca="false">R1211+Q1211</f>
        <v>1.85690235690236</v>
      </c>
      <c r="T1211" s="8" t="n">
        <f aca="false">R1211-P1211</f>
        <v>0.681818181818182</v>
      </c>
    </row>
    <row r="1212" customFormat="false" ht="14.25" hidden="false" customHeight="true" outlineLevel="0" collapsed="false">
      <c r="A1212" s="6" t="n">
        <v>2019</v>
      </c>
      <c r="B1212" s="6" t="s">
        <v>166</v>
      </c>
      <c r="C1212" s="6" t="s">
        <v>182</v>
      </c>
      <c r="D1212" s="7" t="n">
        <v>12</v>
      </c>
      <c r="E1212" s="7" t="n">
        <v>32</v>
      </c>
      <c r="F1212" s="7" t="n">
        <v>5</v>
      </c>
      <c r="G1212" s="7" t="n">
        <v>10</v>
      </c>
      <c r="H1212" s="7" t="n">
        <v>6</v>
      </c>
      <c r="I1212" s="7" t="n">
        <v>0</v>
      </c>
      <c r="J1212" s="7" t="n">
        <v>1</v>
      </c>
      <c r="K1212" s="7" t="n">
        <v>7</v>
      </c>
      <c r="L1212" s="7" t="n">
        <v>19</v>
      </c>
      <c r="M1212" s="7" t="n">
        <v>4</v>
      </c>
      <c r="N1212" s="7" t="n">
        <v>7</v>
      </c>
      <c r="O1212" s="7" t="n">
        <v>1</v>
      </c>
      <c r="P1212" s="8" t="n">
        <f aca="false">IF(E1212=0,0,G1212/E1212)</f>
        <v>0.3125</v>
      </c>
      <c r="Q1212" s="8" t="n">
        <f aca="false">IF(E1212+N1212=0,0,(G1212+N1212)/(E1212+N1212))</f>
        <v>0.435897435897436</v>
      </c>
      <c r="R1212" s="8" t="n">
        <f aca="false">IF(E1212=0,0,L1212/E1212)</f>
        <v>0.59375</v>
      </c>
      <c r="S1212" s="8" t="n">
        <f aca="false">R1212+Q1212</f>
        <v>1.02964743589744</v>
      </c>
      <c r="T1212" s="8" t="n">
        <f aca="false">R1212-P1212</f>
        <v>0.28125</v>
      </c>
    </row>
    <row r="1213" customFormat="false" ht="14.25" hidden="false" customHeight="true" outlineLevel="0" collapsed="false">
      <c r="A1213" s="6" t="n">
        <v>2019</v>
      </c>
      <c r="B1213" s="6" t="s">
        <v>166</v>
      </c>
      <c r="C1213" s="6" t="s">
        <v>173</v>
      </c>
      <c r="D1213" s="7" t="n">
        <v>13</v>
      </c>
      <c r="E1213" s="7" t="n">
        <v>35</v>
      </c>
      <c r="F1213" s="7" t="n">
        <v>5</v>
      </c>
      <c r="G1213" s="7" t="n">
        <v>10</v>
      </c>
      <c r="H1213" s="7" t="n">
        <v>3</v>
      </c>
      <c r="I1213" s="7" t="n">
        <v>0</v>
      </c>
      <c r="J1213" s="7" t="n">
        <v>0</v>
      </c>
      <c r="K1213" s="7" t="n">
        <v>3</v>
      </c>
      <c r="L1213" s="7" t="n">
        <v>13</v>
      </c>
      <c r="M1213" s="7" t="n">
        <v>2</v>
      </c>
      <c r="N1213" s="7" t="n">
        <v>6</v>
      </c>
      <c r="O1213" s="7" t="n">
        <v>0</v>
      </c>
      <c r="P1213" s="8" t="n">
        <f aca="false">IF(E1213=0,0,G1213/E1213)</f>
        <v>0.285714285714286</v>
      </c>
      <c r="Q1213" s="8" t="n">
        <f aca="false">IF(E1213+N1213=0,0,(G1213+N1213)/(E1213+N1213))</f>
        <v>0.390243902439024</v>
      </c>
      <c r="R1213" s="8" t="n">
        <f aca="false">IF(E1213=0,0,L1213/E1213)</f>
        <v>0.371428571428571</v>
      </c>
      <c r="S1213" s="8" t="n">
        <f aca="false">R1213+Q1213</f>
        <v>0.761672473867596</v>
      </c>
      <c r="T1213" s="8" t="n">
        <f aca="false">R1213-P1213</f>
        <v>0.0857142857142857</v>
      </c>
    </row>
    <row r="1214" customFormat="false" ht="14.25" hidden="false" customHeight="true" outlineLevel="0" collapsed="false">
      <c r="A1214" s="6" t="n">
        <v>2019</v>
      </c>
      <c r="B1214" s="6" t="s">
        <v>166</v>
      </c>
      <c r="C1214" s="6" t="s">
        <v>175</v>
      </c>
      <c r="D1214" s="7" t="n">
        <v>9</v>
      </c>
      <c r="E1214" s="7" t="n">
        <v>27</v>
      </c>
      <c r="F1214" s="7" t="n">
        <v>8</v>
      </c>
      <c r="G1214" s="7" t="n">
        <v>8</v>
      </c>
      <c r="H1214" s="7" t="n">
        <v>1</v>
      </c>
      <c r="I1214" s="7" t="n">
        <v>0</v>
      </c>
      <c r="J1214" s="7" t="n">
        <v>1</v>
      </c>
      <c r="K1214" s="7" t="n">
        <v>2</v>
      </c>
      <c r="L1214" s="7" t="n">
        <v>12</v>
      </c>
      <c r="M1214" s="7" t="n">
        <v>3</v>
      </c>
      <c r="N1214" s="7" t="n">
        <v>3</v>
      </c>
      <c r="O1214" s="7" t="n">
        <v>3</v>
      </c>
      <c r="P1214" s="8" t="n">
        <f aca="false">IF(E1214=0,0,G1214/E1214)</f>
        <v>0.296296296296296</v>
      </c>
      <c r="Q1214" s="8" t="n">
        <f aca="false">IF(E1214+N1214=0,0,(G1214+N1214)/(E1214+N1214))</f>
        <v>0.366666666666667</v>
      </c>
      <c r="R1214" s="8" t="n">
        <f aca="false">IF(E1214=0,0,L1214/E1214)</f>
        <v>0.444444444444444</v>
      </c>
      <c r="S1214" s="8" t="n">
        <f aca="false">R1214+Q1214</f>
        <v>0.811111111111111</v>
      </c>
      <c r="T1214" s="8" t="n">
        <f aca="false">R1214-P1214</f>
        <v>0.148148148148148</v>
      </c>
    </row>
    <row r="1215" customFormat="false" ht="14.25" hidden="false" customHeight="true" outlineLevel="0" collapsed="false">
      <c r="A1215" s="6" t="n">
        <v>2019</v>
      </c>
      <c r="B1215" s="6" t="s">
        <v>166</v>
      </c>
      <c r="C1215" s="6" t="s">
        <v>185</v>
      </c>
      <c r="D1215" s="7" t="n">
        <v>7</v>
      </c>
      <c r="E1215" s="7" t="n">
        <v>19</v>
      </c>
      <c r="F1215" s="7" t="n">
        <v>3</v>
      </c>
      <c r="G1215" s="7" t="n">
        <v>6</v>
      </c>
      <c r="H1215" s="7" t="n">
        <v>1</v>
      </c>
      <c r="I1215" s="7" t="n">
        <v>0</v>
      </c>
      <c r="J1215" s="7" t="n">
        <v>2</v>
      </c>
      <c r="K1215" s="7" t="n">
        <v>3</v>
      </c>
      <c r="L1215" s="7" t="n">
        <v>13</v>
      </c>
      <c r="M1215" s="7" t="n">
        <v>8</v>
      </c>
      <c r="N1215" s="7" t="n">
        <v>2</v>
      </c>
      <c r="O1215" s="7" t="n">
        <v>1</v>
      </c>
      <c r="P1215" s="8" t="n">
        <f aca="false">IF(E1215=0,0,G1215/E1215)</f>
        <v>0.315789473684211</v>
      </c>
      <c r="Q1215" s="8" t="n">
        <f aca="false">IF(E1215+N1215=0,0,(G1215+N1215)/(E1215+N1215))</f>
        <v>0.380952380952381</v>
      </c>
      <c r="R1215" s="8" t="n">
        <f aca="false">IF(E1215=0,0,L1215/E1215)</f>
        <v>0.68421052631579</v>
      </c>
      <c r="S1215" s="8" t="n">
        <f aca="false">R1215+Q1215</f>
        <v>1.06516290726817</v>
      </c>
      <c r="T1215" s="8" t="n">
        <f aca="false">R1215-P1215</f>
        <v>0.368421052631579</v>
      </c>
    </row>
    <row r="1216" customFormat="false" ht="14.25" hidden="false" customHeight="true" outlineLevel="0" collapsed="false">
      <c r="A1216" s="6" t="n">
        <v>2019</v>
      </c>
      <c r="B1216" s="6" t="s">
        <v>166</v>
      </c>
      <c r="C1216" s="6" t="s">
        <v>485</v>
      </c>
      <c r="D1216" s="7" t="n">
        <v>12</v>
      </c>
      <c r="E1216" s="7" t="n">
        <v>33</v>
      </c>
      <c r="F1216" s="7" t="n">
        <v>2</v>
      </c>
      <c r="G1216" s="7" t="n">
        <v>6</v>
      </c>
      <c r="H1216" s="7" t="n">
        <v>2</v>
      </c>
      <c r="I1216" s="7" t="n">
        <v>0</v>
      </c>
      <c r="J1216" s="7" t="n">
        <v>1</v>
      </c>
      <c r="K1216" s="7" t="n">
        <v>3</v>
      </c>
      <c r="L1216" s="7" t="n">
        <v>11</v>
      </c>
      <c r="M1216" s="7" t="n">
        <v>4</v>
      </c>
      <c r="N1216" s="7" t="n">
        <v>4</v>
      </c>
      <c r="O1216" s="7" t="n">
        <v>4</v>
      </c>
      <c r="P1216" s="8" t="n">
        <f aca="false">IF(E1216=0,0,G1216/E1216)</f>
        <v>0.181818181818182</v>
      </c>
      <c r="Q1216" s="8" t="n">
        <f aca="false">IF(E1216+N1216=0,0,(G1216+N1216)/(E1216+N1216))</f>
        <v>0.27027027027027</v>
      </c>
      <c r="R1216" s="8" t="n">
        <f aca="false">IF(E1216=0,0,L1216/E1216)</f>
        <v>0.333333333333333</v>
      </c>
      <c r="S1216" s="8" t="n">
        <f aca="false">R1216+Q1216</f>
        <v>0.603603603603604</v>
      </c>
      <c r="T1216" s="8" t="n">
        <f aca="false">R1216-P1216</f>
        <v>0.151515151515152</v>
      </c>
    </row>
    <row r="1217" customFormat="false" ht="14.25" hidden="false" customHeight="true" outlineLevel="0" collapsed="false">
      <c r="A1217" s="6" t="n">
        <v>2019</v>
      </c>
      <c r="B1217" s="6" t="s">
        <v>166</v>
      </c>
      <c r="C1217" s="6" t="s">
        <v>174</v>
      </c>
      <c r="D1217" s="7" t="n">
        <v>12</v>
      </c>
      <c r="E1217" s="7" t="n">
        <v>20</v>
      </c>
      <c r="F1217" s="7" t="n">
        <v>2</v>
      </c>
      <c r="G1217" s="7" t="n">
        <v>5</v>
      </c>
      <c r="H1217" s="7" t="n">
        <v>1</v>
      </c>
      <c r="I1217" s="7" t="n">
        <v>0</v>
      </c>
      <c r="J1217" s="7" t="n">
        <v>0</v>
      </c>
      <c r="K1217" s="7" t="n">
        <v>1</v>
      </c>
      <c r="L1217" s="7" t="n">
        <v>6</v>
      </c>
      <c r="M1217" s="7" t="n">
        <v>1</v>
      </c>
      <c r="N1217" s="7" t="n">
        <v>0</v>
      </c>
      <c r="O1217" s="7" t="n">
        <v>0</v>
      </c>
      <c r="P1217" s="8" t="n">
        <f aca="false">IF(E1217=0,0,G1217/E1217)</f>
        <v>0.25</v>
      </c>
      <c r="Q1217" s="8" t="n">
        <f aca="false">IF(E1217+N1217=0,0,(G1217+N1217)/(E1217+N1217))</f>
        <v>0.25</v>
      </c>
      <c r="R1217" s="8" t="n">
        <f aca="false">IF(E1217=0,0,L1217/E1217)</f>
        <v>0.3</v>
      </c>
      <c r="S1217" s="8" t="n">
        <f aca="false">R1217+Q1217</f>
        <v>0.55</v>
      </c>
      <c r="T1217" s="8" t="n">
        <f aca="false">R1217-P1217</f>
        <v>0.05</v>
      </c>
    </row>
    <row r="1218" customFormat="false" ht="14.25" hidden="false" customHeight="true" outlineLevel="0" collapsed="false">
      <c r="A1218" s="6" t="n">
        <v>2019</v>
      </c>
      <c r="B1218" s="6" t="s">
        <v>166</v>
      </c>
      <c r="C1218" s="6" t="s">
        <v>486</v>
      </c>
      <c r="D1218" s="7" t="n">
        <v>5</v>
      </c>
      <c r="E1218" s="7" t="n">
        <v>16</v>
      </c>
      <c r="F1218" s="7" t="n">
        <v>1</v>
      </c>
      <c r="G1218" s="7" t="n">
        <v>4</v>
      </c>
      <c r="H1218" s="7" t="n">
        <v>1</v>
      </c>
      <c r="I1218" s="7" t="n">
        <v>0</v>
      </c>
      <c r="J1218" s="7" t="n">
        <v>0</v>
      </c>
      <c r="K1218" s="7" t="n">
        <v>1</v>
      </c>
      <c r="L1218" s="7" t="n">
        <v>5</v>
      </c>
      <c r="M1218" s="7" t="n">
        <v>0</v>
      </c>
      <c r="N1218" s="7" t="n">
        <v>0</v>
      </c>
      <c r="O1218" s="7" t="n">
        <v>2</v>
      </c>
      <c r="P1218" s="8" t="n">
        <f aca="false">IF(E1218=0,0,G1218/E1218)</f>
        <v>0.25</v>
      </c>
      <c r="Q1218" s="8" t="n">
        <f aca="false">IF(E1218+N1218=0,0,(G1218+N1218)/(E1218+N1218))</f>
        <v>0.25</v>
      </c>
      <c r="R1218" s="8" t="n">
        <f aca="false">IF(E1218=0,0,L1218/E1218)</f>
        <v>0.3125</v>
      </c>
      <c r="S1218" s="8" t="n">
        <f aca="false">R1218+Q1218</f>
        <v>0.5625</v>
      </c>
      <c r="T1218" s="8" t="n">
        <f aca="false">R1218-P1218</f>
        <v>0.0625</v>
      </c>
    </row>
    <row r="1219" customFormat="false" ht="14.25" hidden="false" customHeight="true" outlineLevel="0" collapsed="false">
      <c r="A1219" s="6" t="n">
        <v>2019</v>
      </c>
      <c r="B1219" s="6" t="s">
        <v>166</v>
      </c>
      <c r="C1219" s="6" t="s">
        <v>167</v>
      </c>
      <c r="D1219" s="7" t="n">
        <v>9</v>
      </c>
      <c r="E1219" s="7" t="n">
        <v>20</v>
      </c>
      <c r="F1219" s="7" t="n">
        <v>1</v>
      </c>
      <c r="G1219" s="7" t="n">
        <v>3</v>
      </c>
      <c r="H1219" s="7" t="n">
        <v>0</v>
      </c>
      <c r="I1219" s="7" t="n">
        <v>0</v>
      </c>
      <c r="J1219" s="7" t="n">
        <v>0</v>
      </c>
      <c r="K1219" s="7" t="n">
        <v>0</v>
      </c>
      <c r="L1219" s="7" t="n">
        <v>3</v>
      </c>
      <c r="M1219" s="7" t="n">
        <v>3</v>
      </c>
      <c r="N1219" s="7" t="n">
        <v>3</v>
      </c>
      <c r="O1219" s="7" t="n">
        <v>0</v>
      </c>
      <c r="P1219" s="8" t="n">
        <f aca="false">IF(E1219=0,0,G1219/E1219)</f>
        <v>0.15</v>
      </c>
      <c r="Q1219" s="8" t="n">
        <f aca="false">IF(E1219+N1219=0,0,(G1219+N1219)/(E1219+N1219))</f>
        <v>0.260869565217391</v>
      </c>
      <c r="R1219" s="8" t="n">
        <f aca="false">IF(E1219=0,0,L1219/E1219)</f>
        <v>0.15</v>
      </c>
      <c r="S1219" s="8" t="n">
        <f aca="false">R1219+Q1219</f>
        <v>0.410869565217391</v>
      </c>
      <c r="T1219" s="8" t="n">
        <f aca="false">R1219-P1219</f>
        <v>0</v>
      </c>
    </row>
    <row r="1220" customFormat="false" ht="14.25" hidden="false" customHeight="true" outlineLevel="0" collapsed="false">
      <c r="A1220" s="6" t="n">
        <v>2019</v>
      </c>
      <c r="B1220" s="6" t="s">
        <v>166</v>
      </c>
      <c r="C1220" s="6" t="s">
        <v>487</v>
      </c>
      <c r="D1220" s="7" t="n">
        <v>11</v>
      </c>
      <c r="E1220" s="7" t="n">
        <v>26</v>
      </c>
      <c r="F1220" s="7" t="n">
        <v>1</v>
      </c>
      <c r="G1220" s="7" t="n">
        <v>3</v>
      </c>
      <c r="H1220" s="7" t="n">
        <v>0</v>
      </c>
      <c r="I1220" s="7" t="n">
        <v>0</v>
      </c>
      <c r="J1220" s="7" t="n">
        <v>0</v>
      </c>
      <c r="K1220" s="7" t="n">
        <v>0</v>
      </c>
      <c r="L1220" s="7" t="n">
        <v>3</v>
      </c>
      <c r="M1220" s="7" t="n">
        <v>3</v>
      </c>
      <c r="N1220" s="7" t="n">
        <v>2</v>
      </c>
      <c r="O1220" s="7" t="n">
        <v>0</v>
      </c>
      <c r="P1220" s="8" t="n">
        <f aca="false">IF(E1220=0,0,G1220/E1220)</f>
        <v>0.115384615384615</v>
      </c>
      <c r="Q1220" s="8" t="n">
        <f aca="false">IF(E1220+N1220=0,0,(G1220+N1220)/(E1220+N1220))</f>
        <v>0.178571428571429</v>
      </c>
      <c r="R1220" s="8" t="n">
        <f aca="false">IF(E1220=0,0,L1220/E1220)</f>
        <v>0.115384615384615</v>
      </c>
      <c r="S1220" s="8" t="n">
        <f aca="false">R1220+Q1220</f>
        <v>0.293956043956044</v>
      </c>
      <c r="T1220" s="8" t="n">
        <f aca="false">R1220-P1220</f>
        <v>0</v>
      </c>
    </row>
    <row r="1221" customFormat="false" ht="14.25" hidden="false" customHeight="true" outlineLevel="0" collapsed="false">
      <c r="A1221" s="6" t="n">
        <v>2019</v>
      </c>
      <c r="B1221" s="6" t="s">
        <v>166</v>
      </c>
      <c r="C1221" s="6" t="s">
        <v>488</v>
      </c>
      <c r="D1221" s="7" t="n">
        <v>1</v>
      </c>
      <c r="E1221" s="7" t="n">
        <v>3</v>
      </c>
      <c r="F1221" s="7" t="n">
        <v>1</v>
      </c>
      <c r="G1221" s="7" t="n">
        <v>2</v>
      </c>
      <c r="H1221" s="7" t="n">
        <v>0</v>
      </c>
      <c r="I1221" s="7" t="n">
        <v>0</v>
      </c>
      <c r="J1221" s="7" t="n">
        <v>1</v>
      </c>
      <c r="K1221" s="7" t="n">
        <v>1</v>
      </c>
      <c r="L1221" s="7" t="n">
        <v>5</v>
      </c>
      <c r="M1221" s="7" t="n">
        <v>3</v>
      </c>
      <c r="N1221" s="7" t="n">
        <v>0</v>
      </c>
      <c r="O1221" s="7" t="n">
        <v>0</v>
      </c>
      <c r="P1221" s="8" t="n">
        <f aca="false">IF(E1221=0,0,G1221/E1221)</f>
        <v>0.666666666666667</v>
      </c>
      <c r="Q1221" s="8" t="n">
        <f aca="false">IF(E1221+N1221=0,0,(G1221+N1221)/(E1221+N1221))</f>
        <v>0.666666666666667</v>
      </c>
      <c r="R1221" s="8" t="n">
        <f aca="false">IF(E1221=0,0,L1221/E1221)</f>
        <v>1.66666666666667</v>
      </c>
      <c r="S1221" s="8" t="n">
        <f aca="false">R1221+Q1221</f>
        <v>2.33333333333333</v>
      </c>
      <c r="T1221" s="8" t="n">
        <f aca="false">R1221-P1221</f>
        <v>1</v>
      </c>
    </row>
    <row r="1222" customFormat="false" ht="14.25" hidden="false" customHeight="true" outlineLevel="0" collapsed="false">
      <c r="A1222" s="6" t="n">
        <v>2019</v>
      </c>
      <c r="B1222" s="6" t="s">
        <v>166</v>
      </c>
      <c r="C1222" s="6" t="s">
        <v>489</v>
      </c>
      <c r="D1222" s="7" t="n">
        <v>3</v>
      </c>
      <c r="E1222" s="7" t="n">
        <v>7</v>
      </c>
      <c r="F1222" s="7" t="n">
        <v>5</v>
      </c>
      <c r="G1222" s="7" t="n">
        <v>2</v>
      </c>
      <c r="H1222" s="7" t="n">
        <v>0</v>
      </c>
      <c r="I1222" s="7" t="n">
        <v>0</v>
      </c>
      <c r="J1222" s="7" t="n">
        <v>1</v>
      </c>
      <c r="K1222" s="7" t="n">
        <v>1</v>
      </c>
      <c r="L1222" s="7" t="n">
        <v>5</v>
      </c>
      <c r="M1222" s="7" t="n">
        <v>1</v>
      </c>
      <c r="N1222" s="7" t="n">
        <v>4</v>
      </c>
      <c r="O1222" s="7" t="n">
        <v>1</v>
      </c>
      <c r="P1222" s="8" t="n">
        <f aca="false">IF(E1222=0,0,G1222/E1222)</f>
        <v>0.285714285714286</v>
      </c>
      <c r="Q1222" s="8" t="n">
        <f aca="false">IF(E1222+N1222=0,0,(G1222+N1222)/(E1222+N1222))</f>
        <v>0.545454545454545</v>
      </c>
      <c r="R1222" s="8" t="n">
        <f aca="false">IF(E1222=0,0,L1222/E1222)</f>
        <v>0.714285714285714</v>
      </c>
      <c r="S1222" s="8" t="n">
        <f aca="false">R1222+Q1222</f>
        <v>1.25974025974026</v>
      </c>
      <c r="T1222" s="8" t="n">
        <f aca="false">R1222-P1222</f>
        <v>0.428571428571429</v>
      </c>
    </row>
    <row r="1223" customFormat="false" ht="14.25" hidden="false" customHeight="true" outlineLevel="0" collapsed="false">
      <c r="A1223" s="6" t="n">
        <v>2019</v>
      </c>
      <c r="B1223" s="6" t="s">
        <v>166</v>
      </c>
      <c r="C1223" s="6" t="s">
        <v>176</v>
      </c>
      <c r="D1223" s="7" t="n">
        <v>11</v>
      </c>
      <c r="E1223" s="7" t="n">
        <v>32</v>
      </c>
      <c r="F1223" s="7" t="n">
        <v>7</v>
      </c>
      <c r="G1223" s="7" t="n">
        <v>2</v>
      </c>
      <c r="H1223" s="7" t="n">
        <v>0</v>
      </c>
      <c r="I1223" s="7" t="n">
        <v>0</v>
      </c>
      <c r="J1223" s="7" t="n">
        <v>0</v>
      </c>
      <c r="K1223" s="7" t="n">
        <v>0</v>
      </c>
      <c r="L1223" s="7" t="n">
        <v>2</v>
      </c>
      <c r="M1223" s="7" t="n">
        <v>1</v>
      </c>
      <c r="N1223" s="7" t="n">
        <v>4</v>
      </c>
      <c r="O1223" s="7" t="n">
        <v>1</v>
      </c>
      <c r="P1223" s="8" t="n">
        <f aca="false">IF(E1223=0,0,G1223/E1223)</f>
        <v>0.0625</v>
      </c>
      <c r="Q1223" s="8" t="n">
        <f aca="false">IF(E1223+N1223=0,0,(G1223+N1223)/(E1223+N1223))</f>
        <v>0.166666666666667</v>
      </c>
      <c r="R1223" s="8" t="n">
        <f aca="false">IF(E1223=0,0,L1223/E1223)</f>
        <v>0.0625</v>
      </c>
      <c r="S1223" s="8" t="n">
        <f aca="false">R1223+Q1223</f>
        <v>0.229166666666667</v>
      </c>
      <c r="T1223" s="8" t="n">
        <f aca="false">R1223-P1223</f>
        <v>0</v>
      </c>
    </row>
    <row r="1224" customFormat="false" ht="14.25" hidden="false" customHeight="true" outlineLevel="0" collapsed="false">
      <c r="A1224" s="6" t="n">
        <v>2019</v>
      </c>
      <c r="B1224" s="6" t="s">
        <v>166</v>
      </c>
      <c r="C1224" s="6" t="s">
        <v>397</v>
      </c>
      <c r="D1224" s="7" t="n">
        <v>2</v>
      </c>
      <c r="E1224" s="7" t="n">
        <v>3</v>
      </c>
      <c r="F1224" s="7" t="n">
        <v>0</v>
      </c>
      <c r="G1224" s="7" t="n">
        <v>1</v>
      </c>
      <c r="H1224" s="7" t="n">
        <v>1</v>
      </c>
      <c r="I1224" s="7" t="n">
        <v>0</v>
      </c>
      <c r="J1224" s="7" t="n">
        <v>0</v>
      </c>
      <c r="K1224" s="7" t="n">
        <v>1</v>
      </c>
      <c r="L1224" s="7" t="n">
        <v>2</v>
      </c>
      <c r="M1224" s="7" t="n">
        <v>0</v>
      </c>
      <c r="N1224" s="7" t="n">
        <v>1</v>
      </c>
      <c r="O1224" s="7" t="n">
        <v>1</v>
      </c>
      <c r="P1224" s="8" t="n">
        <f aca="false">IF(E1224=0,0,G1224/E1224)</f>
        <v>0.333333333333333</v>
      </c>
      <c r="Q1224" s="8" t="n">
        <f aca="false">IF(E1224+N1224=0,0,(G1224+N1224)/(E1224+N1224))</f>
        <v>0.5</v>
      </c>
      <c r="R1224" s="8" t="n">
        <f aca="false">IF(E1224=0,0,L1224/E1224)</f>
        <v>0.666666666666667</v>
      </c>
      <c r="S1224" s="8" t="n">
        <f aca="false">R1224+Q1224</f>
        <v>1.16666666666667</v>
      </c>
      <c r="T1224" s="8" t="n">
        <f aca="false">R1224-P1224</f>
        <v>0.333333333333333</v>
      </c>
    </row>
    <row r="1225" customFormat="false" ht="14.25" hidden="false" customHeight="true" outlineLevel="0" collapsed="false">
      <c r="A1225" s="6" t="n">
        <v>2019</v>
      </c>
      <c r="B1225" s="6" t="s">
        <v>166</v>
      </c>
      <c r="C1225" s="6" t="s">
        <v>183</v>
      </c>
      <c r="D1225" s="7" t="n">
        <v>5</v>
      </c>
      <c r="E1225" s="7" t="n">
        <v>12</v>
      </c>
      <c r="F1225" s="7" t="n">
        <v>2</v>
      </c>
      <c r="G1225" s="7" t="n">
        <v>1</v>
      </c>
      <c r="H1225" s="7" t="n">
        <v>0</v>
      </c>
      <c r="I1225" s="7" t="n">
        <v>0</v>
      </c>
      <c r="J1225" s="7" t="n">
        <v>0</v>
      </c>
      <c r="K1225" s="7" t="n">
        <v>0</v>
      </c>
      <c r="L1225" s="7" t="n">
        <v>1</v>
      </c>
      <c r="M1225" s="7" t="n">
        <v>1</v>
      </c>
      <c r="N1225" s="7" t="n">
        <v>2</v>
      </c>
      <c r="O1225" s="7" t="n">
        <v>1</v>
      </c>
      <c r="P1225" s="8" t="n">
        <f aca="false">IF(E1225=0,0,G1225/E1225)</f>
        <v>0.0833333333333333</v>
      </c>
      <c r="Q1225" s="8" t="n">
        <f aca="false">IF(E1225+N1225=0,0,(G1225+N1225)/(E1225+N1225))</f>
        <v>0.214285714285714</v>
      </c>
      <c r="R1225" s="8" t="n">
        <f aca="false">IF(E1225=0,0,L1225/E1225)</f>
        <v>0.0833333333333333</v>
      </c>
      <c r="S1225" s="8" t="n">
        <f aca="false">R1225+Q1225</f>
        <v>0.297619047619048</v>
      </c>
      <c r="T1225" s="8" t="n">
        <f aca="false">R1225-P1225</f>
        <v>0</v>
      </c>
    </row>
    <row r="1226" customFormat="false" ht="14.25" hidden="false" customHeight="true" outlineLevel="0" collapsed="false">
      <c r="A1226" s="6" t="n">
        <v>2019</v>
      </c>
      <c r="B1226" s="6" t="s">
        <v>166</v>
      </c>
      <c r="C1226" s="6" t="s">
        <v>490</v>
      </c>
      <c r="D1226" s="7" t="n">
        <v>1</v>
      </c>
      <c r="E1226" s="7" t="n">
        <v>2</v>
      </c>
      <c r="F1226" s="7" t="n">
        <v>1</v>
      </c>
      <c r="G1226" s="7" t="n">
        <v>1</v>
      </c>
      <c r="H1226" s="7" t="n">
        <v>0</v>
      </c>
      <c r="I1226" s="7" t="n">
        <v>0</v>
      </c>
      <c r="J1226" s="7" t="n">
        <v>0</v>
      </c>
      <c r="K1226" s="7" t="n">
        <v>0</v>
      </c>
      <c r="L1226" s="7" t="n">
        <v>1</v>
      </c>
      <c r="M1226" s="7" t="n">
        <v>1</v>
      </c>
      <c r="N1226" s="7" t="n">
        <v>0</v>
      </c>
      <c r="O1226" s="7" t="n">
        <v>0</v>
      </c>
      <c r="P1226" s="8" t="n">
        <f aca="false">IF(E1226=0,0,G1226/E1226)</f>
        <v>0.5</v>
      </c>
      <c r="Q1226" s="8" t="n">
        <f aca="false">IF(E1226+N1226=0,0,(G1226+N1226)/(E1226+N1226))</f>
        <v>0.5</v>
      </c>
      <c r="R1226" s="8" t="n">
        <f aca="false">IF(E1226=0,0,L1226/E1226)</f>
        <v>0.5</v>
      </c>
      <c r="S1226" s="8" t="n">
        <f aca="false">R1226+Q1226</f>
        <v>1</v>
      </c>
      <c r="T1226" s="8" t="n">
        <f aca="false">R1226-P1226</f>
        <v>0</v>
      </c>
    </row>
    <row r="1227" customFormat="false" ht="14.25" hidden="false" customHeight="true" outlineLevel="0" collapsed="false">
      <c r="A1227" s="6" t="n">
        <v>2019</v>
      </c>
      <c r="B1227" s="6" t="s">
        <v>166</v>
      </c>
      <c r="C1227" s="6" t="s">
        <v>392</v>
      </c>
      <c r="D1227" s="7" t="n">
        <v>2</v>
      </c>
      <c r="E1227" s="7" t="n">
        <v>6</v>
      </c>
      <c r="F1227" s="7" t="n">
        <v>2</v>
      </c>
      <c r="G1227" s="7" t="n">
        <v>1</v>
      </c>
      <c r="H1227" s="7" t="n">
        <v>0</v>
      </c>
      <c r="I1227" s="7" t="n">
        <v>0</v>
      </c>
      <c r="J1227" s="7" t="n">
        <v>0</v>
      </c>
      <c r="K1227" s="7" t="n">
        <v>0</v>
      </c>
      <c r="L1227" s="7" t="n">
        <v>1</v>
      </c>
      <c r="M1227" s="7" t="n">
        <v>0</v>
      </c>
      <c r="N1227" s="7" t="n">
        <v>1</v>
      </c>
      <c r="O1227" s="7" t="n">
        <v>0</v>
      </c>
      <c r="P1227" s="8" t="n">
        <f aca="false">IF(E1227=0,0,G1227/E1227)</f>
        <v>0.166666666666667</v>
      </c>
      <c r="Q1227" s="8" t="n">
        <f aca="false">IF(E1227+N1227=0,0,(G1227+N1227)/(E1227+N1227))</f>
        <v>0.285714285714286</v>
      </c>
      <c r="R1227" s="8" t="n">
        <f aca="false">IF(E1227=0,0,L1227/E1227)</f>
        <v>0.166666666666667</v>
      </c>
      <c r="S1227" s="8" t="n">
        <f aca="false">R1227+Q1227</f>
        <v>0.452380952380952</v>
      </c>
      <c r="T1227" s="8" t="n">
        <f aca="false">R1227-P1227</f>
        <v>0</v>
      </c>
    </row>
    <row r="1228" customFormat="false" ht="14.25" hidden="false" customHeight="true" outlineLevel="0" collapsed="false">
      <c r="A1228" s="6" t="n">
        <v>2019</v>
      </c>
      <c r="B1228" s="6" t="s">
        <v>166</v>
      </c>
      <c r="C1228" s="6" t="s">
        <v>491</v>
      </c>
      <c r="D1228" s="7" t="n">
        <v>1</v>
      </c>
      <c r="E1228" s="7" t="n">
        <v>1</v>
      </c>
      <c r="F1228" s="7" t="n">
        <v>0</v>
      </c>
      <c r="G1228" s="7" t="n">
        <v>1</v>
      </c>
      <c r="H1228" s="7" t="n">
        <v>0</v>
      </c>
      <c r="I1228" s="7" t="n">
        <v>0</v>
      </c>
      <c r="J1228" s="7" t="n">
        <v>0</v>
      </c>
      <c r="K1228" s="7" t="n">
        <v>0</v>
      </c>
      <c r="L1228" s="7" t="n">
        <v>1</v>
      </c>
      <c r="M1228" s="7" t="n">
        <v>0</v>
      </c>
      <c r="N1228" s="7" t="n">
        <v>0</v>
      </c>
      <c r="O1228" s="7" t="n">
        <v>0</v>
      </c>
      <c r="P1228" s="8" t="n">
        <f aca="false">IF(E1228=0,0,G1228/E1228)</f>
        <v>1</v>
      </c>
      <c r="Q1228" s="8" t="n">
        <f aca="false">IF(E1228+N1228=0,0,(G1228+N1228)/(E1228+N1228))</f>
        <v>1</v>
      </c>
      <c r="R1228" s="8" t="n">
        <f aca="false">IF(E1228=0,0,L1228/E1228)</f>
        <v>1</v>
      </c>
      <c r="S1228" s="8" t="n">
        <f aca="false">R1228+Q1228</f>
        <v>2</v>
      </c>
      <c r="T1228" s="8" t="n">
        <f aca="false">R1228-P1228</f>
        <v>0</v>
      </c>
    </row>
    <row r="1229" customFormat="false" ht="14.25" hidden="false" customHeight="true" outlineLevel="0" collapsed="false">
      <c r="A1229" s="6" t="n">
        <v>2019</v>
      </c>
      <c r="B1229" s="6" t="s">
        <v>166</v>
      </c>
      <c r="C1229" s="6" t="s">
        <v>141</v>
      </c>
      <c r="D1229" s="7" t="n">
        <v>1</v>
      </c>
      <c r="E1229" s="7" t="n">
        <v>2</v>
      </c>
      <c r="F1229" s="7" t="n">
        <v>0</v>
      </c>
      <c r="G1229" s="7" t="n">
        <v>1</v>
      </c>
      <c r="H1229" s="7" t="n">
        <v>0</v>
      </c>
      <c r="I1229" s="7" t="n">
        <v>0</v>
      </c>
      <c r="J1229" s="7" t="n">
        <v>0</v>
      </c>
      <c r="K1229" s="7" t="n">
        <v>0</v>
      </c>
      <c r="L1229" s="7" t="n">
        <v>1</v>
      </c>
      <c r="M1229" s="7" t="n">
        <v>0</v>
      </c>
      <c r="N1229" s="7" t="n">
        <v>0</v>
      </c>
      <c r="O1229" s="7" t="n">
        <v>0</v>
      </c>
      <c r="P1229" s="8" t="n">
        <f aca="false">IF(E1229=0,0,G1229/E1229)</f>
        <v>0.5</v>
      </c>
      <c r="Q1229" s="8" t="n">
        <f aca="false">IF(E1229+N1229=0,0,(G1229+N1229)/(E1229+N1229))</f>
        <v>0.5</v>
      </c>
      <c r="R1229" s="8" t="n">
        <f aca="false">IF(E1229=0,0,L1229/E1229)</f>
        <v>0.5</v>
      </c>
      <c r="S1229" s="8" t="n">
        <f aca="false">R1229+Q1229</f>
        <v>1</v>
      </c>
      <c r="T1229" s="8" t="n">
        <f aca="false">R1229-P1229</f>
        <v>0</v>
      </c>
    </row>
    <row r="1230" customFormat="false" ht="14.25" hidden="false" customHeight="true" outlineLevel="0" collapsed="false">
      <c r="A1230" s="6" t="n">
        <v>2019</v>
      </c>
      <c r="B1230" s="6" t="s">
        <v>166</v>
      </c>
      <c r="C1230" s="6" t="s">
        <v>275</v>
      </c>
      <c r="D1230" s="7" t="n">
        <v>10</v>
      </c>
      <c r="E1230" s="7" t="n">
        <v>15</v>
      </c>
      <c r="F1230" s="7" t="n">
        <v>1</v>
      </c>
      <c r="G1230" s="7" t="n">
        <v>1</v>
      </c>
      <c r="H1230" s="7" t="n">
        <v>0</v>
      </c>
      <c r="I1230" s="7" t="n">
        <v>0</v>
      </c>
      <c r="J1230" s="7" t="n">
        <v>0</v>
      </c>
      <c r="K1230" s="7" t="n">
        <v>0</v>
      </c>
      <c r="L1230" s="7" t="n">
        <v>1</v>
      </c>
      <c r="M1230" s="7" t="n">
        <v>0</v>
      </c>
      <c r="N1230" s="7" t="n">
        <v>0</v>
      </c>
      <c r="O1230" s="7" t="n">
        <v>0</v>
      </c>
      <c r="P1230" s="8" t="n">
        <f aca="false">IF(E1230=0,0,G1230/E1230)</f>
        <v>0.0666666666666667</v>
      </c>
      <c r="Q1230" s="8" t="n">
        <f aca="false">IF(E1230+N1230=0,0,(G1230+N1230)/(E1230+N1230))</f>
        <v>0.0666666666666667</v>
      </c>
      <c r="R1230" s="8" t="n">
        <f aca="false">IF(E1230=0,0,L1230/E1230)</f>
        <v>0.0666666666666667</v>
      </c>
      <c r="S1230" s="8" t="n">
        <f aca="false">R1230+Q1230</f>
        <v>0.133333333333333</v>
      </c>
      <c r="T1230" s="8" t="n">
        <f aca="false">R1230-P1230</f>
        <v>0</v>
      </c>
    </row>
    <row r="1231" customFormat="false" ht="14.25" hidden="false" customHeight="true" outlineLevel="0" collapsed="false">
      <c r="A1231" s="6" t="n">
        <v>2019</v>
      </c>
      <c r="B1231" s="6" t="s">
        <v>166</v>
      </c>
      <c r="C1231" s="6" t="s">
        <v>492</v>
      </c>
      <c r="D1231" s="7" t="n">
        <v>1</v>
      </c>
      <c r="E1231" s="7" t="n">
        <v>2</v>
      </c>
      <c r="F1231" s="7" t="n">
        <v>0</v>
      </c>
      <c r="G1231" s="7" t="n">
        <v>0</v>
      </c>
      <c r="H1231" s="7" t="n">
        <v>0</v>
      </c>
      <c r="I1231" s="7" t="n">
        <v>0</v>
      </c>
      <c r="J1231" s="7" t="n">
        <v>0</v>
      </c>
      <c r="K1231" s="7" t="n">
        <v>0</v>
      </c>
      <c r="L1231" s="7" t="n">
        <v>0</v>
      </c>
      <c r="M1231" s="7" t="n">
        <v>0</v>
      </c>
      <c r="N1231" s="7" t="n">
        <v>1</v>
      </c>
      <c r="O1231" s="7" t="n">
        <v>0</v>
      </c>
      <c r="P1231" s="8" t="n">
        <f aca="false">IF(E1231=0,0,G1231/E1231)</f>
        <v>0</v>
      </c>
      <c r="Q1231" s="8" t="n">
        <f aca="false">IF(E1231+N1231=0,0,(G1231+N1231)/(E1231+N1231))</f>
        <v>0.333333333333333</v>
      </c>
      <c r="R1231" s="8" t="n">
        <f aca="false">IF(E1231=0,0,L1231/E1231)</f>
        <v>0</v>
      </c>
      <c r="S1231" s="8" t="n">
        <f aca="false">R1231+Q1231</f>
        <v>0.333333333333333</v>
      </c>
      <c r="T1231" s="8" t="n">
        <f aca="false">R1231-P1231</f>
        <v>0</v>
      </c>
    </row>
    <row r="1232" customFormat="false" ht="14.25" hidden="false" customHeight="true" outlineLevel="0" collapsed="false">
      <c r="A1232" s="6" t="n">
        <v>2019</v>
      </c>
      <c r="B1232" s="6" t="s">
        <v>166</v>
      </c>
      <c r="C1232" s="6" t="s">
        <v>493</v>
      </c>
      <c r="D1232" s="7" t="n">
        <v>1</v>
      </c>
      <c r="E1232" s="7" t="n">
        <v>2</v>
      </c>
      <c r="F1232" s="7" t="n">
        <v>0</v>
      </c>
      <c r="G1232" s="7" t="n">
        <v>0</v>
      </c>
      <c r="H1232" s="7" t="n">
        <v>0</v>
      </c>
      <c r="I1232" s="7" t="n">
        <v>0</v>
      </c>
      <c r="J1232" s="7" t="n">
        <v>0</v>
      </c>
      <c r="K1232" s="7" t="n">
        <v>0</v>
      </c>
      <c r="L1232" s="7" t="n">
        <v>0</v>
      </c>
      <c r="M1232" s="7" t="n">
        <v>0</v>
      </c>
      <c r="N1232" s="7" t="n">
        <v>1</v>
      </c>
      <c r="O1232" s="7" t="n">
        <v>0</v>
      </c>
      <c r="P1232" s="8" t="n">
        <f aca="false">IF(E1232=0,0,G1232/E1232)</f>
        <v>0</v>
      </c>
      <c r="Q1232" s="8" t="n">
        <f aca="false">IF(E1232+N1232=0,0,(G1232+N1232)/(E1232+N1232))</f>
        <v>0.333333333333333</v>
      </c>
      <c r="R1232" s="8" t="n">
        <f aca="false">IF(E1232=0,0,L1232/E1232)</f>
        <v>0</v>
      </c>
      <c r="S1232" s="8" t="n">
        <f aca="false">R1232+Q1232</f>
        <v>0.333333333333333</v>
      </c>
      <c r="T1232" s="8" t="n">
        <f aca="false">R1232-P1232</f>
        <v>0</v>
      </c>
    </row>
    <row r="1233" customFormat="false" ht="14.25" hidden="false" customHeight="true" outlineLevel="0" collapsed="false">
      <c r="A1233" s="6" t="n">
        <v>2019</v>
      </c>
      <c r="B1233" s="6" t="s">
        <v>166</v>
      </c>
      <c r="C1233" s="6" t="s">
        <v>494</v>
      </c>
      <c r="D1233" s="7" t="n">
        <v>1</v>
      </c>
      <c r="E1233" s="7" t="n">
        <v>2</v>
      </c>
      <c r="F1233" s="7" t="n">
        <v>0</v>
      </c>
      <c r="G1233" s="7" t="n">
        <v>0</v>
      </c>
      <c r="H1233" s="7" t="n">
        <v>0</v>
      </c>
      <c r="I1233" s="7" t="n">
        <v>0</v>
      </c>
      <c r="J1233" s="7" t="n">
        <v>0</v>
      </c>
      <c r="K1233" s="7" t="n">
        <v>0</v>
      </c>
      <c r="L1233" s="7" t="n">
        <v>0</v>
      </c>
      <c r="M1233" s="7" t="n">
        <v>0</v>
      </c>
      <c r="N1233" s="7" t="n">
        <v>0</v>
      </c>
      <c r="O1233" s="7" t="n">
        <v>0</v>
      </c>
      <c r="P1233" s="8" t="n">
        <f aca="false">IF(E1233=0,0,G1233/E1233)</f>
        <v>0</v>
      </c>
      <c r="Q1233" s="8" t="n">
        <f aca="false">IF(E1233+N1233=0,0,(G1233+N1233)/(E1233+N1233))</f>
        <v>0</v>
      </c>
      <c r="R1233" s="8" t="n">
        <f aca="false">IF(E1233=0,0,L1233/E1233)</f>
        <v>0</v>
      </c>
      <c r="S1233" s="8" t="n">
        <f aca="false">R1233+Q1233</f>
        <v>0</v>
      </c>
      <c r="T1233" s="8" t="n">
        <f aca="false">R1233-P1233</f>
        <v>0</v>
      </c>
    </row>
    <row r="1234" customFormat="false" ht="14.25" hidden="false" customHeight="true" outlineLevel="0" collapsed="false">
      <c r="A1234" s="6" t="n">
        <v>2019</v>
      </c>
      <c r="B1234" s="6" t="s">
        <v>166</v>
      </c>
      <c r="C1234" s="6" t="s">
        <v>495</v>
      </c>
      <c r="D1234" s="7" t="n">
        <v>1</v>
      </c>
      <c r="E1234" s="7" t="n">
        <v>1</v>
      </c>
      <c r="F1234" s="7" t="n">
        <v>0</v>
      </c>
      <c r="G1234" s="7" t="n">
        <v>0</v>
      </c>
      <c r="H1234" s="7" t="n">
        <v>0</v>
      </c>
      <c r="I1234" s="7" t="n">
        <v>0</v>
      </c>
      <c r="J1234" s="7" t="n">
        <v>0</v>
      </c>
      <c r="K1234" s="7" t="n">
        <v>0</v>
      </c>
      <c r="L1234" s="7" t="n">
        <v>0</v>
      </c>
      <c r="M1234" s="7" t="n">
        <v>0</v>
      </c>
      <c r="N1234" s="7" t="n">
        <v>0</v>
      </c>
      <c r="O1234" s="7" t="n">
        <v>0</v>
      </c>
      <c r="P1234" s="8" t="n">
        <f aca="false">IF(E1234=0,0,G1234/E1234)</f>
        <v>0</v>
      </c>
      <c r="Q1234" s="8" t="n">
        <f aca="false">IF(E1234+N1234=0,0,(G1234+N1234)/(E1234+N1234))</f>
        <v>0</v>
      </c>
      <c r="R1234" s="8" t="n">
        <f aca="false">IF(E1234=0,0,L1234/E1234)</f>
        <v>0</v>
      </c>
      <c r="S1234" s="8" t="n">
        <f aca="false">R1234+Q1234</f>
        <v>0</v>
      </c>
      <c r="T1234" s="8" t="n">
        <f aca="false">R1234-P1234</f>
        <v>0</v>
      </c>
    </row>
    <row r="1235" customFormat="false" ht="14.25" hidden="false" customHeight="true" outlineLevel="0" collapsed="false">
      <c r="A1235" s="6" t="n">
        <v>2019</v>
      </c>
      <c r="B1235" s="6" t="s">
        <v>192</v>
      </c>
      <c r="C1235" s="6" t="s">
        <v>197</v>
      </c>
      <c r="D1235" s="7" t="n">
        <v>9</v>
      </c>
      <c r="E1235" s="7" t="n">
        <v>27</v>
      </c>
      <c r="F1235" s="7" t="n">
        <v>8</v>
      </c>
      <c r="G1235" s="7" t="n">
        <v>12</v>
      </c>
      <c r="H1235" s="7" t="n">
        <v>0</v>
      </c>
      <c r="I1235" s="7" t="n">
        <v>0</v>
      </c>
      <c r="J1235" s="7" t="n">
        <v>2</v>
      </c>
      <c r="K1235" s="7" t="n">
        <v>2</v>
      </c>
      <c r="L1235" s="7" t="n">
        <v>18</v>
      </c>
      <c r="M1235" s="7" t="n">
        <v>4</v>
      </c>
      <c r="N1235" s="7" t="n">
        <v>2</v>
      </c>
      <c r="O1235" s="7" t="n">
        <v>0</v>
      </c>
      <c r="P1235" s="8" t="n">
        <f aca="false">IF(E1235=0,0,G1235/E1235)</f>
        <v>0.444444444444444</v>
      </c>
      <c r="Q1235" s="8" t="n">
        <f aca="false">IF(E1235+N1235=0,0,(G1235+N1235)/(E1235+N1235))</f>
        <v>0.482758620689655</v>
      </c>
      <c r="R1235" s="8" t="n">
        <f aca="false">IF(E1235=0,0,L1235/E1235)</f>
        <v>0.666666666666667</v>
      </c>
      <c r="S1235" s="8" t="n">
        <f aca="false">R1235+Q1235</f>
        <v>1.14942528735632</v>
      </c>
      <c r="T1235" s="8" t="n">
        <f aca="false">R1235-P1235</f>
        <v>0.222222222222222</v>
      </c>
    </row>
    <row r="1236" customFormat="false" ht="14.25" hidden="false" customHeight="true" outlineLevel="0" collapsed="false">
      <c r="A1236" s="6" t="n">
        <v>2019</v>
      </c>
      <c r="B1236" s="6" t="s">
        <v>192</v>
      </c>
      <c r="C1236" s="6" t="s">
        <v>195</v>
      </c>
      <c r="D1236" s="7" t="n">
        <v>11</v>
      </c>
      <c r="E1236" s="7" t="n">
        <v>33</v>
      </c>
      <c r="F1236" s="7" t="n">
        <v>5</v>
      </c>
      <c r="G1236" s="7" t="n">
        <v>12</v>
      </c>
      <c r="H1236" s="7" t="n">
        <v>1</v>
      </c>
      <c r="I1236" s="7" t="n">
        <v>0</v>
      </c>
      <c r="J1236" s="7" t="n">
        <v>0</v>
      </c>
      <c r="K1236" s="7" t="n">
        <v>1</v>
      </c>
      <c r="L1236" s="7" t="n">
        <v>13</v>
      </c>
      <c r="M1236" s="7" t="n">
        <v>5</v>
      </c>
      <c r="N1236" s="7" t="n">
        <v>6</v>
      </c>
      <c r="O1236" s="7" t="n">
        <v>1</v>
      </c>
      <c r="P1236" s="8" t="n">
        <f aca="false">IF(E1236=0,0,G1236/E1236)</f>
        <v>0.363636363636364</v>
      </c>
      <c r="Q1236" s="8" t="n">
        <f aca="false">IF(E1236+N1236=0,0,(G1236+N1236)/(E1236+N1236))</f>
        <v>0.461538461538462</v>
      </c>
      <c r="R1236" s="8" t="n">
        <f aca="false">IF(E1236=0,0,L1236/E1236)</f>
        <v>0.393939393939394</v>
      </c>
      <c r="S1236" s="8" t="n">
        <f aca="false">R1236+Q1236</f>
        <v>0.855477855477856</v>
      </c>
      <c r="T1236" s="8" t="n">
        <f aca="false">R1236-P1236</f>
        <v>0.0303030303030303</v>
      </c>
    </row>
    <row r="1237" customFormat="false" ht="14.25" hidden="false" customHeight="true" outlineLevel="0" collapsed="false">
      <c r="A1237" s="6" t="n">
        <v>2019</v>
      </c>
      <c r="B1237" s="6" t="s">
        <v>192</v>
      </c>
      <c r="C1237" s="6" t="s">
        <v>196</v>
      </c>
      <c r="D1237" s="7" t="n">
        <v>11</v>
      </c>
      <c r="E1237" s="7" t="n">
        <v>32</v>
      </c>
      <c r="F1237" s="7" t="n">
        <v>8</v>
      </c>
      <c r="G1237" s="7" t="n">
        <v>11</v>
      </c>
      <c r="H1237" s="7" t="n">
        <v>0</v>
      </c>
      <c r="I1237" s="7" t="n">
        <v>0</v>
      </c>
      <c r="J1237" s="7" t="n">
        <v>4</v>
      </c>
      <c r="K1237" s="7" t="n">
        <v>4</v>
      </c>
      <c r="L1237" s="7" t="n">
        <v>23</v>
      </c>
      <c r="M1237" s="7" t="n">
        <v>6</v>
      </c>
      <c r="N1237" s="7" t="n">
        <v>6</v>
      </c>
      <c r="O1237" s="7" t="n">
        <v>2</v>
      </c>
      <c r="P1237" s="8" t="n">
        <f aca="false">IF(E1237=0,0,G1237/E1237)</f>
        <v>0.34375</v>
      </c>
      <c r="Q1237" s="8" t="n">
        <f aca="false">IF(E1237+N1237=0,0,(G1237+N1237)/(E1237+N1237))</f>
        <v>0.447368421052632</v>
      </c>
      <c r="R1237" s="8" t="n">
        <f aca="false">IF(E1237=0,0,L1237/E1237)</f>
        <v>0.71875</v>
      </c>
      <c r="S1237" s="8" t="n">
        <f aca="false">R1237+Q1237</f>
        <v>1.16611842105263</v>
      </c>
      <c r="T1237" s="8" t="n">
        <f aca="false">R1237-P1237</f>
        <v>0.375</v>
      </c>
    </row>
    <row r="1238" customFormat="false" ht="14.25" hidden="false" customHeight="true" outlineLevel="0" collapsed="false">
      <c r="A1238" s="6" t="n">
        <v>2019</v>
      </c>
      <c r="B1238" s="6" t="s">
        <v>192</v>
      </c>
      <c r="C1238" s="6" t="s">
        <v>207</v>
      </c>
      <c r="D1238" s="7" t="n">
        <v>10</v>
      </c>
      <c r="E1238" s="7" t="n">
        <v>27</v>
      </c>
      <c r="F1238" s="7" t="n">
        <v>5</v>
      </c>
      <c r="G1238" s="7" t="n">
        <v>9</v>
      </c>
      <c r="H1238" s="7" t="n">
        <v>3</v>
      </c>
      <c r="I1238" s="7" t="n">
        <v>0</v>
      </c>
      <c r="J1238" s="7" t="n">
        <v>1</v>
      </c>
      <c r="K1238" s="7" t="n">
        <v>4</v>
      </c>
      <c r="L1238" s="7" t="n">
        <v>15</v>
      </c>
      <c r="M1238" s="7" t="n">
        <v>7</v>
      </c>
      <c r="N1238" s="7" t="n">
        <v>4</v>
      </c>
      <c r="O1238" s="7" t="n">
        <v>0</v>
      </c>
      <c r="P1238" s="8" t="n">
        <f aca="false">IF(E1238=0,0,G1238/E1238)</f>
        <v>0.333333333333333</v>
      </c>
      <c r="Q1238" s="8" t="n">
        <f aca="false">IF(E1238+N1238=0,0,(G1238+N1238)/(E1238+N1238))</f>
        <v>0.419354838709677</v>
      </c>
      <c r="R1238" s="8" t="n">
        <f aca="false">IF(E1238=0,0,L1238/E1238)</f>
        <v>0.555555555555556</v>
      </c>
      <c r="S1238" s="8" t="n">
        <f aca="false">R1238+Q1238</f>
        <v>0.974910394265233</v>
      </c>
      <c r="T1238" s="8" t="n">
        <f aca="false">R1238-P1238</f>
        <v>0.222222222222222</v>
      </c>
    </row>
    <row r="1239" customFormat="false" ht="14.25" hidden="false" customHeight="true" outlineLevel="0" collapsed="false">
      <c r="A1239" s="6" t="n">
        <v>2019</v>
      </c>
      <c r="B1239" s="6" t="s">
        <v>192</v>
      </c>
      <c r="C1239" s="6" t="s">
        <v>202</v>
      </c>
      <c r="D1239" s="7" t="n">
        <v>11</v>
      </c>
      <c r="E1239" s="7" t="n">
        <v>25</v>
      </c>
      <c r="F1239" s="7" t="n">
        <v>3</v>
      </c>
      <c r="G1239" s="7" t="n">
        <v>9</v>
      </c>
      <c r="H1239" s="7" t="n">
        <v>1</v>
      </c>
      <c r="I1239" s="7" t="n">
        <v>0</v>
      </c>
      <c r="J1239" s="7" t="n">
        <v>1</v>
      </c>
      <c r="K1239" s="7" t="n">
        <v>2</v>
      </c>
      <c r="L1239" s="7" t="n">
        <v>13</v>
      </c>
      <c r="M1239" s="7" t="n">
        <v>4</v>
      </c>
      <c r="N1239" s="7" t="n">
        <v>4</v>
      </c>
      <c r="O1239" s="7" t="n">
        <v>4</v>
      </c>
      <c r="P1239" s="8" t="n">
        <f aca="false">IF(E1239=0,0,G1239/E1239)</f>
        <v>0.36</v>
      </c>
      <c r="Q1239" s="8" t="n">
        <f aca="false">IF(E1239+N1239=0,0,(G1239+N1239)/(E1239+N1239))</f>
        <v>0.448275862068966</v>
      </c>
      <c r="R1239" s="8" t="n">
        <f aca="false">IF(E1239=0,0,L1239/E1239)</f>
        <v>0.52</v>
      </c>
      <c r="S1239" s="8" t="n">
        <f aca="false">R1239+Q1239</f>
        <v>0.968275862068966</v>
      </c>
      <c r="T1239" s="8" t="n">
        <f aca="false">R1239-P1239</f>
        <v>0.16</v>
      </c>
    </row>
    <row r="1240" customFormat="false" ht="14.25" hidden="false" customHeight="true" outlineLevel="0" collapsed="false">
      <c r="A1240" s="6" t="n">
        <v>2019</v>
      </c>
      <c r="B1240" s="6" t="s">
        <v>192</v>
      </c>
      <c r="C1240" s="6" t="s">
        <v>198</v>
      </c>
      <c r="D1240" s="7" t="n">
        <v>9</v>
      </c>
      <c r="E1240" s="7" t="n">
        <v>30</v>
      </c>
      <c r="F1240" s="7" t="n">
        <v>5</v>
      </c>
      <c r="G1240" s="7" t="n">
        <v>9</v>
      </c>
      <c r="H1240" s="7" t="n">
        <v>1</v>
      </c>
      <c r="I1240" s="7" t="n">
        <v>0</v>
      </c>
      <c r="J1240" s="7" t="n">
        <v>0</v>
      </c>
      <c r="K1240" s="7" t="n">
        <v>1</v>
      </c>
      <c r="L1240" s="7" t="n">
        <v>10</v>
      </c>
      <c r="M1240" s="7" t="n">
        <v>5</v>
      </c>
      <c r="N1240" s="7" t="n">
        <v>2</v>
      </c>
      <c r="O1240" s="7" t="n">
        <v>1</v>
      </c>
      <c r="P1240" s="8" t="n">
        <f aca="false">IF(E1240=0,0,G1240/E1240)</f>
        <v>0.3</v>
      </c>
      <c r="Q1240" s="8" t="n">
        <f aca="false">IF(E1240+N1240=0,0,(G1240+N1240)/(E1240+N1240))</f>
        <v>0.34375</v>
      </c>
      <c r="R1240" s="8" t="n">
        <f aca="false">IF(E1240=0,0,L1240/E1240)</f>
        <v>0.333333333333333</v>
      </c>
      <c r="S1240" s="8" t="n">
        <f aca="false">R1240+Q1240</f>
        <v>0.677083333333333</v>
      </c>
      <c r="T1240" s="8" t="n">
        <f aca="false">R1240-P1240</f>
        <v>0.0333333333333333</v>
      </c>
    </row>
    <row r="1241" customFormat="false" ht="14.25" hidden="false" customHeight="true" outlineLevel="0" collapsed="false">
      <c r="A1241" s="6" t="n">
        <v>2019</v>
      </c>
      <c r="B1241" s="6" t="s">
        <v>192</v>
      </c>
      <c r="C1241" s="6" t="s">
        <v>201</v>
      </c>
      <c r="D1241" s="7" t="n">
        <v>7</v>
      </c>
      <c r="E1241" s="7" t="n">
        <v>20</v>
      </c>
      <c r="F1241" s="7" t="n">
        <v>2</v>
      </c>
      <c r="G1241" s="7" t="n">
        <v>8</v>
      </c>
      <c r="H1241" s="7" t="n">
        <v>1</v>
      </c>
      <c r="I1241" s="7" t="n">
        <v>0</v>
      </c>
      <c r="J1241" s="7" t="n">
        <v>0</v>
      </c>
      <c r="K1241" s="7" t="n">
        <v>1</v>
      </c>
      <c r="L1241" s="7" t="n">
        <v>9</v>
      </c>
      <c r="M1241" s="7" t="n">
        <v>1</v>
      </c>
      <c r="N1241" s="7" t="n">
        <v>1</v>
      </c>
      <c r="O1241" s="7" t="n">
        <v>0</v>
      </c>
      <c r="P1241" s="8" t="n">
        <f aca="false">IF(E1241=0,0,G1241/E1241)</f>
        <v>0.4</v>
      </c>
      <c r="Q1241" s="8" t="n">
        <f aca="false">IF(E1241+N1241=0,0,(G1241+N1241)/(E1241+N1241))</f>
        <v>0.428571428571429</v>
      </c>
      <c r="R1241" s="8" t="n">
        <f aca="false">IF(E1241=0,0,L1241/E1241)</f>
        <v>0.45</v>
      </c>
      <c r="S1241" s="8" t="n">
        <f aca="false">R1241+Q1241</f>
        <v>0.878571428571429</v>
      </c>
      <c r="T1241" s="8" t="n">
        <f aca="false">R1241-P1241</f>
        <v>0.05</v>
      </c>
    </row>
    <row r="1242" customFormat="false" ht="14.25" hidden="false" customHeight="true" outlineLevel="0" collapsed="false">
      <c r="A1242" s="6" t="n">
        <v>2019</v>
      </c>
      <c r="B1242" s="6" t="s">
        <v>192</v>
      </c>
      <c r="C1242" s="6" t="s">
        <v>308</v>
      </c>
      <c r="D1242" s="7" t="n">
        <v>7</v>
      </c>
      <c r="E1242" s="7" t="n">
        <v>18</v>
      </c>
      <c r="F1242" s="7" t="n">
        <v>1</v>
      </c>
      <c r="G1242" s="7" t="n">
        <v>5</v>
      </c>
      <c r="H1242" s="7" t="n">
        <v>0</v>
      </c>
      <c r="I1242" s="7" t="n">
        <v>0</v>
      </c>
      <c r="J1242" s="7" t="n">
        <v>0</v>
      </c>
      <c r="K1242" s="7" t="n">
        <v>0</v>
      </c>
      <c r="L1242" s="7" t="n">
        <v>5</v>
      </c>
      <c r="M1242" s="7" t="n">
        <v>2</v>
      </c>
      <c r="N1242" s="7" t="n">
        <v>3</v>
      </c>
      <c r="O1242" s="7" t="n">
        <v>0</v>
      </c>
      <c r="P1242" s="8" t="n">
        <f aca="false">IF(E1242=0,0,G1242/E1242)</f>
        <v>0.277777777777778</v>
      </c>
      <c r="Q1242" s="8" t="n">
        <f aca="false">IF(E1242+N1242=0,0,(G1242+N1242)/(E1242+N1242))</f>
        <v>0.380952380952381</v>
      </c>
      <c r="R1242" s="8" t="n">
        <f aca="false">IF(E1242=0,0,L1242/E1242)</f>
        <v>0.277777777777778</v>
      </c>
      <c r="S1242" s="8" t="n">
        <f aca="false">R1242+Q1242</f>
        <v>0.658730158730159</v>
      </c>
      <c r="T1242" s="8" t="n">
        <f aca="false">R1242-P1242</f>
        <v>0</v>
      </c>
    </row>
    <row r="1243" customFormat="false" ht="14.25" hidden="false" customHeight="true" outlineLevel="0" collapsed="false">
      <c r="A1243" s="6" t="n">
        <v>2019</v>
      </c>
      <c r="B1243" s="6" t="s">
        <v>192</v>
      </c>
      <c r="C1243" s="6" t="s">
        <v>204</v>
      </c>
      <c r="D1243" s="7" t="n">
        <v>4</v>
      </c>
      <c r="E1243" s="7" t="n">
        <v>12</v>
      </c>
      <c r="F1243" s="7" t="n">
        <v>3</v>
      </c>
      <c r="G1243" s="7" t="n">
        <v>4</v>
      </c>
      <c r="H1243" s="7" t="n">
        <v>0</v>
      </c>
      <c r="I1243" s="7" t="n">
        <v>0</v>
      </c>
      <c r="J1243" s="7" t="n">
        <v>0</v>
      </c>
      <c r="K1243" s="7" t="n">
        <v>0</v>
      </c>
      <c r="L1243" s="7" t="n">
        <v>4</v>
      </c>
      <c r="M1243" s="7" t="n">
        <v>2</v>
      </c>
      <c r="N1243" s="7" t="n">
        <v>1</v>
      </c>
      <c r="O1243" s="7" t="n">
        <v>0</v>
      </c>
      <c r="P1243" s="8" t="n">
        <f aca="false">IF(E1243=0,0,G1243/E1243)</f>
        <v>0.333333333333333</v>
      </c>
      <c r="Q1243" s="8" t="n">
        <f aca="false">IF(E1243+N1243=0,0,(G1243+N1243)/(E1243+N1243))</f>
        <v>0.384615384615385</v>
      </c>
      <c r="R1243" s="8" t="n">
        <f aca="false">IF(E1243=0,0,L1243/E1243)</f>
        <v>0.333333333333333</v>
      </c>
      <c r="S1243" s="8" t="n">
        <f aca="false">R1243+Q1243</f>
        <v>0.717948717948718</v>
      </c>
      <c r="T1243" s="8" t="n">
        <f aca="false">R1243-P1243</f>
        <v>0</v>
      </c>
    </row>
    <row r="1244" customFormat="false" ht="14.25" hidden="false" customHeight="true" outlineLevel="0" collapsed="false">
      <c r="A1244" s="6" t="n">
        <v>2019</v>
      </c>
      <c r="B1244" s="6" t="s">
        <v>192</v>
      </c>
      <c r="C1244" s="6" t="s">
        <v>309</v>
      </c>
      <c r="D1244" s="7" t="n">
        <v>9</v>
      </c>
      <c r="E1244" s="7" t="n">
        <v>22</v>
      </c>
      <c r="F1244" s="7" t="n">
        <v>2</v>
      </c>
      <c r="G1244" s="7" t="n">
        <v>2</v>
      </c>
      <c r="H1244" s="7" t="n">
        <v>1</v>
      </c>
      <c r="I1244" s="7" t="n">
        <v>1</v>
      </c>
      <c r="J1244" s="7" t="n">
        <v>0</v>
      </c>
      <c r="K1244" s="7" t="n">
        <v>2</v>
      </c>
      <c r="L1244" s="7" t="n">
        <v>5</v>
      </c>
      <c r="M1244" s="7" t="n">
        <v>2</v>
      </c>
      <c r="N1244" s="7" t="n">
        <v>2</v>
      </c>
      <c r="O1244" s="7" t="n">
        <v>1</v>
      </c>
      <c r="P1244" s="8" t="n">
        <f aca="false">IF(E1244=0,0,G1244/E1244)</f>
        <v>0.0909090909090909</v>
      </c>
      <c r="Q1244" s="8" t="n">
        <f aca="false">IF(E1244+N1244=0,0,(G1244+N1244)/(E1244+N1244))</f>
        <v>0.166666666666667</v>
      </c>
      <c r="R1244" s="8" t="n">
        <f aca="false">IF(E1244=0,0,L1244/E1244)</f>
        <v>0.227272727272727</v>
      </c>
      <c r="S1244" s="8" t="n">
        <f aca="false">R1244+Q1244</f>
        <v>0.393939393939394</v>
      </c>
      <c r="T1244" s="8" t="n">
        <f aca="false">R1244-P1244</f>
        <v>0.136363636363636</v>
      </c>
    </row>
    <row r="1245" customFormat="false" ht="14.25" hidden="false" customHeight="true" outlineLevel="0" collapsed="false">
      <c r="A1245" s="6" t="n">
        <v>2019</v>
      </c>
      <c r="B1245" s="6" t="s">
        <v>192</v>
      </c>
      <c r="C1245" s="6" t="s">
        <v>200</v>
      </c>
      <c r="D1245" s="7" t="n">
        <v>1</v>
      </c>
      <c r="E1245" s="7" t="n">
        <v>2</v>
      </c>
      <c r="F1245" s="7" t="n">
        <v>0</v>
      </c>
      <c r="G1245" s="7" t="n">
        <v>2</v>
      </c>
      <c r="H1245" s="7" t="n">
        <v>0</v>
      </c>
      <c r="I1245" s="7" t="n">
        <v>1</v>
      </c>
      <c r="J1245" s="7" t="n">
        <v>0</v>
      </c>
      <c r="K1245" s="7" t="n">
        <v>1</v>
      </c>
      <c r="L1245" s="7" t="n">
        <v>4</v>
      </c>
      <c r="M1245" s="7" t="n">
        <v>2</v>
      </c>
      <c r="N1245" s="7" t="n">
        <v>0</v>
      </c>
      <c r="O1245" s="7" t="n">
        <v>0</v>
      </c>
      <c r="P1245" s="8" t="n">
        <f aca="false">IF(E1245=0,0,G1245/E1245)</f>
        <v>1</v>
      </c>
      <c r="Q1245" s="8" t="n">
        <f aca="false">IF(E1245+N1245=0,0,(G1245+N1245)/(E1245+N1245))</f>
        <v>1</v>
      </c>
      <c r="R1245" s="8" t="n">
        <f aca="false">IF(E1245=0,0,L1245/E1245)</f>
        <v>2</v>
      </c>
      <c r="S1245" s="8" t="n">
        <f aca="false">R1245+Q1245</f>
        <v>3</v>
      </c>
      <c r="T1245" s="8" t="n">
        <f aca="false">R1245-P1245</f>
        <v>1</v>
      </c>
    </row>
    <row r="1246" customFormat="false" ht="14.25" hidden="false" customHeight="true" outlineLevel="0" collapsed="false">
      <c r="A1246" s="6" t="n">
        <v>2019</v>
      </c>
      <c r="B1246" s="6" t="s">
        <v>192</v>
      </c>
      <c r="C1246" s="6" t="s">
        <v>106</v>
      </c>
      <c r="D1246" s="7" t="n">
        <v>2</v>
      </c>
      <c r="E1246" s="7" t="n">
        <v>4</v>
      </c>
      <c r="F1246" s="7" t="n">
        <v>1</v>
      </c>
      <c r="G1246" s="7" t="n">
        <v>2</v>
      </c>
      <c r="H1246" s="7" t="n">
        <v>0</v>
      </c>
      <c r="I1246" s="7" t="n">
        <v>0</v>
      </c>
      <c r="J1246" s="7" t="n">
        <v>0</v>
      </c>
      <c r="K1246" s="7" t="n">
        <v>0</v>
      </c>
      <c r="L1246" s="7" t="n">
        <v>2</v>
      </c>
      <c r="M1246" s="7" t="n">
        <v>0</v>
      </c>
      <c r="N1246" s="7" t="n">
        <v>1</v>
      </c>
      <c r="O1246" s="7" t="n">
        <v>0</v>
      </c>
      <c r="P1246" s="8" t="n">
        <f aca="false">IF(E1246=0,0,G1246/E1246)</f>
        <v>0.5</v>
      </c>
      <c r="Q1246" s="8" t="n">
        <f aca="false">IF(E1246+N1246=0,0,(G1246+N1246)/(E1246+N1246))</f>
        <v>0.6</v>
      </c>
      <c r="R1246" s="8" t="n">
        <f aca="false">IF(E1246=0,0,L1246/E1246)</f>
        <v>0.5</v>
      </c>
      <c r="S1246" s="8" t="n">
        <f aca="false">R1246+Q1246</f>
        <v>1.1</v>
      </c>
      <c r="T1246" s="8" t="n">
        <f aca="false">R1246-P1246</f>
        <v>0</v>
      </c>
    </row>
    <row r="1247" customFormat="false" ht="14.25" hidden="false" customHeight="true" outlineLevel="0" collapsed="false">
      <c r="A1247" s="6" t="n">
        <v>2019</v>
      </c>
      <c r="B1247" s="6" t="s">
        <v>192</v>
      </c>
      <c r="C1247" s="6" t="s">
        <v>193</v>
      </c>
      <c r="D1247" s="7" t="n">
        <v>1</v>
      </c>
      <c r="E1247" s="7" t="n">
        <v>2</v>
      </c>
      <c r="F1247" s="7" t="n">
        <v>2</v>
      </c>
      <c r="G1247" s="7" t="n">
        <v>2</v>
      </c>
      <c r="H1247" s="7" t="n">
        <v>0</v>
      </c>
      <c r="I1247" s="7" t="n">
        <v>0</v>
      </c>
      <c r="J1247" s="7" t="n">
        <v>0</v>
      </c>
      <c r="K1247" s="7" t="n">
        <v>0</v>
      </c>
      <c r="L1247" s="7" t="n">
        <v>2</v>
      </c>
      <c r="M1247" s="7" t="n">
        <v>0</v>
      </c>
      <c r="N1247" s="7" t="n">
        <v>0</v>
      </c>
      <c r="O1247" s="7" t="n">
        <v>0</v>
      </c>
      <c r="P1247" s="8" t="n">
        <f aca="false">IF(E1247=0,0,G1247/E1247)</f>
        <v>1</v>
      </c>
      <c r="Q1247" s="8" t="n">
        <f aca="false">IF(E1247+N1247=0,0,(G1247+N1247)/(E1247+N1247))</f>
        <v>1</v>
      </c>
      <c r="R1247" s="8" t="n">
        <f aca="false">IF(E1247=0,0,L1247/E1247)</f>
        <v>1</v>
      </c>
      <c r="S1247" s="8" t="n">
        <f aca="false">R1247+Q1247</f>
        <v>2</v>
      </c>
      <c r="T1247" s="8" t="n">
        <f aca="false">R1247-P1247</f>
        <v>0</v>
      </c>
    </row>
    <row r="1248" customFormat="false" ht="14.25" hidden="false" customHeight="true" outlineLevel="0" collapsed="false">
      <c r="A1248" s="6" t="n">
        <v>2019</v>
      </c>
      <c r="B1248" s="6" t="s">
        <v>192</v>
      </c>
      <c r="C1248" s="6" t="s">
        <v>199</v>
      </c>
      <c r="D1248" s="7" t="n">
        <v>6</v>
      </c>
      <c r="E1248" s="7" t="n">
        <v>13</v>
      </c>
      <c r="F1248" s="7" t="n">
        <v>2</v>
      </c>
      <c r="G1248" s="7" t="n">
        <v>1</v>
      </c>
      <c r="H1248" s="7" t="n">
        <v>0</v>
      </c>
      <c r="I1248" s="7" t="n">
        <v>0</v>
      </c>
      <c r="J1248" s="7" t="n">
        <v>0</v>
      </c>
      <c r="K1248" s="7" t="n">
        <v>0</v>
      </c>
      <c r="L1248" s="7" t="n">
        <v>1</v>
      </c>
      <c r="M1248" s="7" t="n">
        <v>0</v>
      </c>
      <c r="N1248" s="7" t="n">
        <v>1</v>
      </c>
      <c r="O1248" s="7" t="n">
        <v>0</v>
      </c>
      <c r="P1248" s="8" t="n">
        <f aca="false">IF(E1248=0,0,G1248/E1248)</f>
        <v>0.0769230769230769</v>
      </c>
      <c r="Q1248" s="8" t="n">
        <f aca="false">IF(E1248+N1248=0,0,(G1248+N1248)/(E1248+N1248))</f>
        <v>0.142857142857143</v>
      </c>
      <c r="R1248" s="8" t="n">
        <f aca="false">IF(E1248=0,0,L1248/E1248)</f>
        <v>0.0769230769230769</v>
      </c>
      <c r="S1248" s="8" t="n">
        <f aca="false">R1248+Q1248</f>
        <v>0.21978021978022</v>
      </c>
      <c r="T1248" s="8" t="n">
        <f aca="false">R1248-P1248</f>
        <v>0</v>
      </c>
    </row>
    <row r="1249" customFormat="false" ht="14.25" hidden="false" customHeight="true" outlineLevel="0" collapsed="false">
      <c r="A1249" s="6" t="n">
        <v>2019</v>
      </c>
      <c r="B1249" s="6" t="s">
        <v>192</v>
      </c>
      <c r="C1249" s="6" t="s">
        <v>448</v>
      </c>
      <c r="D1249" s="7" t="n">
        <v>9</v>
      </c>
      <c r="E1249" s="7" t="n">
        <v>20</v>
      </c>
      <c r="F1249" s="7" t="n">
        <v>0</v>
      </c>
      <c r="G1249" s="7" t="n">
        <v>0</v>
      </c>
      <c r="H1249" s="7" t="n">
        <v>0</v>
      </c>
      <c r="I1249" s="7" t="n">
        <v>0</v>
      </c>
      <c r="J1249" s="7" t="n">
        <v>0</v>
      </c>
      <c r="K1249" s="7" t="n">
        <v>0</v>
      </c>
      <c r="L1249" s="7" t="n">
        <v>0</v>
      </c>
      <c r="M1249" s="7" t="n">
        <v>2</v>
      </c>
      <c r="N1249" s="7" t="n">
        <v>0</v>
      </c>
      <c r="O1249" s="7" t="n">
        <v>0</v>
      </c>
      <c r="P1249" s="8" t="n">
        <f aca="false">IF(E1249=0,0,G1249/E1249)</f>
        <v>0</v>
      </c>
      <c r="Q1249" s="8" t="n">
        <f aca="false">IF(E1249+N1249=0,0,(G1249+N1249)/(E1249+N1249))</f>
        <v>0</v>
      </c>
      <c r="R1249" s="8" t="n">
        <f aca="false">IF(E1249=0,0,L1249/E1249)</f>
        <v>0</v>
      </c>
      <c r="S1249" s="8" t="n">
        <f aca="false">R1249+Q1249</f>
        <v>0</v>
      </c>
      <c r="T1249" s="8" t="n">
        <f aca="false">R1249-P1249</f>
        <v>0</v>
      </c>
    </row>
    <row r="1250" customFormat="false" ht="14.25" hidden="false" customHeight="true" outlineLevel="0" collapsed="false">
      <c r="A1250" s="6" t="n">
        <v>2019</v>
      </c>
      <c r="B1250" s="6" t="s">
        <v>192</v>
      </c>
      <c r="C1250" s="6" t="s">
        <v>496</v>
      </c>
      <c r="D1250" s="7" t="n">
        <v>1</v>
      </c>
      <c r="E1250" s="7" t="n">
        <v>3</v>
      </c>
      <c r="F1250" s="7" t="n">
        <v>0</v>
      </c>
      <c r="G1250" s="7" t="n">
        <v>0</v>
      </c>
      <c r="H1250" s="7" t="n">
        <v>0</v>
      </c>
      <c r="I1250" s="7" t="n">
        <v>0</v>
      </c>
      <c r="J1250" s="7" t="n">
        <v>0</v>
      </c>
      <c r="K1250" s="7" t="n">
        <v>0</v>
      </c>
      <c r="L1250" s="7" t="n">
        <v>0</v>
      </c>
      <c r="M1250" s="7" t="n">
        <v>0</v>
      </c>
      <c r="N1250" s="7" t="n">
        <v>0</v>
      </c>
      <c r="O1250" s="7" t="n">
        <v>2</v>
      </c>
      <c r="P1250" s="8" t="n">
        <f aca="false">IF(E1250=0,0,G1250/E1250)</f>
        <v>0</v>
      </c>
      <c r="Q1250" s="8" t="n">
        <f aca="false">IF(E1250+N1250=0,0,(G1250+N1250)/(E1250+N1250))</f>
        <v>0</v>
      </c>
      <c r="R1250" s="8" t="n">
        <f aca="false">IF(E1250=0,0,L1250/E1250)</f>
        <v>0</v>
      </c>
      <c r="S1250" s="8" t="n">
        <f aca="false">R1250+Q1250</f>
        <v>0</v>
      </c>
      <c r="T1250" s="8" t="n">
        <f aca="false">R1250-P1250</f>
        <v>0</v>
      </c>
    </row>
    <row r="1251" customFormat="false" ht="14.25" hidden="false" customHeight="true" outlineLevel="0" collapsed="false">
      <c r="A1251" s="6" t="n">
        <v>2019</v>
      </c>
      <c r="B1251" s="6" t="s">
        <v>192</v>
      </c>
      <c r="C1251" s="6" t="s">
        <v>311</v>
      </c>
      <c r="D1251" s="7" t="n">
        <v>4</v>
      </c>
      <c r="E1251" s="7" t="n">
        <v>9</v>
      </c>
      <c r="F1251" s="7" t="n">
        <v>0</v>
      </c>
      <c r="G1251" s="7" t="n">
        <v>0</v>
      </c>
      <c r="H1251" s="7" t="n">
        <v>0</v>
      </c>
      <c r="I1251" s="7" t="n">
        <v>0</v>
      </c>
      <c r="J1251" s="7" t="n">
        <v>0</v>
      </c>
      <c r="K1251" s="7" t="n">
        <v>0</v>
      </c>
      <c r="L1251" s="7" t="n">
        <v>0</v>
      </c>
      <c r="M1251" s="7" t="n">
        <v>0</v>
      </c>
      <c r="N1251" s="7" t="n">
        <v>0</v>
      </c>
      <c r="O1251" s="7" t="n">
        <v>0</v>
      </c>
      <c r="P1251" s="8" t="n">
        <f aca="false">IF(E1251=0,0,G1251/E1251)</f>
        <v>0</v>
      </c>
      <c r="Q1251" s="8" t="n">
        <f aca="false">IF(E1251+N1251=0,0,(G1251+N1251)/(E1251+N1251))</f>
        <v>0</v>
      </c>
      <c r="R1251" s="8" t="n">
        <f aca="false">IF(E1251=0,0,L1251/E1251)</f>
        <v>0</v>
      </c>
      <c r="S1251" s="8" t="n">
        <f aca="false">R1251+Q1251</f>
        <v>0</v>
      </c>
      <c r="T1251" s="8" t="n">
        <f aca="false">R1251-P1251</f>
        <v>0</v>
      </c>
    </row>
    <row r="1252" customFormat="false" ht="14.25" hidden="false" customHeight="true" outlineLevel="0" collapsed="false">
      <c r="A1252" s="6" t="n">
        <v>2019</v>
      </c>
      <c r="B1252" s="6" t="s">
        <v>192</v>
      </c>
      <c r="C1252" s="6" t="s">
        <v>211</v>
      </c>
      <c r="D1252" s="7" t="n">
        <v>1</v>
      </c>
      <c r="E1252" s="7" t="n">
        <v>4</v>
      </c>
      <c r="F1252" s="7" t="n">
        <v>0</v>
      </c>
      <c r="G1252" s="7" t="n">
        <v>0</v>
      </c>
      <c r="H1252" s="7" t="n">
        <v>0</v>
      </c>
      <c r="I1252" s="7" t="n">
        <v>0</v>
      </c>
      <c r="J1252" s="7" t="n">
        <v>0</v>
      </c>
      <c r="K1252" s="7" t="n">
        <v>0</v>
      </c>
      <c r="L1252" s="7" t="n">
        <v>0</v>
      </c>
      <c r="M1252" s="7" t="n">
        <v>0</v>
      </c>
      <c r="N1252" s="7" t="n">
        <v>0</v>
      </c>
      <c r="O1252" s="7" t="n">
        <v>0</v>
      </c>
      <c r="P1252" s="8" t="n">
        <f aca="false">IF(E1252=0,0,G1252/E1252)</f>
        <v>0</v>
      </c>
      <c r="Q1252" s="8" t="n">
        <f aca="false">IF(E1252+N1252=0,0,(G1252+N1252)/(E1252+N1252))</f>
        <v>0</v>
      </c>
      <c r="R1252" s="8" t="n">
        <f aca="false">IF(E1252=0,0,L1252/E1252)</f>
        <v>0</v>
      </c>
      <c r="S1252" s="8" t="n">
        <f aca="false">R1252+Q1252</f>
        <v>0</v>
      </c>
      <c r="T1252" s="8" t="n">
        <f aca="false">R1252-P1252</f>
        <v>0</v>
      </c>
    </row>
    <row r="1253" customFormat="false" ht="14.25" hidden="false" customHeight="true" outlineLevel="0" collapsed="false">
      <c r="A1253" s="6" t="n">
        <v>2019</v>
      </c>
      <c r="B1253" s="6" t="s">
        <v>192</v>
      </c>
      <c r="C1253" s="6" t="s">
        <v>467</v>
      </c>
      <c r="D1253" s="7" t="n">
        <v>1</v>
      </c>
      <c r="E1253" s="7" t="n">
        <v>3</v>
      </c>
      <c r="F1253" s="7" t="n">
        <v>0</v>
      </c>
      <c r="G1253" s="7" t="n">
        <v>0</v>
      </c>
      <c r="H1253" s="7" t="n">
        <v>0</v>
      </c>
      <c r="I1253" s="7" t="n">
        <v>0</v>
      </c>
      <c r="J1253" s="7" t="n">
        <v>0</v>
      </c>
      <c r="K1253" s="7" t="n">
        <v>0</v>
      </c>
      <c r="L1253" s="7" t="n">
        <v>0</v>
      </c>
      <c r="M1253" s="7" t="n">
        <v>0</v>
      </c>
      <c r="N1253" s="7" t="n">
        <v>0</v>
      </c>
      <c r="O1253" s="7" t="n">
        <v>0</v>
      </c>
      <c r="P1253" s="8" t="n">
        <f aca="false">IF(E1253=0,0,G1253/E1253)</f>
        <v>0</v>
      </c>
      <c r="Q1253" s="8" t="n">
        <f aca="false">IF(E1253+N1253=0,0,(G1253+N1253)/(E1253+N1253))</f>
        <v>0</v>
      </c>
      <c r="R1253" s="8" t="n">
        <f aca="false">IF(E1253=0,0,L1253/E1253)</f>
        <v>0</v>
      </c>
      <c r="S1253" s="8" t="n">
        <f aca="false">R1253+Q1253</f>
        <v>0</v>
      </c>
      <c r="T1253" s="8" t="n">
        <f aca="false">R1253-P1253</f>
        <v>0</v>
      </c>
    </row>
    <row r="1254" customFormat="false" ht="14.25" hidden="false" customHeight="true" outlineLevel="0" collapsed="false">
      <c r="A1254" s="6" t="n">
        <v>2019</v>
      </c>
      <c r="B1254" s="6" t="s">
        <v>192</v>
      </c>
      <c r="C1254" s="6" t="s">
        <v>205</v>
      </c>
      <c r="D1254" s="7" t="n">
        <v>1</v>
      </c>
      <c r="E1254" s="7" t="n">
        <v>3</v>
      </c>
      <c r="F1254" s="7" t="n">
        <v>0</v>
      </c>
      <c r="G1254" s="7" t="n">
        <v>0</v>
      </c>
      <c r="H1254" s="7" t="n">
        <v>0</v>
      </c>
      <c r="I1254" s="7" t="n">
        <v>0</v>
      </c>
      <c r="J1254" s="7" t="n">
        <v>0</v>
      </c>
      <c r="K1254" s="7" t="n">
        <v>0</v>
      </c>
      <c r="L1254" s="7" t="n">
        <v>0</v>
      </c>
      <c r="M1254" s="7" t="n">
        <v>0</v>
      </c>
      <c r="N1254" s="7" t="n">
        <v>0</v>
      </c>
      <c r="O1254" s="7" t="n">
        <v>0</v>
      </c>
      <c r="P1254" s="8" t="n">
        <f aca="false">IF(E1254=0,0,G1254/E1254)</f>
        <v>0</v>
      </c>
      <c r="Q1254" s="8" t="n">
        <f aca="false">IF(E1254+N1254=0,0,(G1254+N1254)/(E1254+N1254))</f>
        <v>0</v>
      </c>
      <c r="R1254" s="8" t="n">
        <f aca="false">IF(E1254=0,0,L1254/E1254)</f>
        <v>0</v>
      </c>
      <c r="S1254" s="8" t="n">
        <f aca="false">R1254+Q1254</f>
        <v>0</v>
      </c>
      <c r="T1254" s="8" t="n">
        <f aca="false">R1254-P1254</f>
        <v>0</v>
      </c>
    </row>
    <row r="1255" customFormat="false" ht="14.25" hidden="false" customHeight="true" outlineLevel="0" collapsed="false">
      <c r="A1255" s="6" t="n">
        <v>2019</v>
      </c>
      <c r="B1255" s="6" t="s">
        <v>192</v>
      </c>
      <c r="C1255" s="6" t="s">
        <v>497</v>
      </c>
      <c r="D1255" s="7" t="n">
        <v>1</v>
      </c>
      <c r="E1255" s="7" t="n">
        <v>2</v>
      </c>
      <c r="F1255" s="7" t="n">
        <v>0</v>
      </c>
      <c r="G1255" s="7" t="n">
        <v>0</v>
      </c>
      <c r="H1255" s="7" t="n">
        <v>0</v>
      </c>
      <c r="I1255" s="7" t="n">
        <v>0</v>
      </c>
      <c r="J1255" s="7" t="n">
        <v>0</v>
      </c>
      <c r="K1255" s="7" t="n">
        <v>0</v>
      </c>
      <c r="L1255" s="7" t="n">
        <v>0</v>
      </c>
      <c r="M1255" s="7" t="n">
        <v>0</v>
      </c>
      <c r="N1255" s="7" t="n">
        <v>0</v>
      </c>
      <c r="O1255" s="7" t="n">
        <v>0</v>
      </c>
      <c r="P1255" s="8" t="n">
        <f aca="false">IF(E1255=0,0,G1255/E1255)</f>
        <v>0</v>
      </c>
      <c r="Q1255" s="8" t="n">
        <f aca="false">IF(E1255+N1255=0,0,(G1255+N1255)/(E1255+N1255))</f>
        <v>0</v>
      </c>
      <c r="R1255" s="8" t="n">
        <f aca="false">IF(E1255=0,0,L1255/E1255)</f>
        <v>0</v>
      </c>
      <c r="S1255" s="8" t="n">
        <f aca="false">R1255+Q1255</f>
        <v>0</v>
      </c>
      <c r="T1255" s="8" t="n">
        <f aca="false">R1255-P1255</f>
        <v>0</v>
      </c>
    </row>
    <row r="1256" customFormat="false" ht="14.25" hidden="false" customHeight="true" outlineLevel="0" collapsed="false">
      <c r="A1256" s="6" t="n">
        <v>2019</v>
      </c>
      <c r="B1256" s="6" t="s">
        <v>192</v>
      </c>
      <c r="C1256" s="6" t="s">
        <v>366</v>
      </c>
      <c r="D1256" s="7" t="n">
        <v>1</v>
      </c>
      <c r="E1256" s="7" t="n">
        <v>2</v>
      </c>
      <c r="F1256" s="7" t="n">
        <v>0</v>
      </c>
      <c r="G1256" s="7" t="n">
        <v>0</v>
      </c>
      <c r="H1256" s="7" t="n">
        <v>0</v>
      </c>
      <c r="I1256" s="7" t="n">
        <v>0</v>
      </c>
      <c r="J1256" s="7" t="n">
        <v>0</v>
      </c>
      <c r="K1256" s="7" t="n">
        <v>0</v>
      </c>
      <c r="L1256" s="7" t="n">
        <v>0</v>
      </c>
      <c r="M1256" s="7" t="n">
        <v>0</v>
      </c>
      <c r="N1256" s="7" t="n">
        <v>0</v>
      </c>
      <c r="O1256" s="7" t="n">
        <v>0</v>
      </c>
      <c r="P1256" s="8" t="n">
        <f aca="false">IF(E1256=0,0,G1256/E1256)</f>
        <v>0</v>
      </c>
      <c r="Q1256" s="8" t="n">
        <f aca="false">IF(E1256+N1256=0,0,(G1256+N1256)/(E1256+N1256))</f>
        <v>0</v>
      </c>
      <c r="R1256" s="8" t="n">
        <f aca="false">IF(E1256=0,0,L1256/E1256)</f>
        <v>0</v>
      </c>
      <c r="S1256" s="8" t="n">
        <f aca="false">R1256+Q1256</f>
        <v>0</v>
      </c>
      <c r="T1256" s="8" t="n">
        <f aca="false">R1256-P1256</f>
        <v>0</v>
      </c>
    </row>
    <row r="1257" customFormat="false" ht="14.25" hidden="false" customHeight="true" outlineLevel="0" collapsed="false">
      <c r="A1257" s="6" t="n">
        <v>2019</v>
      </c>
      <c r="B1257" s="6" t="s">
        <v>192</v>
      </c>
      <c r="C1257" s="6" t="s">
        <v>194</v>
      </c>
      <c r="D1257" s="7" t="n">
        <v>1</v>
      </c>
      <c r="E1257" s="7" t="n">
        <v>2</v>
      </c>
      <c r="F1257" s="7" t="n">
        <v>0</v>
      </c>
      <c r="G1257" s="7" t="n">
        <v>0</v>
      </c>
      <c r="H1257" s="7" t="n">
        <v>0</v>
      </c>
      <c r="I1257" s="7" t="n">
        <v>0</v>
      </c>
      <c r="J1257" s="7" t="n">
        <v>0</v>
      </c>
      <c r="K1257" s="7" t="n">
        <v>0</v>
      </c>
      <c r="L1257" s="7" t="n">
        <v>0</v>
      </c>
      <c r="M1257" s="7" t="n">
        <v>0</v>
      </c>
      <c r="N1257" s="7" t="n">
        <v>0</v>
      </c>
      <c r="O1257" s="7" t="n">
        <v>0</v>
      </c>
      <c r="P1257" s="8" t="n">
        <f aca="false">IF(E1257=0,0,G1257/E1257)</f>
        <v>0</v>
      </c>
      <c r="Q1257" s="8" t="n">
        <f aca="false">IF(E1257+N1257=0,0,(G1257+N1257)/(E1257+N1257))</f>
        <v>0</v>
      </c>
      <c r="R1257" s="8" t="n">
        <f aca="false">IF(E1257=0,0,L1257/E1257)</f>
        <v>0</v>
      </c>
      <c r="S1257" s="8" t="n">
        <f aca="false">R1257+Q1257</f>
        <v>0</v>
      </c>
      <c r="T1257" s="8" t="n">
        <f aca="false">R1257-P1257</f>
        <v>0</v>
      </c>
    </row>
    <row r="1258" customFormat="false" ht="14.25" hidden="false" customHeight="true" outlineLevel="0" collapsed="false">
      <c r="A1258" s="6" t="n">
        <v>2019</v>
      </c>
      <c r="B1258" s="6" t="s">
        <v>192</v>
      </c>
      <c r="C1258" s="6" t="s">
        <v>334</v>
      </c>
      <c r="D1258" s="7" t="n">
        <v>1</v>
      </c>
      <c r="E1258" s="7" t="n">
        <v>1</v>
      </c>
      <c r="F1258" s="7" t="n">
        <v>0</v>
      </c>
      <c r="G1258" s="7" t="n">
        <v>0</v>
      </c>
      <c r="H1258" s="7" t="n">
        <v>0</v>
      </c>
      <c r="I1258" s="7" t="n">
        <v>0</v>
      </c>
      <c r="J1258" s="7" t="n">
        <v>0</v>
      </c>
      <c r="K1258" s="7" t="n">
        <v>0</v>
      </c>
      <c r="L1258" s="7" t="n">
        <v>0</v>
      </c>
      <c r="M1258" s="7" t="n">
        <v>0</v>
      </c>
      <c r="N1258" s="7" t="n">
        <v>0</v>
      </c>
      <c r="O1258" s="7" t="n">
        <v>0</v>
      </c>
      <c r="P1258" s="8" t="n">
        <f aca="false">IF(E1258=0,0,G1258/E1258)</f>
        <v>0</v>
      </c>
      <c r="Q1258" s="8" t="n">
        <f aca="false">IF(E1258+N1258=0,0,(G1258+N1258)/(E1258+N1258))</f>
        <v>0</v>
      </c>
      <c r="R1258" s="8" t="n">
        <f aca="false">IF(E1258=0,0,L1258/E1258)</f>
        <v>0</v>
      </c>
      <c r="S1258" s="8" t="n">
        <f aca="false">R1258+Q1258</f>
        <v>0</v>
      </c>
      <c r="T1258" s="8" t="n">
        <f aca="false">R1258-P1258</f>
        <v>0</v>
      </c>
    </row>
    <row r="1259" customFormat="false" ht="14.25" hidden="false" customHeight="true" outlineLevel="0" collapsed="false">
      <c r="A1259" s="6" t="n">
        <v>2019</v>
      </c>
      <c r="B1259" s="6" t="s">
        <v>192</v>
      </c>
      <c r="C1259" s="6" t="s">
        <v>498</v>
      </c>
      <c r="D1259" s="7" t="n">
        <v>1</v>
      </c>
      <c r="E1259" s="7" t="n">
        <v>0</v>
      </c>
      <c r="F1259" s="7" t="n">
        <v>0</v>
      </c>
      <c r="G1259" s="7" t="n">
        <v>0</v>
      </c>
      <c r="H1259" s="7" t="n">
        <v>0</v>
      </c>
      <c r="I1259" s="7" t="n">
        <v>0</v>
      </c>
      <c r="J1259" s="7" t="n">
        <v>0</v>
      </c>
      <c r="K1259" s="7" t="n">
        <v>0</v>
      </c>
      <c r="L1259" s="7" t="n">
        <v>0</v>
      </c>
      <c r="M1259" s="7" t="n">
        <v>0</v>
      </c>
      <c r="N1259" s="7" t="n">
        <v>0</v>
      </c>
      <c r="O1259" s="7" t="n">
        <v>0</v>
      </c>
      <c r="P1259" s="8" t="n">
        <f aca="false">IF(E1259=0,0,G1259/E1259)</f>
        <v>0</v>
      </c>
      <c r="Q1259" s="8" t="n">
        <f aca="false">IF(E1259+N1259=0,0,(G1259+N1259)/(E1259+N1259))</f>
        <v>0</v>
      </c>
      <c r="R1259" s="8" t="n">
        <f aca="false">IF(E1259=0,0,L1259/E1259)</f>
        <v>0</v>
      </c>
      <c r="S1259" s="8" t="n">
        <f aca="false">R1259+Q1259</f>
        <v>0</v>
      </c>
      <c r="T1259" s="8" t="n">
        <f aca="false">R1259-P1259</f>
        <v>0</v>
      </c>
    </row>
    <row r="1260" customFormat="false" ht="14.25" hidden="false" customHeight="true" outlineLevel="0" collapsed="false">
      <c r="A1260" s="6" t="n">
        <v>2019</v>
      </c>
      <c r="B1260" s="6" t="s">
        <v>212</v>
      </c>
      <c r="C1260" s="6" t="s">
        <v>213</v>
      </c>
      <c r="D1260" s="7" t="n">
        <v>8</v>
      </c>
      <c r="E1260" s="7" t="n">
        <v>23</v>
      </c>
      <c r="F1260" s="7" t="n">
        <v>10</v>
      </c>
      <c r="G1260" s="7" t="n">
        <v>11</v>
      </c>
      <c r="H1260" s="7" t="n">
        <v>4</v>
      </c>
      <c r="I1260" s="7" t="n">
        <v>0</v>
      </c>
      <c r="J1260" s="7" t="n">
        <v>1</v>
      </c>
      <c r="K1260" s="7" t="n">
        <v>5</v>
      </c>
      <c r="L1260" s="7" t="n">
        <v>18</v>
      </c>
      <c r="M1260" s="7" t="n">
        <v>1</v>
      </c>
      <c r="N1260" s="7" t="n">
        <v>3</v>
      </c>
      <c r="O1260" s="7" t="n">
        <v>2</v>
      </c>
      <c r="P1260" s="8" t="n">
        <f aca="false">IF(E1260=0,0,G1260/E1260)</f>
        <v>0.478260869565217</v>
      </c>
      <c r="Q1260" s="8" t="n">
        <f aca="false">IF(E1260+N1260=0,0,(G1260+N1260)/(E1260+N1260))</f>
        <v>0.538461538461538</v>
      </c>
      <c r="R1260" s="8" t="n">
        <f aca="false">IF(E1260=0,0,L1260/E1260)</f>
        <v>0.782608695652174</v>
      </c>
      <c r="S1260" s="8" t="n">
        <f aca="false">R1260+Q1260</f>
        <v>1.32107023411371</v>
      </c>
      <c r="T1260" s="8" t="n">
        <f aca="false">R1260-P1260</f>
        <v>0.304347826086957</v>
      </c>
    </row>
    <row r="1261" customFormat="false" ht="14.25" hidden="false" customHeight="true" outlineLevel="0" collapsed="false">
      <c r="A1261" s="6" t="n">
        <v>2019</v>
      </c>
      <c r="B1261" s="6" t="s">
        <v>212</v>
      </c>
      <c r="C1261" s="6" t="s">
        <v>85</v>
      </c>
      <c r="D1261" s="7" t="n">
        <v>8</v>
      </c>
      <c r="E1261" s="7" t="n">
        <v>26</v>
      </c>
      <c r="F1261" s="7" t="n">
        <v>3</v>
      </c>
      <c r="G1261" s="7" t="n">
        <v>9</v>
      </c>
      <c r="H1261" s="7" t="n">
        <v>1</v>
      </c>
      <c r="I1261" s="7" t="n">
        <v>0</v>
      </c>
      <c r="J1261" s="7" t="n">
        <v>1</v>
      </c>
      <c r="K1261" s="7" t="n">
        <v>2</v>
      </c>
      <c r="L1261" s="7" t="n">
        <v>13</v>
      </c>
      <c r="M1261" s="7" t="n">
        <v>4</v>
      </c>
      <c r="N1261" s="7" t="n">
        <v>0</v>
      </c>
      <c r="O1261" s="7" t="n">
        <v>0</v>
      </c>
      <c r="P1261" s="8" t="n">
        <f aca="false">IF(E1261=0,0,G1261/E1261)</f>
        <v>0.346153846153846</v>
      </c>
      <c r="Q1261" s="8" t="n">
        <f aca="false">IF(E1261+N1261=0,0,(G1261+N1261)/(E1261+N1261))</f>
        <v>0.346153846153846</v>
      </c>
      <c r="R1261" s="8" t="n">
        <f aca="false">IF(E1261=0,0,L1261/E1261)</f>
        <v>0.5</v>
      </c>
      <c r="S1261" s="8" t="n">
        <f aca="false">R1261+Q1261</f>
        <v>0.846153846153846</v>
      </c>
      <c r="T1261" s="8" t="n">
        <f aca="false">R1261-P1261</f>
        <v>0.153846153846154</v>
      </c>
    </row>
    <row r="1262" customFormat="false" ht="14.25" hidden="false" customHeight="true" outlineLevel="0" collapsed="false">
      <c r="A1262" s="6" t="n">
        <v>2019</v>
      </c>
      <c r="B1262" s="6" t="s">
        <v>212</v>
      </c>
      <c r="C1262" s="6" t="s">
        <v>328</v>
      </c>
      <c r="D1262" s="7" t="n">
        <v>6</v>
      </c>
      <c r="E1262" s="7" t="n">
        <v>14</v>
      </c>
      <c r="F1262" s="7" t="n">
        <v>6</v>
      </c>
      <c r="G1262" s="7" t="n">
        <v>7</v>
      </c>
      <c r="H1262" s="7" t="n">
        <v>0</v>
      </c>
      <c r="I1262" s="7" t="n">
        <v>0</v>
      </c>
      <c r="J1262" s="7" t="n">
        <v>2</v>
      </c>
      <c r="K1262" s="7" t="n">
        <v>2</v>
      </c>
      <c r="L1262" s="7" t="n">
        <v>13</v>
      </c>
      <c r="M1262" s="7" t="n">
        <v>7</v>
      </c>
      <c r="N1262" s="7" t="n">
        <v>5</v>
      </c>
      <c r="O1262" s="7" t="n">
        <v>3</v>
      </c>
      <c r="P1262" s="8" t="n">
        <f aca="false">IF(E1262=0,0,G1262/E1262)</f>
        <v>0.5</v>
      </c>
      <c r="Q1262" s="8" t="n">
        <f aca="false">IF(E1262+N1262=0,0,(G1262+N1262)/(E1262+N1262))</f>
        <v>0.631578947368421</v>
      </c>
      <c r="R1262" s="8" t="n">
        <f aca="false">IF(E1262=0,0,L1262/E1262)</f>
        <v>0.928571428571429</v>
      </c>
      <c r="S1262" s="8" t="n">
        <f aca="false">R1262+Q1262</f>
        <v>1.56015037593985</v>
      </c>
      <c r="T1262" s="8" t="n">
        <f aca="false">R1262-P1262</f>
        <v>0.428571428571429</v>
      </c>
    </row>
    <row r="1263" customFormat="false" ht="14.25" hidden="false" customHeight="true" outlineLevel="0" collapsed="false">
      <c r="A1263" s="6" t="n">
        <v>2019</v>
      </c>
      <c r="B1263" s="6" t="s">
        <v>212</v>
      </c>
      <c r="C1263" s="6" t="s">
        <v>226</v>
      </c>
      <c r="D1263" s="7" t="n">
        <v>7</v>
      </c>
      <c r="E1263" s="7" t="n">
        <v>22</v>
      </c>
      <c r="F1263" s="7" t="n">
        <v>1</v>
      </c>
      <c r="G1263" s="7" t="n">
        <v>7</v>
      </c>
      <c r="H1263" s="7" t="n">
        <v>1</v>
      </c>
      <c r="I1263" s="7" t="n">
        <v>0</v>
      </c>
      <c r="J1263" s="7" t="n">
        <v>0</v>
      </c>
      <c r="K1263" s="7" t="n">
        <v>1</v>
      </c>
      <c r="L1263" s="7" t="n">
        <v>8</v>
      </c>
      <c r="M1263" s="7" t="n">
        <v>3</v>
      </c>
      <c r="N1263" s="7" t="n">
        <v>1</v>
      </c>
      <c r="O1263" s="7" t="n">
        <v>1</v>
      </c>
      <c r="P1263" s="8" t="n">
        <f aca="false">IF(E1263=0,0,G1263/E1263)</f>
        <v>0.318181818181818</v>
      </c>
      <c r="Q1263" s="8" t="n">
        <f aca="false">IF(E1263+N1263=0,0,(G1263+N1263)/(E1263+N1263))</f>
        <v>0.347826086956522</v>
      </c>
      <c r="R1263" s="8" t="n">
        <f aca="false">IF(E1263=0,0,L1263/E1263)</f>
        <v>0.363636363636364</v>
      </c>
      <c r="S1263" s="8" t="n">
        <f aca="false">R1263+Q1263</f>
        <v>0.711462450592885</v>
      </c>
      <c r="T1263" s="8" t="n">
        <f aca="false">R1263-P1263</f>
        <v>0.0454545454545455</v>
      </c>
    </row>
    <row r="1264" customFormat="false" ht="14.25" hidden="false" customHeight="true" outlineLevel="0" collapsed="false">
      <c r="A1264" s="6" t="n">
        <v>2019</v>
      </c>
      <c r="B1264" s="6" t="s">
        <v>212</v>
      </c>
      <c r="C1264" s="6" t="s">
        <v>214</v>
      </c>
      <c r="D1264" s="7" t="n">
        <v>10</v>
      </c>
      <c r="E1264" s="7" t="n">
        <v>26</v>
      </c>
      <c r="F1264" s="7" t="n">
        <v>2</v>
      </c>
      <c r="G1264" s="7" t="n">
        <v>5</v>
      </c>
      <c r="H1264" s="7" t="n">
        <v>0</v>
      </c>
      <c r="I1264" s="7" t="n">
        <v>0</v>
      </c>
      <c r="J1264" s="7" t="n">
        <v>1</v>
      </c>
      <c r="K1264" s="7" t="n">
        <v>1</v>
      </c>
      <c r="L1264" s="7" t="n">
        <v>8</v>
      </c>
      <c r="M1264" s="7" t="n">
        <v>7</v>
      </c>
      <c r="N1264" s="7" t="n">
        <v>4</v>
      </c>
      <c r="O1264" s="7" t="n">
        <v>8</v>
      </c>
      <c r="P1264" s="8" t="n">
        <f aca="false">IF(E1264=0,0,G1264/E1264)</f>
        <v>0.192307692307692</v>
      </c>
      <c r="Q1264" s="8" t="n">
        <f aca="false">IF(E1264+N1264=0,0,(G1264+N1264)/(E1264+N1264))</f>
        <v>0.3</v>
      </c>
      <c r="R1264" s="8" t="n">
        <f aca="false">IF(E1264=0,0,L1264/E1264)</f>
        <v>0.307692307692308</v>
      </c>
      <c r="S1264" s="8" t="n">
        <f aca="false">R1264+Q1264</f>
        <v>0.607692307692308</v>
      </c>
      <c r="T1264" s="8" t="n">
        <f aca="false">R1264-P1264</f>
        <v>0.115384615384615</v>
      </c>
    </row>
    <row r="1265" customFormat="false" ht="14.25" hidden="false" customHeight="true" outlineLevel="0" collapsed="false">
      <c r="A1265" s="6" t="n">
        <v>2019</v>
      </c>
      <c r="B1265" s="6" t="s">
        <v>212</v>
      </c>
      <c r="C1265" s="6" t="s">
        <v>222</v>
      </c>
      <c r="D1265" s="7" t="n">
        <v>6</v>
      </c>
      <c r="E1265" s="7" t="n">
        <v>20</v>
      </c>
      <c r="F1265" s="7" t="n">
        <v>3</v>
      </c>
      <c r="G1265" s="7" t="n">
        <v>5</v>
      </c>
      <c r="H1265" s="7" t="n">
        <v>0</v>
      </c>
      <c r="I1265" s="7" t="n">
        <v>0</v>
      </c>
      <c r="J1265" s="7" t="n">
        <v>0</v>
      </c>
      <c r="K1265" s="7" t="n">
        <v>0</v>
      </c>
      <c r="L1265" s="7" t="n">
        <v>5</v>
      </c>
      <c r="M1265" s="7" t="n">
        <v>2</v>
      </c>
      <c r="N1265" s="7" t="n">
        <v>0</v>
      </c>
      <c r="O1265" s="7" t="n">
        <v>1</v>
      </c>
      <c r="P1265" s="8" t="n">
        <f aca="false">IF(E1265=0,0,G1265/E1265)</f>
        <v>0.25</v>
      </c>
      <c r="Q1265" s="8" t="n">
        <f aca="false">IF(E1265+N1265=0,0,(G1265+N1265)/(E1265+N1265))</f>
        <v>0.25</v>
      </c>
      <c r="R1265" s="8" t="n">
        <f aca="false">IF(E1265=0,0,L1265/E1265)</f>
        <v>0.25</v>
      </c>
      <c r="S1265" s="8" t="n">
        <f aca="false">R1265+Q1265</f>
        <v>0.5</v>
      </c>
      <c r="T1265" s="8" t="n">
        <f aca="false">R1265-P1265</f>
        <v>0</v>
      </c>
    </row>
    <row r="1266" customFormat="false" ht="14.25" hidden="false" customHeight="true" outlineLevel="0" collapsed="false">
      <c r="A1266" s="6" t="n">
        <v>2019</v>
      </c>
      <c r="B1266" s="6" t="s">
        <v>212</v>
      </c>
      <c r="C1266" s="6" t="s">
        <v>219</v>
      </c>
      <c r="D1266" s="7" t="n">
        <v>10</v>
      </c>
      <c r="E1266" s="7" t="n">
        <v>30</v>
      </c>
      <c r="F1266" s="7" t="n">
        <v>3</v>
      </c>
      <c r="G1266" s="7" t="n">
        <v>5</v>
      </c>
      <c r="H1266" s="7" t="n">
        <v>0</v>
      </c>
      <c r="I1266" s="7" t="n">
        <v>0</v>
      </c>
      <c r="J1266" s="7" t="n">
        <v>0</v>
      </c>
      <c r="K1266" s="7" t="n">
        <v>0</v>
      </c>
      <c r="L1266" s="7" t="n">
        <v>5</v>
      </c>
      <c r="M1266" s="7" t="n">
        <v>2</v>
      </c>
      <c r="N1266" s="7" t="n">
        <v>0</v>
      </c>
      <c r="O1266" s="7" t="n">
        <v>1</v>
      </c>
      <c r="P1266" s="8" t="n">
        <f aca="false">IF(E1266=0,0,G1266/E1266)</f>
        <v>0.166666666666667</v>
      </c>
      <c r="Q1266" s="8" t="n">
        <f aca="false">IF(E1266+N1266=0,0,(G1266+N1266)/(E1266+N1266))</f>
        <v>0.166666666666667</v>
      </c>
      <c r="R1266" s="8" t="n">
        <f aca="false">IF(E1266=0,0,L1266/E1266)</f>
        <v>0.166666666666667</v>
      </c>
      <c r="S1266" s="8" t="n">
        <f aca="false">R1266+Q1266</f>
        <v>0.333333333333333</v>
      </c>
      <c r="T1266" s="8" t="n">
        <f aca="false">R1266-P1266</f>
        <v>0</v>
      </c>
    </row>
    <row r="1267" customFormat="false" ht="14.25" hidden="false" customHeight="true" outlineLevel="0" collapsed="false">
      <c r="A1267" s="6" t="n">
        <v>2019</v>
      </c>
      <c r="B1267" s="6" t="s">
        <v>212</v>
      </c>
      <c r="C1267" s="6" t="s">
        <v>451</v>
      </c>
      <c r="D1267" s="7" t="n">
        <v>9</v>
      </c>
      <c r="E1267" s="7" t="n">
        <v>23</v>
      </c>
      <c r="F1267" s="7" t="n">
        <v>1</v>
      </c>
      <c r="G1267" s="7" t="n">
        <v>4</v>
      </c>
      <c r="H1267" s="7" t="n">
        <v>0</v>
      </c>
      <c r="I1267" s="7" t="n">
        <v>0</v>
      </c>
      <c r="J1267" s="7" t="n">
        <v>0</v>
      </c>
      <c r="K1267" s="7" t="n">
        <v>0</v>
      </c>
      <c r="L1267" s="7" t="n">
        <v>4</v>
      </c>
      <c r="M1267" s="7" t="n">
        <v>1</v>
      </c>
      <c r="N1267" s="7" t="n">
        <v>0</v>
      </c>
      <c r="O1267" s="7" t="n">
        <v>1</v>
      </c>
      <c r="P1267" s="8" t="n">
        <f aca="false">IF(E1267=0,0,G1267/E1267)</f>
        <v>0.173913043478261</v>
      </c>
      <c r="Q1267" s="8" t="n">
        <f aca="false">IF(E1267+N1267=0,0,(G1267+N1267)/(E1267+N1267))</f>
        <v>0.173913043478261</v>
      </c>
      <c r="R1267" s="8" t="n">
        <f aca="false">IF(E1267=0,0,L1267/E1267)</f>
        <v>0.173913043478261</v>
      </c>
      <c r="S1267" s="8" t="n">
        <f aca="false">R1267+Q1267</f>
        <v>0.347826086956522</v>
      </c>
      <c r="T1267" s="8" t="n">
        <f aca="false">R1267-P1267</f>
        <v>0</v>
      </c>
    </row>
    <row r="1268" customFormat="false" ht="14.25" hidden="false" customHeight="true" outlineLevel="0" collapsed="false">
      <c r="A1268" s="6" t="n">
        <v>2019</v>
      </c>
      <c r="B1268" s="6" t="s">
        <v>212</v>
      </c>
      <c r="C1268" s="6" t="s">
        <v>450</v>
      </c>
      <c r="D1268" s="7" t="n">
        <v>6</v>
      </c>
      <c r="E1268" s="7" t="n">
        <v>16</v>
      </c>
      <c r="F1268" s="7" t="n">
        <v>3</v>
      </c>
      <c r="G1268" s="7" t="n">
        <v>4</v>
      </c>
      <c r="H1268" s="7" t="n">
        <v>0</v>
      </c>
      <c r="I1268" s="7" t="n">
        <v>0</v>
      </c>
      <c r="J1268" s="7" t="n">
        <v>0</v>
      </c>
      <c r="K1268" s="7" t="n">
        <v>0</v>
      </c>
      <c r="L1268" s="7" t="n">
        <v>4</v>
      </c>
      <c r="M1268" s="7" t="n">
        <v>0</v>
      </c>
      <c r="N1268" s="7" t="n">
        <v>1</v>
      </c>
      <c r="O1268" s="7" t="n">
        <v>2</v>
      </c>
      <c r="P1268" s="8" t="n">
        <f aca="false">IF(E1268=0,0,G1268/E1268)</f>
        <v>0.25</v>
      </c>
      <c r="Q1268" s="8" t="n">
        <f aca="false">IF(E1268+N1268=0,0,(G1268+N1268)/(E1268+N1268))</f>
        <v>0.294117647058824</v>
      </c>
      <c r="R1268" s="8" t="n">
        <f aca="false">IF(E1268=0,0,L1268/E1268)</f>
        <v>0.25</v>
      </c>
      <c r="S1268" s="8" t="n">
        <f aca="false">R1268+Q1268</f>
        <v>0.544117647058824</v>
      </c>
      <c r="T1268" s="8" t="n">
        <f aca="false">R1268-P1268</f>
        <v>0</v>
      </c>
    </row>
    <row r="1269" customFormat="false" ht="14.25" hidden="false" customHeight="true" outlineLevel="0" collapsed="false">
      <c r="A1269" s="6" t="n">
        <v>2019</v>
      </c>
      <c r="B1269" s="6" t="s">
        <v>212</v>
      </c>
      <c r="C1269" s="6" t="s">
        <v>499</v>
      </c>
      <c r="D1269" s="7" t="n">
        <v>6</v>
      </c>
      <c r="E1269" s="7" t="n">
        <v>15</v>
      </c>
      <c r="F1269" s="7" t="n">
        <v>1</v>
      </c>
      <c r="G1269" s="7" t="n">
        <v>3</v>
      </c>
      <c r="H1269" s="7" t="n">
        <v>0</v>
      </c>
      <c r="I1269" s="7" t="n">
        <v>0</v>
      </c>
      <c r="J1269" s="7" t="n">
        <v>0</v>
      </c>
      <c r="K1269" s="7" t="n">
        <v>0</v>
      </c>
      <c r="L1269" s="7" t="n">
        <v>3</v>
      </c>
      <c r="M1269" s="7" t="n">
        <v>2</v>
      </c>
      <c r="N1269" s="7" t="n">
        <v>0</v>
      </c>
      <c r="O1269" s="7" t="n">
        <v>2</v>
      </c>
      <c r="P1269" s="8" t="n">
        <f aca="false">IF(E1269=0,0,G1269/E1269)</f>
        <v>0.2</v>
      </c>
      <c r="Q1269" s="8" t="n">
        <f aca="false">IF(E1269+N1269=0,0,(G1269+N1269)/(E1269+N1269))</f>
        <v>0.2</v>
      </c>
      <c r="R1269" s="8" t="n">
        <f aca="false">IF(E1269=0,0,L1269/E1269)</f>
        <v>0.2</v>
      </c>
      <c r="S1269" s="8" t="n">
        <f aca="false">R1269+Q1269</f>
        <v>0.4</v>
      </c>
      <c r="T1269" s="8" t="n">
        <f aca="false">R1269-P1269</f>
        <v>0</v>
      </c>
    </row>
    <row r="1270" customFormat="false" ht="14.25" hidden="false" customHeight="true" outlineLevel="0" collapsed="false">
      <c r="A1270" s="6" t="n">
        <v>2019</v>
      </c>
      <c r="B1270" s="6" t="s">
        <v>212</v>
      </c>
      <c r="C1270" s="6" t="s">
        <v>500</v>
      </c>
      <c r="D1270" s="7" t="n">
        <v>4</v>
      </c>
      <c r="E1270" s="7" t="n">
        <v>9</v>
      </c>
      <c r="F1270" s="7" t="n">
        <v>1</v>
      </c>
      <c r="G1270" s="7" t="n">
        <v>3</v>
      </c>
      <c r="H1270" s="7" t="n">
        <v>0</v>
      </c>
      <c r="I1270" s="7" t="n">
        <v>0</v>
      </c>
      <c r="J1270" s="7" t="n">
        <v>0</v>
      </c>
      <c r="K1270" s="7" t="n">
        <v>0</v>
      </c>
      <c r="L1270" s="7" t="n">
        <v>3</v>
      </c>
      <c r="M1270" s="7" t="n">
        <v>1</v>
      </c>
      <c r="N1270" s="7" t="n">
        <v>0</v>
      </c>
      <c r="O1270" s="7" t="n">
        <v>2</v>
      </c>
      <c r="P1270" s="8" t="n">
        <f aca="false">IF(E1270=0,0,G1270/E1270)</f>
        <v>0.333333333333333</v>
      </c>
      <c r="Q1270" s="8" t="n">
        <f aca="false">IF(E1270+N1270=0,0,(G1270+N1270)/(E1270+N1270))</f>
        <v>0.333333333333333</v>
      </c>
      <c r="R1270" s="8" t="n">
        <f aca="false">IF(E1270=0,0,L1270/E1270)</f>
        <v>0.333333333333333</v>
      </c>
      <c r="S1270" s="8" t="n">
        <f aca="false">R1270+Q1270</f>
        <v>0.666666666666667</v>
      </c>
      <c r="T1270" s="8" t="n">
        <f aca="false">R1270-P1270</f>
        <v>0</v>
      </c>
    </row>
    <row r="1271" customFormat="false" ht="14.25" hidden="false" customHeight="true" outlineLevel="0" collapsed="false">
      <c r="A1271" s="6" t="n">
        <v>2019</v>
      </c>
      <c r="B1271" s="6" t="s">
        <v>212</v>
      </c>
      <c r="C1271" s="6" t="s">
        <v>362</v>
      </c>
      <c r="D1271" s="7" t="n">
        <v>7</v>
      </c>
      <c r="E1271" s="7" t="n">
        <v>16</v>
      </c>
      <c r="F1271" s="7" t="n">
        <v>0</v>
      </c>
      <c r="G1271" s="7" t="n">
        <v>3</v>
      </c>
      <c r="H1271" s="7" t="n">
        <v>0</v>
      </c>
      <c r="I1271" s="7" t="n">
        <v>0</v>
      </c>
      <c r="J1271" s="7" t="n">
        <v>0</v>
      </c>
      <c r="K1271" s="7" t="n">
        <v>0</v>
      </c>
      <c r="L1271" s="7" t="n">
        <v>3</v>
      </c>
      <c r="M1271" s="7" t="n">
        <v>0</v>
      </c>
      <c r="N1271" s="7" t="n">
        <v>0</v>
      </c>
      <c r="O1271" s="7" t="n">
        <v>0</v>
      </c>
      <c r="P1271" s="8" t="n">
        <f aca="false">IF(E1271=0,0,G1271/E1271)</f>
        <v>0.1875</v>
      </c>
      <c r="Q1271" s="8" t="n">
        <f aca="false">IF(E1271+N1271=0,0,(G1271+N1271)/(E1271+N1271))</f>
        <v>0.1875</v>
      </c>
      <c r="R1271" s="8" t="n">
        <f aca="false">IF(E1271=0,0,L1271/E1271)</f>
        <v>0.1875</v>
      </c>
      <c r="S1271" s="8" t="n">
        <f aca="false">R1271+Q1271</f>
        <v>0.375</v>
      </c>
      <c r="T1271" s="8" t="n">
        <f aca="false">R1271-P1271</f>
        <v>0</v>
      </c>
    </row>
    <row r="1272" customFormat="false" ht="14.25" hidden="false" customHeight="true" outlineLevel="0" collapsed="false">
      <c r="A1272" s="6" t="n">
        <v>2019</v>
      </c>
      <c r="B1272" s="6" t="s">
        <v>212</v>
      </c>
      <c r="C1272" s="6" t="s">
        <v>325</v>
      </c>
      <c r="D1272" s="7" t="n">
        <v>3</v>
      </c>
      <c r="E1272" s="7" t="n">
        <v>8</v>
      </c>
      <c r="F1272" s="7" t="n">
        <v>0</v>
      </c>
      <c r="G1272" s="7" t="n">
        <v>1</v>
      </c>
      <c r="H1272" s="7" t="n">
        <v>1</v>
      </c>
      <c r="I1272" s="7" t="n">
        <v>0</v>
      </c>
      <c r="J1272" s="7" t="n">
        <v>0</v>
      </c>
      <c r="K1272" s="7" t="n">
        <v>1</v>
      </c>
      <c r="L1272" s="7" t="n">
        <v>2</v>
      </c>
      <c r="M1272" s="7" t="n">
        <v>0</v>
      </c>
      <c r="N1272" s="7" t="n">
        <v>0</v>
      </c>
      <c r="O1272" s="7" t="n">
        <v>0</v>
      </c>
      <c r="P1272" s="8" t="n">
        <f aca="false">IF(E1272=0,0,G1272/E1272)</f>
        <v>0.125</v>
      </c>
      <c r="Q1272" s="8" t="n">
        <f aca="false">IF(E1272+N1272=0,0,(G1272+N1272)/(E1272+N1272))</f>
        <v>0.125</v>
      </c>
      <c r="R1272" s="8" t="n">
        <f aca="false">IF(E1272=0,0,L1272/E1272)</f>
        <v>0.25</v>
      </c>
      <c r="S1272" s="8" t="n">
        <f aca="false">R1272+Q1272</f>
        <v>0.375</v>
      </c>
      <c r="T1272" s="8" t="n">
        <f aca="false">R1272-P1272</f>
        <v>0.125</v>
      </c>
    </row>
    <row r="1273" customFormat="false" ht="14.25" hidden="false" customHeight="true" outlineLevel="0" collapsed="false">
      <c r="A1273" s="6" t="n">
        <v>2019</v>
      </c>
      <c r="B1273" s="6" t="s">
        <v>212</v>
      </c>
      <c r="C1273" s="6" t="s">
        <v>231</v>
      </c>
      <c r="D1273" s="7" t="n">
        <v>6</v>
      </c>
      <c r="E1273" s="7" t="n">
        <v>15</v>
      </c>
      <c r="F1273" s="7" t="n">
        <v>1</v>
      </c>
      <c r="G1273" s="7" t="n">
        <v>1</v>
      </c>
      <c r="H1273" s="7" t="n">
        <v>0</v>
      </c>
      <c r="I1273" s="7" t="n">
        <v>0</v>
      </c>
      <c r="J1273" s="7" t="n">
        <v>0</v>
      </c>
      <c r="K1273" s="7" t="n">
        <v>0</v>
      </c>
      <c r="L1273" s="7" t="n">
        <v>1</v>
      </c>
      <c r="M1273" s="7" t="n">
        <v>0</v>
      </c>
      <c r="N1273" s="7" t="n">
        <v>0</v>
      </c>
      <c r="O1273" s="7" t="n">
        <v>5</v>
      </c>
      <c r="P1273" s="8" t="n">
        <f aca="false">IF(E1273=0,0,G1273/E1273)</f>
        <v>0.0666666666666667</v>
      </c>
      <c r="Q1273" s="8" t="n">
        <f aca="false">IF(E1273+N1273=0,0,(G1273+N1273)/(E1273+N1273))</f>
        <v>0.0666666666666667</v>
      </c>
      <c r="R1273" s="8" t="n">
        <f aca="false">IF(E1273=0,0,L1273/E1273)</f>
        <v>0.0666666666666667</v>
      </c>
      <c r="S1273" s="8" t="n">
        <f aca="false">R1273+Q1273</f>
        <v>0.133333333333333</v>
      </c>
      <c r="T1273" s="8" t="n">
        <f aca="false">R1273-P1273</f>
        <v>0</v>
      </c>
    </row>
    <row r="1274" customFormat="false" ht="14.25" hidden="false" customHeight="true" outlineLevel="0" collapsed="false">
      <c r="A1274" s="6" t="n">
        <v>2019</v>
      </c>
      <c r="B1274" s="6" t="s">
        <v>212</v>
      </c>
      <c r="C1274" s="6" t="s">
        <v>501</v>
      </c>
      <c r="D1274" s="7" t="n">
        <v>1</v>
      </c>
      <c r="E1274" s="7" t="n">
        <v>3</v>
      </c>
      <c r="F1274" s="7" t="n">
        <v>0</v>
      </c>
      <c r="G1274" s="7" t="n">
        <v>1</v>
      </c>
      <c r="H1274" s="7" t="n">
        <v>0</v>
      </c>
      <c r="I1274" s="7" t="n">
        <v>0</v>
      </c>
      <c r="J1274" s="7" t="n">
        <v>0</v>
      </c>
      <c r="K1274" s="7" t="n">
        <v>0</v>
      </c>
      <c r="L1274" s="7" t="n">
        <v>1</v>
      </c>
      <c r="M1274" s="7" t="n">
        <v>0</v>
      </c>
      <c r="N1274" s="7" t="n">
        <v>0</v>
      </c>
      <c r="O1274" s="7" t="n">
        <v>0</v>
      </c>
      <c r="P1274" s="8" t="n">
        <f aca="false">IF(E1274=0,0,G1274/E1274)</f>
        <v>0.333333333333333</v>
      </c>
      <c r="Q1274" s="8" t="n">
        <f aca="false">IF(E1274+N1274=0,0,(G1274+N1274)/(E1274+N1274))</f>
        <v>0.333333333333333</v>
      </c>
      <c r="R1274" s="8" t="n">
        <f aca="false">IF(E1274=0,0,L1274/E1274)</f>
        <v>0.333333333333333</v>
      </c>
      <c r="S1274" s="8" t="n">
        <f aca="false">R1274+Q1274</f>
        <v>0.666666666666667</v>
      </c>
      <c r="T1274" s="8" t="n">
        <f aca="false">R1274-P1274</f>
        <v>0</v>
      </c>
    </row>
    <row r="1275" customFormat="false" ht="14.25" hidden="false" customHeight="true" outlineLevel="0" collapsed="false">
      <c r="A1275" s="6" t="n">
        <v>2019</v>
      </c>
      <c r="B1275" s="6" t="s">
        <v>212</v>
      </c>
      <c r="C1275" s="6" t="s">
        <v>502</v>
      </c>
      <c r="D1275" s="7" t="n">
        <v>1</v>
      </c>
      <c r="E1275" s="7" t="n">
        <v>3</v>
      </c>
      <c r="F1275" s="7" t="n">
        <v>0</v>
      </c>
      <c r="G1275" s="7" t="n">
        <v>1</v>
      </c>
      <c r="H1275" s="7" t="n">
        <v>0</v>
      </c>
      <c r="I1275" s="7" t="n">
        <v>0</v>
      </c>
      <c r="J1275" s="7" t="n">
        <v>0</v>
      </c>
      <c r="K1275" s="7" t="n">
        <v>0</v>
      </c>
      <c r="L1275" s="7" t="n">
        <v>1</v>
      </c>
      <c r="M1275" s="7" t="n">
        <v>0</v>
      </c>
      <c r="N1275" s="7" t="n">
        <v>0</v>
      </c>
      <c r="O1275" s="7" t="n">
        <v>0</v>
      </c>
      <c r="P1275" s="8" t="n">
        <f aca="false">IF(E1275=0,0,G1275/E1275)</f>
        <v>0.333333333333333</v>
      </c>
      <c r="Q1275" s="8" t="n">
        <f aca="false">IF(E1275+N1275=0,0,(G1275+N1275)/(E1275+N1275))</f>
        <v>0.333333333333333</v>
      </c>
      <c r="R1275" s="8" t="n">
        <f aca="false">IF(E1275=0,0,L1275/E1275)</f>
        <v>0.333333333333333</v>
      </c>
      <c r="S1275" s="8" t="n">
        <f aca="false">R1275+Q1275</f>
        <v>0.666666666666667</v>
      </c>
      <c r="T1275" s="8" t="n">
        <f aca="false">R1275-P1275</f>
        <v>0</v>
      </c>
    </row>
    <row r="1276" customFormat="false" ht="14.25" hidden="false" customHeight="true" outlineLevel="0" collapsed="false">
      <c r="A1276" s="6" t="n">
        <v>2019</v>
      </c>
      <c r="B1276" s="6" t="s">
        <v>212</v>
      </c>
      <c r="C1276" s="6" t="s">
        <v>408</v>
      </c>
      <c r="D1276" s="7" t="n">
        <v>1</v>
      </c>
      <c r="E1276" s="7" t="n">
        <v>3</v>
      </c>
      <c r="F1276" s="7" t="n">
        <v>1</v>
      </c>
      <c r="G1276" s="7" t="n">
        <v>1</v>
      </c>
      <c r="H1276" s="7" t="n">
        <v>0</v>
      </c>
      <c r="I1276" s="7" t="n">
        <v>0</v>
      </c>
      <c r="J1276" s="7" t="n">
        <v>0</v>
      </c>
      <c r="K1276" s="7" t="n">
        <v>0</v>
      </c>
      <c r="L1276" s="7" t="n">
        <v>1</v>
      </c>
      <c r="M1276" s="7" t="n">
        <v>0</v>
      </c>
      <c r="N1276" s="7" t="n">
        <v>0</v>
      </c>
      <c r="O1276" s="7" t="n">
        <v>0</v>
      </c>
      <c r="P1276" s="8" t="n">
        <f aca="false">IF(E1276=0,0,G1276/E1276)</f>
        <v>0.333333333333333</v>
      </c>
      <c r="Q1276" s="8" t="n">
        <f aca="false">IF(E1276+N1276=0,0,(G1276+N1276)/(E1276+N1276))</f>
        <v>0.333333333333333</v>
      </c>
      <c r="R1276" s="8" t="n">
        <f aca="false">IF(E1276=0,0,L1276/E1276)</f>
        <v>0.333333333333333</v>
      </c>
      <c r="S1276" s="8" t="n">
        <f aca="false">R1276+Q1276</f>
        <v>0.666666666666667</v>
      </c>
      <c r="T1276" s="8" t="n">
        <f aca="false">R1276-P1276</f>
        <v>0</v>
      </c>
    </row>
    <row r="1277" customFormat="false" ht="14.25" hidden="false" customHeight="true" outlineLevel="0" collapsed="false">
      <c r="A1277" s="6" t="n">
        <v>2019</v>
      </c>
      <c r="B1277" s="6" t="s">
        <v>212</v>
      </c>
      <c r="C1277" s="6" t="s">
        <v>503</v>
      </c>
      <c r="D1277" s="7" t="n">
        <v>1</v>
      </c>
      <c r="E1277" s="7" t="n">
        <v>3</v>
      </c>
      <c r="F1277" s="7" t="n">
        <v>0</v>
      </c>
      <c r="G1277" s="7" t="n">
        <v>1</v>
      </c>
      <c r="H1277" s="7" t="n">
        <v>0</v>
      </c>
      <c r="I1277" s="7" t="n">
        <v>0</v>
      </c>
      <c r="J1277" s="7" t="n">
        <v>0</v>
      </c>
      <c r="K1277" s="7" t="n">
        <v>0</v>
      </c>
      <c r="L1277" s="7" t="n">
        <v>1</v>
      </c>
      <c r="M1277" s="7" t="n">
        <v>0</v>
      </c>
      <c r="N1277" s="7" t="n">
        <v>0</v>
      </c>
      <c r="O1277" s="7" t="n">
        <v>0</v>
      </c>
      <c r="P1277" s="8" t="n">
        <f aca="false">IF(E1277=0,0,G1277/E1277)</f>
        <v>0.333333333333333</v>
      </c>
      <c r="Q1277" s="8" t="n">
        <f aca="false">IF(E1277+N1277=0,0,(G1277+N1277)/(E1277+N1277))</f>
        <v>0.333333333333333</v>
      </c>
      <c r="R1277" s="8" t="n">
        <f aca="false">IF(E1277=0,0,L1277/E1277)</f>
        <v>0.333333333333333</v>
      </c>
      <c r="S1277" s="8" t="n">
        <f aca="false">R1277+Q1277</f>
        <v>0.666666666666667</v>
      </c>
      <c r="T1277" s="8" t="n">
        <f aca="false">R1277-P1277</f>
        <v>0</v>
      </c>
    </row>
    <row r="1278" customFormat="false" ht="14.25" hidden="false" customHeight="true" outlineLevel="0" collapsed="false">
      <c r="A1278" s="6" t="n">
        <v>2019</v>
      </c>
      <c r="B1278" s="6" t="s">
        <v>212</v>
      </c>
      <c r="C1278" s="6" t="s">
        <v>504</v>
      </c>
      <c r="D1278" s="7" t="n">
        <v>1</v>
      </c>
      <c r="E1278" s="7" t="n">
        <v>3</v>
      </c>
      <c r="F1278" s="7" t="n">
        <v>0</v>
      </c>
      <c r="G1278" s="7" t="n">
        <v>0</v>
      </c>
      <c r="H1278" s="7" t="n">
        <v>0</v>
      </c>
      <c r="I1278" s="7" t="n">
        <v>0</v>
      </c>
      <c r="J1278" s="7" t="n">
        <v>0</v>
      </c>
      <c r="K1278" s="7" t="n">
        <v>0</v>
      </c>
      <c r="L1278" s="7" t="n">
        <v>0</v>
      </c>
      <c r="M1278" s="7" t="n">
        <v>1</v>
      </c>
      <c r="N1278" s="7" t="n">
        <v>0</v>
      </c>
      <c r="O1278" s="7" t="n">
        <v>1</v>
      </c>
      <c r="P1278" s="8" t="n">
        <f aca="false">IF(E1278=0,0,G1278/E1278)</f>
        <v>0</v>
      </c>
      <c r="Q1278" s="8" t="n">
        <f aca="false">IF(E1278+N1278=0,0,(G1278+N1278)/(E1278+N1278))</f>
        <v>0</v>
      </c>
      <c r="R1278" s="8" t="n">
        <f aca="false">IF(E1278=0,0,L1278/E1278)</f>
        <v>0</v>
      </c>
      <c r="S1278" s="8" t="n">
        <f aca="false">R1278+Q1278</f>
        <v>0</v>
      </c>
      <c r="T1278" s="8" t="n">
        <f aca="false">R1278-P1278</f>
        <v>0</v>
      </c>
    </row>
    <row r="1279" customFormat="false" ht="14.25" hidden="false" customHeight="true" outlineLevel="0" collapsed="false">
      <c r="A1279" s="6" t="n">
        <v>2019</v>
      </c>
      <c r="B1279" s="6" t="s">
        <v>212</v>
      </c>
      <c r="C1279" s="6" t="s">
        <v>460</v>
      </c>
      <c r="D1279" s="7" t="n">
        <v>1</v>
      </c>
      <c r="E1279" s="7" t="n">
        <v>2</v>
      </c>
      <c r="F1279" s="7" t="n">
        <v>0</v>
      </c>
      <c r="G1279" s="7" t="n">
        <v>0</v>
      </c>
      <c r="H1279" s="7" t="n">
        <v>0</v>
      </c>
      <c r="I1279" s="7" t="n">
        <v>0</v>
      </c>
      <c r="J1279" s="7" t="n">
        <v>0</v>
      </c>
      <c r="K1279" s="7" t="n">
        <v>0</v>
      </c>
      <c r="L1279" s="7" t="n">
        <v>0</v>
      </c>
      <c r="M1279" s="7" t="n">
        <v>0</v>
      </c>
      <c r="N1279" s="7" t="n">
        <v>0</v>
      </c>
      <c r="O1279" s="7" t="n">
        <v>1</v>
      </c>
      <c r="P1279" s="8" t="n">
        <f aca="false">IF(E1279=0,0,G1279/E1279)</f>
        <v>0</v>
      </c>
      <c r="Q1279" s="8" t="n">
        <f aca="false">IF(E1279+N1279=0,0,(G1279+N1279)/(E1279+N1279))</f>
        <v>0</v>
      </c>
      <c r="R1279" s="8" t="n">
        <f aca="false">IF(E1279=0,0,L1279/E1279)</f>
        <v>0</v>
      </c>
      <c r="S1279" s="8" t="n">
        <f aca="false">R1279+Q1279</f>
        <v>0</v>
      </c>
      <c r="T1279" s="8" t="n">
        <f aca="false">R1279-P1279</f>
        <v>0</v>
      </c>
    </row>
    <row r="1280" customFormat="false" ht="14.25" hidden="false" customHeight="true" outlineLevel="0" collapsed="false">
      <c r="A1280" s="6" t="n">
        <v>2019</v>
      </c>
      <c r="B1280" s="6" t="s">
        <v>212</v>
      </c>
      <c r="C1280" s="6" t="s">
        <v>224</v>
      </c>
      <c r="D1280" s="7" t="n">
        <v>2</v>
      </c>
      <c r="E1280" s="7" t="n">
        <v>6</v>
      </c>
      <c r="F1280" s="7" t="n">
        <v>0</v>
      </c>
      <c r="G1280" s="7" t="n">
        <v>0</v>
      </c>
      <c r="H1280" s="7" t="n">
        <v>0</v>
      </c>
      <c r="I1280" s="7" t="n">
        <v>0</v>
      </c>
      <c r="J1280" s="7" t="n">
        <v>0</v>
      </c>
      <c r="K1280" s="7" t="n">
        <v>0</v>
      </c>
      <c r="L1280" s="7" t="n">
        <v>0</v>
      </c>
      <c r="M1280" s="7" t="n">
        <v>0</v>
      </c>
      <c r="N1280" s="7" t="n">
        <v>0</v>
      </c>
      <c r="O1280" s="7" t="n">
        <v>0</v>
      </c>
      <c r="P1280" s="8" t="n">
        <f aca="false">IF(E1280=0,0,G1280/E1280)</f>
        <v>0</v>
      </c>
      <c r="Q1280" s="8" t="n">
        <f aca="false">IF(E1280+N1280=0,0,(G1280+N1280)/(E1280+N1280))</f>
        <v>0</v>
      </c>
      <c r="R1280" s="8" t="n">
        <f aca="false">IF(E1280=0,0,L1280/E1280)</f>
        <v>0</v>
      </c>
      <c r="S1280" s="8" t="n">
        <f aca="false">R1280+Q1280</f>
        <v>0</v>
      </c>
      <c r="T1280" s="8" t="n">
        <f aca="false">R1280-P1280</f>
        <v>0</v>
      </c>
    </row>
    <row r="1281" customFormat="false" ht="14.25" hidden="false" customHeight="true" outlineLevel="0" collapsed="false">
      <c r="A1281" s="6" t="n">
        <v>2019</v>
      </c>
      <c r="B1281" s="6" t="s">
        <v>212</v>
      </c>
      <c r="C1281" s="6" t="s">
        <v>365</v>
      </c>
      <c r="D1281" s="7" t="n">
        <v>1</v>
      </c>
      <c r="E1281" s="7" t="n">
        <v>3</v>
      </c>
      <c r="F1281" s="7" t="n">
        <v>0</v>
      </c>
      <c r="G1281" s="7" t="n">
        <v>0</v>
      </c>
      <c r="H1281" s="7" t="n">
        <v>0</v>
      </c>
      <c r="I1281" s="7" t="n">
        <v>0</v>
      </c>
      <c r="J1281" s="7" t="n">
        <v>0</v>
      </c>
      <c r="K1281" s="7" t="n">
        <v>0</v>
      </c>
      <c r="L1281" s="7" t="n">
        <v>0</v>
      </c>
      <c r="M1281" s="7" t="n">
        <v>0</v>
      </c>
      <c r="N1281" s="7" t="n">
        <v>0</v>
      </c>
      <c r="O1281" s="7" t="n">
        <v>0</v>
      </c>
      <c r="P1281" s="8" t="n">
        <f aca="false">IF(E1281=0,0,G1281/E1281)</f>
        <v>0</v>
      </c>
      <c r="Q1281" s="8" t="n">
        <f aca="false">IF(E1281+N1281=0,0,(G1281+N1281)/(E1281+N1281))</f>
        <v>0</v>
      </c>
      <c r="R1281" s="8" t="n">
        <f aca="false">IF(E1281=0,0,L1281/E1281)</f>
        <v>0</v>
      </c>
      <c r="S1281" s="8" t="n">
        <f aca="false">R1281+Q1281</f>
        <v>0</v>
      </c>
      <c r="T1281" s="8" t="n">
        <f aca="false">R1281-P1281</f>
        <v>0</v>
      </c>
    </row>
    <row r="1282" customFormat="false" ht="14.25" hidden="false" customHeight="true" outlineLevel="0" collapsed="false">
      <c r="A1282" s="6" t="n">
        <v>2019</v>
      </c>
      <c r="B1282" s="6" t="s">
        <v>212</v>
      </c>
      <c r="C1282" s="6" t="s">
        <v>505</v>
      </c>
      <c r="D1282" s="7" t="n">
        <v>1</v>
      </c>
      <c r="E1282" s="7" t="n">
        <v>2</v>
      </c>
      <c r="F1282" s="7" t="n">
        <v>0</v>
      </c>
      <c r="G1282" s="7" t="n">
        <v>0</v>
      </c>
      <c r="H1282" s="7" t="n">
        <v>0</v>
      </c>
      <c r="I1282" s="7" t="n">
        <v>0</v>
      </c>
      <c r="J1282" s="7" t="n">
        <v>0</v>
      </c>
      <c r="K1282" s="7" t="n">
        <v>0</v>
      </c>
      <c r="L1282" s="7" t="n">
        <v>0</v>
      </c>
      <c r="M1282" s="7" t="n">
        <v>0</v>
      </c>
      <c r="N1282" s="7" t="n">
        <v>0</v>
      </c>
      <c r="O1282" s="7" t="n">
        <v>0</v>
      </c>
      <c r="P1282" s="8" t="n">
        <f aca="false">IF(E1282=0,0,G1282/E1282)</f>
        <v>0</v>
      </c>
      <c r="Q1282" s="8" t="n">
        <f aca="false">IF(E1282+N1282=0,0,(G1282+N1282)/(E1282+N1282))</f>
        <v>0</v>
      </c>
      <c r="R1282" s="8" t="n">
        <f aca="false">IF(E1282=0,0,L1282/E1282)</f>
        <v>0</v>
      </c>
      <c r="S1282" s="8" t="n">
        <f aca="false">R1282+Q1282</f>
        <v>0</v>
      </c>
      <c r="T1282" s="8" t="n">
        <f aca="false">R1282-P1282</f>
        <v>0</v>
      </c>
    </row>
    <row r="1283" customFormat="false" ht="14.25" hidden="false" customHeight="true" outlineLevel="0" collapsed="false">
      <c r="A1283" s="6" t="n">
        <v>2019</v>
      </c>
      <c r="B1283" s="6" t="s">
        <v>212</v>
      </c>
      <c r="C1283" s="6" t="s">
        <v>215</v>
      </c>
      <c r="D1283" s="7" t="n">
        <v>1</v>
      </c>
      <c r="E1283" s="7" t="n">
        <v>2</v>
      </c>
      <c r="F1283" s="7" t="n">
        <v>0</v>
      </c>
      <c r="G1283" s="7" t="n">
        <v>0</v>
      </c>
      <c r="H1283" s="7" t="n">
        <v>0</v>
      </c>
      <c r="I1283" s="7" t="n">
        <v>0</v>
      </c>
      <c r="J1283" s="7" t="n">
        <v>0</v>
      </c>
      <c r="K1283" s="7" t="n">
        <v>0</v>
      </c>
      <c r="L1283" s="7" t="n">
        <v>0</v>
      </c>
      <c r="M1283" s="7" t="n">
        <v>0</v>
      </c>
      <c r="N1283" s="7" t="n">
        <v>0</v>
      </c>
      <c r="O1283" s="7" t="n">
        <v>0</v>
      </c>
      <c r="P1283" s="8" t="n">
        <f aca="false">IF(E1283=0,0,G1283/E1283)</f>
        <v>0</v>
      </c>
      <c r="Q1283" s="8" t="n">
        <f aca="false">IF(E1283+N1283=0,0,(G1283+N1283)/(E1283+N1283))</f>
        <v>0</v>
      </c>
      <c r="R1283" s="8" t="n">
        <f aca="false">IF(E1283=0,0,L1283/E1283)</f>
        <v>0</v>
      </c>
      <c r="S1283" s="8" t="n">
        <f aca="false">R1283+Q1283</f>
        <v>0</v>
      </c>
      <c r="T1283" s="8" t="n">
        <f aca="false">R1283-P1283</f>
        <v>0</v>
      </c>
    </row>
    <row r="1284" customFormat="false" ht="14.25" hidden="false" customHeight="true" outlineLevel="0" collapsed="false">
      <c r="A1284" s="6" t="n">
        <v>2018</v>
      </c>
      <c r="B1284" s="6" t="s">
        <v>50</v>
      </c>
      <c r="C1284" s="6" t="s">
        <v>64</v>
      </c>
      <c r="D1284" s="7" t="n">
        <v>10</v>
      </c>
      <c r="E1284" s="7" t="n">
        <v>25</v>
      </c>
      <c r="F1284" s="7" t="n">
        <v>10</v>
      </c>
      <c r="G1284" s="7" t="n">
        <v>10</v>
      </c>
      <c r="H1284" s="7" t="n">
        <v>0</v>
      </c>
      <c r="I1284" s="7" t="n">
        <v>0</v>
      </c>
      <c r="J1284" s="7" t="n">
        <v>5</v>
      </c>
      <c r="K1284" s="7" t="n">
        <v>5</v>
      </c>
      <c r="L1284" s="7" t="n">
        <v>25</v>
      </c>
      <c r="M1284" s="7" t="n">
        <v>6</v>
      </c>
      <c r="N1284" s="7" t="n">
        <v>9</v>
      </c>
      <c r="O1284" s="7" t="n">
        <v>1</v>
      </c>
      <c r="P1284" s="8" t="n">
        <f aca="false">IF(E1284=0,0,G1284/E1284)</f>
        <v>0.4</v>
      </c>
      <c r="Q1284" s="8" t="n">
        <f aca="false">IF(E1284+N1284=0,0,(G1284+N1284)/(E1284+N1284))</f>
        <v>0.558823529411765</v>
      </c>
      <c r="R1284" s="8" t="n">
        <f aca="false">IF(E1284=0,0,L1284/E1284)</f>
        <v>1</v>
      </c>
      <c r="S1284" s="8" t="n">
        <f aca="false">R1284+Q1284</f>
        <v>1.55882352941176</v>
      </c>
      <c r="T1284" s="8" t="n">
        <f aca="false">R1284-P1284</f>
        <v>0.6</v>
      </c>
    </row>
    <row r="1285" customFormat="false" ht="14.25" hidden="false" customHeight="true" outlineLevel="0" collapsed="false">
      <c r="A1285" s="6" t="n">
        <v>2018</v>
      </c>
      <c r="B1285" s="6" t="s">
        <v>50</v>
      </c>
      <c r="C1285" s="6" t="s">
        <v>69</v>
      </c>
      <c r="D1285" s="7" t="n">
        <v>8</v>
      </c>
      <c r="E1285" s="7" t="n">
        <v>22</v>
      </c>
      <c r="F1285" s="7" t="n">
        <v>6</v>
      </c>
      <c r="G1285" s="7" t="n">
        <v>7</v>
      </c>
      <c r="H1285" s="7" t="n">
        <v>0</v>
      </c>
      <c r="I1285" s="7" t="n">
        <v>0</v>
      </c>
      <c r="J1285" s="7" t="n">
        <v>2</v>
      </c>
      <c r="K1285" s="7" t="n">
        <v>2</v>
      </c>
      <c r="L1285" s="7" t="n">
        <v>13</v>
      </c>
      <c r="M1285" s="7" t="n">
        <v>8</v>
      </c>
      <c r="N1285" s="7" t="n">
        <v>5</v>
      </c>
      <c r="O1285" s="7" t="n">
        <v>0</v>
      </c>
      <c r="P1285" s="8" t="n">
        <f aca="false">IF(E1285=0,0,G1285/E1285)</f>
        <v>0.318181818181818</v>
      </c>
      <c r="Q1285" s="8" t="n">
        <f aca="false">IF(E1285+N1285=0,0,(G1285+N1285)/(E1285+N1285))</f>
        <v>0.444444444444444</v>
      </c>
      <c r="R1285" s="8" t="n">
        <f aca="false">IF(E1285=0,0,L1285/E1285)</f>
        <v>0.590909090909091</v>
      </c>
      <c r="S1285" s="8" t="n">
        <f aca="false">R1285+Q1285</f>
        <v>1.03535353535354</v>
      </c>
      <c r="T1285" s="8" t="n">
        <f aca="false">R1285-P1285</f>
        <v>0.272727272727273</v>
      </c>
    </row>
    <row r="1286" customFormat="false" ht="14.25" hidden="false" customHeight="true" outlineLevel="0" collapsed="false">
      <c r="A1286" s="6" t="n">
        <v>2018</v>
      </c>
      <c r="B1286" s="6" t="s">
        <v>50</v>
      </c>
      <c r="C1286" s="6" t="s">
        <v>52</v>
      </c>
      <c r="D1286" s="7" t="n">
        <v>8</v>
      </c>
      <c r="E1286" s="7" t="n">
        <v>23</v>
      </c>
      <c r="F1286" s="7" t="n">
        <v>4</v>
      </c>
      <c r="G1286" s="7" t="n">
        <v>7</v>
      </c>
      <c r="H1286" s="7" t="n">
        <v>1</v>
      </c>
      <c r="I1286" s="7" t="n">
        <v>0</v>
      </c>
      <c r="J1286" s="7" t="n">
        <v>1</v>
      </c>
      <c r="K1286" s="7" t="n">
        <v>2</v>
      </c>
      <c r="L1286" s="7" t="n">
        <v>11</v>
      </c>
      <c r="M1286" s="7" t="n">
        <v>4</v>
      </c>
      <c r="N1286" s="7" t="n">
        <v>3</v>
      </c>
      <c r="O1286" s="7" t="n">
        <v>1</v>
      </c>
      <c r="P1286" s="8" t="n">
        <f aca="false">IF(E1286=0,0,G1286/E1286)</f>
        <v>0.304347826086957</v>
      </c>
      <c r="Q1286" s="8" t="n">
        <f aca="false">IF(E1286+N1286=0,0,(G1286+N1286)/(E1286+N1286))</f>
        <v>0.384615384615385</v>
      </c>
      <c r="R1286" s="8" t="n">
        <f aca="false">IF(E1286=0,0,L1286/E1286)</f>
        <v>0.478260869565217</v>
      </c>
      <c r="S1286" s="8" t="n">
        <f aca="false">R1286+Q1286</f>
        <v>0.862876254180602</v>
      </c>
      <c r="T1286" s="8" t="n">
        <f aca="false">R1286-P1286</f>
        <v>0.173913043478261</v>
      </c>
    </row>
    <row r="1287" customFormat="false" ht="14.25" hidden="false" customHeight="true" outlineLevel="0" collapsed="false">
      <c r="A1287" s="6" t="n">
        <v>2018</v>
      </c>
      <c r="B1287" s="6" t="s">
        <v>50</v>
      </c>
      <c r="C1287" s="6" t="s">
        <v>240</v>
      </c>
      <c r="D1287" s="7" t="n">
        <v>8</v>
      </c>
      <c r="E1287" s="7" t="n">
        <v>26</v>
      </c>
      <c r="F1287" s="7" t="n">
        <v>4</v>
      </c>
      <c r="G1287" s="7" t="n">
        <v>7</v>
      </c>
      <c r="H1287" s="7" t="n">
        <v>0</v>
      </c>
      <c r="I1287" s="7" t="n">
        <v>0</v>
      </c>
      <c r="J1287" s="7" t="n">
        <v>0</v>
      </c>
      <c r="K1287" s="7" t="n">
        <v>0</v>
      </c>
      <c r="L1287" s="7" t="n">
        <v>7</v>
      </c>
      <c r="M1287" s="7" t="n">
        <v>2</v>
      </c>
      <c r="N1287" s="7" t="n">
        <v>1</v>
      </c>
      <c r="O1287" s="7" t="n">
        <v>4</v>
      </c>
      <c r="P1287" s="8" t="n">
        <f aca="false">IF(E1287=0,0,G1287/E1287)</f>
        <v>0.269230769230769</v>
      </c>
      <c r="Q1287" s="8" t="n">
        <f aca="false">IF(E1287+N1287=0,0,(G1287+N1287)/(E1287+N1287))</f>
        <v>0.296296296296296</v>
      </c>
      <c r="R1287" s="8" t="n">
        <f aca="false">IF(E1287=0,0,L1287/E1287)</f>
        <v>0.269230769230769</v>
      </c>
      <c r="S1287" s="8" t="n">
        <f aca="false">R1287+Q1287</f>
        <v>0.565527065527065</v>
      </c>
      <c r="T1287" s="8" t="n">
        <f aca="false">R1287-P1287</f>
        <v>0</v>
      </c>
    </row>
    <row r="1288" customFormat="false" ht="14.25" hidden="false" customHeight="true" outlineLevel="0" collapsed="false">
      <c r="A1288" s="6" t="n">
        <v>2018</v>
      </c>
      <c r="B1288" s="6" t="s">
        <v>50</v>
      </c>
      <c r="C1288" s="6" t="s">
        <v>56</v>
      </c>
      <c r="D1288" s="7" t="n">
        <v>9</v>
      </c>
      <c r="E1288" s="7" t="n">
        <v>22</v>
      </c>
      <c r="F1288" s="7" t="n">
        <v>3</v>
      </c>
      <c r="G1288" s="7" t="n">
        <v>7</v>
      </c>
      <c r="H1288" s="7" t="n">
        <v>1</v>
      </c>
      <c r="I1288" s="7" t="n">
        <v>0</v>
      </c>
      <c r="J1288" s="7" t="n">
        <v>1</v>
      </c>
      <c r="K1288" s="7" t="n">
        <v>2</v>
      </c>
      <c r="L1288" s="7" t="n">
        <v>11</v>
      </c>
      <c r="M1288" s="7" t="n">
        <v>5</v>
      </c>
      <c r="N1288" s="7" t="n">
        <v>6</v>
      </c>
      <c r="O1288" s="7" t="n">
        <v>0</v>
      </c>
      <c r="P1288" s="8" t="n">
        <f aca="false">IF(E1288=0,0,G1288/E1288)</f>
        <v>0.318181818181818</v>
      </c>
      <c r="Q1288" s="8" t="n">
        <f aca="false">IF(E1288+N1288=0,0,(G1288+N1288)/(E1288+N1288))</f>
        <v>0.464285714285714</v>
      </c>
      <c r="R1288" s="8" t="n">
        <f aca="false">IF(E1288=0,0,L1288/E1288)</f>
        <v>0.5</v>
      </c>
      <c r="S1288" s="8" t="n">
        <f aca="false">R1288+Q1288</f>
        <v>0.964285714285714</v>
      </c>
      <c r="T1288" s="8" t="n">
        <f aca="false">R1288-P1288</f>
        <v>0.181818181818182</v>
      </c>
    </row>
    <row r="1289" customFormat="false" ht="14.25" hidden="false" customHeight="true" outlineLevel="0" collapsed="false">
      <c r="A1289" s="6" t="n">
        <v>2018</v>
      </c>
      <c r="B1289" s="6" t="s">
        <v>50</v>
      </c>
      <c r="C1289" s="6" t="s">
        <v>417</v>
      </c>
      <c r="D1289" s="7" t="n">
        <v>5</v>
      </c>
      <c r="E1289" s="7" t="n">
        <v>14</v>
      </c>
      <c r="F1289" s="7" t="n">
        <v>1</v>
      </c>
      <c r="G1289" s="7" t="n">
        <v>5</v>
      </c>
      <c r="H1289" s="7" t="n">
        <v>0</v>
      </c>
      <c r="I1289" s="7" t="n">
        <v>0</v>
      </c>
      <c r="J1289" s="7" t="n">
        <v>0</v>
      </c>
      <c r="K1289" s="7" t="n">
        <v>0</v>
      </c>
      <c r="L1289" s="7" t="n">
        <v>5</v>
      </c>
      <c r="M1289" s="7" t="n">
        <v>3</v>
      </c>
      <c r="N1289" s="7" t="n">
        <v>1</v>
      </c>
      <c r="O1289" s="7" t="n">
        <v>1</v>
      </c>
      <c r="P1289" s="8" t="n">
        <f aca="false">IF(E1289=0,0,G1289/E1289)</f>
        <v>0.357142857142857</v>
      </c>
      <c r="Q1289" s="8" t="n">
        <f aca="false">IF(E1289+N1289=0,0,(G1289+N1289)/(E1289+N1289))</f>
        <v>0.4</v>
      </c>
      <c r="R1289" s="8" t="n">
        <f aca="false">IF(E1289=0,0,L1289/E1289)</f>
        <v>0.357142857142857</v>
      </c>
      <c r="S1289" s="8" t="n">
        <f aca="false">R1289+Q1289</f>
        <v>0.757142857142857</v>
      </c>
      <c r="T1289" s="8" t="n">
        <f aca="false">R1289-P1289</f>
        <v>0</v>
      </c>
    </row>
    <row r="1290" customFormat="false" ht="14.25" hidden="false" customHeight="true" outlineLevel="0" collapsed="false">
      <c r="A1290" s="6" t="n">
        <v>2018</v>
      </c>
      <c r="B1290" s="6" t="s">
        <v>50</v>
      </c>
      <c r="C1290" s="6" t="s">
        <v>66</v>
      </c>
      <c r="D1290" s="7" t="n">
        <v>8</v>
      </c>
      <c r="E1290" s="7" t="n">
        <v>24</v>
      </c>
      <c r="F1290" s="7" t="n">
        <v>1</v>
      </c>
      <c r="G1290" s="7" t="n">
        <v>5</v>
      </c>
      <c r="H1290" s="7" t="n">
        <v>0</v>
      </c>
      <c r="I1290" s="7" t="n">
        <v>0</v>
      </c>
      <c r="J1290" s="7" t="n">
        <v>0</v>
      </c>
      <c r="K1290" s="7" t="n">
        <v>0</v>
      </c>
      <c r="L1290" s="7" t="n">
        <v>5</v>
      </c>
      <c r="M1290" s="7" t="n">
        <v>1</v>
      </c>
      <c r="N1290" s="7" t="n">
        <v>1</v>
      </c>
      <c r="O1290" s="7" t="n">
        <v>2</v>
      </c>
      <c r="P1290" s="8" t="n">
        <f aca="false">IF(E1290=0,0,G1290/E1290)</f>
        <v>0.208333333333333</v>
      </c>
      <c r="Q1290" s="8" t="n">
        <f aca="false">IF(E1290+N1290=0,0,(G1290+N1290)/(E1290+N1290))</f>
        <v>0.24</v>
      </c>
      <c r="R1290" s="8" t="n">
        <f aca="false">IF(E1290=0,0,L1290/E1290)</f>
        <v>0.208333333333333</v>
      </c>
      <c r="S1290" s="8" t="n">
        <f aca="false">R1290+Q1290</f>
        <v>0.448333333333333</v>
      </c>
      <c r="T1290" s="8" t="n">
        <f aca="false">R1290-P1290</f>
        <v>0</v>
      </c>
    </row>
    <row r="1291" customFormat="false" ht="14.25" hidden="false" customHeight="true" outlineLevel="0" collapsed="false">
      <c r="A1291" s="6" t="n">
        <v>2018</v>
      </c>
      <c r="B1291" s="6" t="s">
        <v>50</v>
      </c>
      <c r="C1291" s="6" t="s">
        <v>62</v>
      </c>
      <c r="D1291" s="7" t="n">
        <v>8</v>
      </c>
      <c r="E1291" s="7" t="n">
        <v>23</v>
      </c>
      <c r="F1291" s="7" t="n">
        <v>5</v>
      </c>
      <c r="G1291" s="7" t="n">
        <v>3</v>
      </c>
      <c r="H1291" s="7" t="n">
        <v>1</v>
      </c>
      <c r="I1291" s="7" t="n">
        <v>0</v>
      </c>
      <c r="J1291" s="7" t="n">
        <v>0</v>
      </c>
      <c r="K1291" s="7" t="n">
        <v>1</v>
      </c>
      <c r="L1291" s="7" t="n">
        <v>4</v>
      </c>
      <c r="M1291" s="7" t="n">
        <v>2</v>
      </c>
      <c r="N1291" s="7" t="n">
        <v>4</v>
      </c>
      <c r="O1291" s="7" t="n">
        <v>3</v>
      </c>
      <c r="P1291" s="8" t="n">
        <f aca="false">IF(E1291=0,0,G1291/E1291)</f>
        <v>0.130434782608696</v>
      </c>
      <c r="Q1291" s="8" t="n">
        <f aca="false">IF(E1291+N1291=0,0,(G1291+N1291)/(E1291+N1291))</f>
        <v>0.259259259259259</v>
      </c>
      <c r="R1291" s="8" t="n">
        <f aca="false">IF(E1291=0,0,L1291/E1291)</f>
        <v>0.173913043478261</v>
      </c>
      <c r="S1291" s="8" t="n">
        <f aca="false">R1291+Q1291</f>
        <v>0.43317230273752</v>
      </c>
      <c r="T1291" s="8" t="n">
        <f aca="false">R1291-P1291</f>
        <v>0.0434782608695652</v>
      </c>
    </row>
    <row r="1292" customFormat="false" ht="14.25" hidden="false" customHeight="true" outlineLevel="0" collapsed="false">
      <c r="A1292" s="6" t="n">
        <v>2018</v>
      </c>
      <c r="B1292" s="6" t="s">
        <v>50</v>
      </c>
      <c r="C1292" s="6" t="s">
        <v>67</v>
      </c>
      <c r="D1292" s="7" t="n">
        <v>8</v>
      </c>
      <c r="E1292" s="7" t="n">
        <v>14</v>
      </c>
      <c r="F1292" s="7" t="n">
        <v>1</v>
      </c>
      <c r="G1292" s="7" t="n">
        <v>2</v>
      </c>
      <c r="H1292" s="7" t="n">
        <v>0</v>
      </c>
      <c r="I1292" s="7" t="n">
        <v>0</v>
      </c>
      <c r="J1292" s="7" t="n">
        <v>0</v>
      </c>
      <c r="K1292" s="7" t="n">
        <v>0</v>
      </c>
      <c r="L1292" s="7" t="n">
        <v>2</v>
      </c>
      <c r="M1292" s="7" t="n">
        <v>1</v>
      </c>
      <c r="N1292" s="7" t="n">
        <v>9</v>
      </c>
      <c r="O1292" s="7" t="n">
        <v>2</v>
      </c>
      <c r="P1292" s="8" t="n">
        <f aca="false">IF(E1292=0,0,G1292/E1292)</f>
        <v>0.142857142857143</v>
      </c>
      <c r="Q1292" s="8" t="n">
        <f aca="false">IF(E1292+N1292=0,0,(G1292+N1292)/(E1292+N1292))</f>
        <v>0.478260869565217</v>
      </c>
      <c r="R1292" s="8" t="n">
        <f aca="false">IF(E1292=0,0,L1292/E1292)</f>
        <v>0.142857142857143</v>
      </c>
      <c r="S1292" s="8" t="n">
        <f aca="false">R1292+Q1292</f>
        <v>0.62111801242236</v>
      </c>
      <c r="T1292" s="8" t="n">
        <f aca="false">R1292-P1292</f>
        <v>0</v>
      </c>
    </row>
    <row r="1293" customFormat="false" ht="14.25" hidden="false" customHeight="true" outlineLevel="0" collapsed="false">
      <c r="A1293" s="6" t="n">
        <v>2018</v>
      </c>
      <c r="B1293" s="6" t="s">
        <v>50</v>
      </c>
      <c r="C1293" s="6" t="s">
        <v>53</v>
      </c>
      <c r="D1293" s="7" t="n">
        <v>6</v>
      </c>
      <c r="E1293" s="7" t="n">
        <v>15</v>
      </c>
      <c r="F1293" s="7" t="n">
        <v>2</v>
      </c>
      <c r="G1293" s="7" t="n">
        <v>2</v>
      </c>
      <c r="H1293" s="7" t="n">
        <v>0</v>
      </c>
      <c r="I1293" s="7" t="n">
        <v>0</v>
      </c>
      <c r="J1293" s="7" t="n">
        <v>0</v>
      </c>
      <c r="K1293" s="7" t="n">
        <v>0</v>
      </c>
      <c r="L1293" s="7" t="n">
        <v>2</v>
      </c>
      <c r="M1293" s="7" t="n">
        <v>3</v>
      </c>
      <c r="N1293" s="7" t="n">
        <v>5</v>
      </c>
      <c r="O1293" s="7" t="n">
        <v>1</v>
      </c>
      <c r="P1293" s="8" t="n">
        <f aca="false">IF(E1293=0,0,G1293/E1293)</f>
        <v>0.133333333333333</v>
      </c>
      <c r="Q1293" s="8" t="n">
        <f aca="false">IF(E1293+N1293=0,0,(G1293+N1293)/(E1293+N1293))</f>
        <v>0.35</v>
      </c>
      <c r="R1293" s="8" t="n">
        <f aca="false">IF(E1293=0,0,L1293/E1293)</f>
        <v>0.133333333333333</v>
      </c>
      <c r="S1293" s="8" t="n">
        <f aca="false">R1293+Q1293</f>
        <v>0.483333333333333</v>
      </c>
      <c r="T1293" s="8" t="n">
        <f aca="false">R1293-P1293</f>
        <v>0</v>
      </c>
    </row>
    <row r="1294" customFormat="false" ht="14.25" hidden="false" customHeight="true" outlineLevel="0" collapsed="false">
      <c r="A1294" s="6" t="n">
        <v>2018</v>
      </c>
      <c r="B1294" s="6" t="s">
        <v>50</v>
      </c>
      <c r="C1294" s="6" t="s">
        <v>51</v>
      </c>
      <c r="D1294" s="7" t="n">
        <v>5</v>
      </c>
      <c r="E1294" s="7" t="n">
        <v>9</v>
      </c>
      <c r="F1294" s="7" t="n">
        <v>1</v>
      </c>
      <c r="G1294" s="7" t="n">
        <v>2</v>
      </c>
      <c r="H1294" s="7" t="n">
        <v>1</v>
      </c>
      <c r="I1294" s="7" t="n">
        <v>0</v>
      </c>
      <c r="J1294" s="7" t="n">
        <v>0</v>
      </c>
      <c r="K1294" s="7" t="n">
        <v>1</v>
      </c>
      <c r="L1294" s="7" t="n">
        <v>3</v>
      </c>
      <c r="M1294" s="7" t="n">
        <v>2</v>
      </c>
      <c r="N1294" s="7" t="n">
        <v>3</v>
      </c>
      <c r="O1294" s="7" t="n">
        <v>0</v>
      </c>
      <c r="P1294" s="8" t="n">
        <f aca="false">IF(E1294=0,0,G1294/E1294)</f>
        <v>0.222222222222222</v>
      </c>
      <c r="Q1294" s="8" t="n">
        <f aca="false">IF(E1294+N1294=0,0,(G1294+N1294)/(E1294+N1294))</f>
        <v>0.416666666666667</v>
      </c>
      <c r="R1294" s="8" t="n">
        <f aca="false">IF(E1294=0,0,L1294/E1294)</f>
        <v>0.333333333333333</v>
      </c>
      <c r="S1294" s="8" t="n">
        <f aca="false">R1294+Q1294</f>
        <v>0.75</v>
      </c>
      <c r="T1294" s="8" t="n">
        <f aca="false">R1294-P1294</f>
        <v>0.111111111111111</v>
      </c>
    </row>
    <row r="1295" customFormat="false" ht="14.25" hidden="false" customHeight="true" outlineLevel="0" collapsed="false">
      <c r="A1295" s="6" t="n">
        <v>2018</v>
      </c>
      <c r="B1295" s="6" t="s">
        <v>50</v>
      </c>
      <c r="C1295" s="6" t="s">
        <v>60</v>
      </c>
      <c r="D1295" s="7" t="n">
        <v>2</v>
      </c>
      <c r="E1295" s="7" t="n">
        <v>5</v>
      </c>
      <c r="F1295" s="7" t="n">
        <v>1</v>
      </c>
      <c r="G1295" s="7" t="n">
        <v>1</v>
      </c>
      <c r="H1295" s="7" t="n">
        <v>1</v>
      </c>
      <c r="I1295" s="7" t="n">
        <v>0</v>
      </c>
      <c r="J1295" s="7" t="n">
        <v>0</v>
      </c>
      <c r="K1295" s="7" t="n">
        <v>1</v>
      </c>
      <c r="L1295" s="7" t="n">
        <v>2</v>
      </c>
      <c r="M1295" s="7" t="n">
        <v>0</v>
      </c>
      <c r="N1295" s="7" t="n">
        <v>1</v>
      </c>
      <c r="O1295" s="7" t="n">
        <v>1</v>
      </c>
      <c r="P1295" s="8" t="n">
        <f aca="false">IF(E1295=0,0,G1295/E1295)</f>
        <v>0.2</v>
      </c>
      <c r="Q1295" s="8" t="n">
        <f aca="false">IF(E1295+N1295=0,0,(G1295+N1295)/(E1295+N1295))</f>
        <v>0.333333333333333</v>
      </c>
      <c r="R1295" s="8" t="n">
        <f aca="false">IF(E1295=0,0,L1295/E1295)</f>
        <v>0.4</v>
      </c>
      <c r="S1295" s="8" t="n">
        <f aca="false">R1295+Q1295</f>
        <v>0.733333333333333</v>
      </c>
      <c r="T1295" s="8" t="n">
        <f aca="false">R1295-P1295</f>
        <v>0.2</v>
      </c>
    </row>
    <row r="1296" customFormat="false" ht="14.25" hidden="false" customHeight="true" outlineLevel="0" collapsed="false">
      <c r="A1296" s="6" t="n">
        <v>2018</v>
      </c>
      <c r="B1296" s="6" t="s">
        <v>50</v>
      </c>
      <c r="C1296" s="6" t="s">
        <v>457</v>
      </c>
      <c r="D1296" s="7" t="n">
        <v>1</v>
      </c>
      <c r="E1296" s="7" t="n">
        <v>3</v>
      </c>
      <c r="F1296" s="7" t="n">
        <v>0</v>
      </c>
      <c r="G1296" s="7" t="n">
        <v>1</v>
      </c>
      <c r="H1296" s="7" t="n">
        <v>0</v>
      </c>
      <c r="I1296" s="7" t="n">
        <v>0</v>
      </c>
      <c r="J1296" s="7" t="n">
        <v>0</v>
      </c>
      <c r="K1296" s="7" t="n">
        <v>0</v>
      </c>
      <c r="L1296" s="7" t="n">
        <v>1</v>
      </c>
      <c r="M1296" s="7" t="n">
        <v>0</v>
      </c>
      <c r="N1296" s="7" t="n">
        <v>0</v>
      </c>
      <c r="O1296" s="7" t="n">
        <v>1</v>
      </c>
      <c r="P1296" s="8" t="n">
        <f aca="false">IF(E1296=0,0,G1296/E1296)</f>
        <v>0.333333333333333</v>
      </c>
      <c r="Q1296" s="8" t="n">
        <f aca="false">IF(E1296+N1296=0,0,(G1296+N1296)/(E1296+N1296))</f>
        <v>0.333333333333333</v>
      </c>
      <c r="R1296" s="8" t="n">
        <f aca="false">IF(E1296=0,0,L1296/E1296)</f>
        <v>0.333333333333333</v>
      </c>
      <c r="S1296" s="8" t="n">
        <f aca="false">R1296+Q1296</f>
        <v>0.666666666666667</v>
      </c>
      <c r="T1296" s="8" t="n">
        <f aca="false">R1296-P1296</f>
        <v>0</v>
      </c>
    </row>
    <row r="1297" customFormat="false" ht="14.25" hidden="false" customHeight="true" outlineLevel="0" collapsed="false">
      <c r="A1297" s="6" t="n">
        <v>2018</v>
      </c>
      <c r="B1297" s="6" t="s">
        <v>50</v>
      </c>
      <c r="C1297" s="6" t="s">
        <v>506</v>
      </c>
      <c r="D1297" s="7" t="n">
        <v>1</v>
      </c>
      <c r="E1297" s="7" t="n">
        <v>2</v>
      </c>
      <c r="F1297" s="7" t="n">
        <v>0</v>
      </c>
      <c r="G1297" s="7" t="n">
        <v>0</v>
      </c>
      <c r="H1297" s="7" t="n">
        <v>0</v>
      </c>
      <c r="I1297" s="7" t="n">
        <v>0</v>
      </c>
      <c r="J1297" s="7" t="n">
        <v>0</v>
      </c>
      <c r="K1297" s="7" t="n">
        <v>0</v>
      </c>
      <c r="L1297" s="7" t="n">
        <v>0</v>
      </c>
      <c r="M1297" s="7" t="n">
        <v>1</v>
      </c>
      <c r="N1297" s="7" t="n">
        <v>0</v>
      </c>
      <c r="O1297" s="7" t="n">
        <v>0</v>
      </c>
      <c r="P1297" s="8" t="n">
        <f aca="false">IF(E1297=0,0,G1297/E1297)</f>
        <v>0</v>
      </c>
      <c r="Q1297" s="8" t="n">
        <f aca="false">IF(E1297+N1297=0,0,(G1297+N1297)/(E1297+N1297))</f>
        <v>0</v>
      </c>
      <c r="R1297" s="8" t="n">
        <f aca="false">IF(E1297=0,0,L1297/E1297)</f>
        <v>0</v>
      </c>
      <c r="S1297" s="8" t="n">
        <f aca="false">R1297+Q1297</f>
        <v>0</v>
      </c>
      <c r="T1297" s="8" t="n">
        <f aca="false">R1297-P1297</f>
        <v>0</v>
      </c>
    </row>
    <row r="1298" customFormat="false" ht="14.25" hidden="false" customHeight="true" outlineLevel="0" collapsed="false">
      <c r="A1298" s="6" t="n">
        <v>2018</v>
      </c>
      <c r="B1298" s="6" t="s">
        <v>50</v>
      </c>
      <c r="C1298" s="6" t="s">
        <v>456</v>
      </c>
      <c r="D1298" s="7" t="n">
        <v>9</v>
      </c>
      <c r="E1298" s="7" t="n">
        <v>11</v>
      </c>
      <c r="F1298" s="7" t="n">
        <v>1</v>
      </c>
      <c r="G1298" s="7" t="n">
        <v>0</v>
      </c>
      <c r="H1298" s="7" t="n">
        <v>0</v>
      </c>
      <c r="I1298" s="7" t="n">
        <v>0</v>
      </c>
      <c r="J1298" s="7" t="n">
        <v>0</v>
      </c>
      <c r="K1298" s="7" t="n">
        <v>0</v>
      </c>
      <c r="L1298" s="7" t="n">
        <v>0</v>
      </c>
      <c r="M1298" s="7" t="n">
        <v>1</v>
      </c>
      <c r="N1298" s="7" t="n">
        <v>1</v>
      </c>
      <c r="O1298" s="7" t="n">
        <v>3</v>
      </c>
      <c r="P1298" s="8" t="n">
        <f aca="false">IF(E1298=0,0,G1298/E1298)</f>
        <v>0</v>
      </c>
      <c r="Q1298" s="8" t="n">
        <f aca="false">IF(E1298+N1298=0,0,(G1298+N1298)/(E1298+N1298))</f>
        <v>0.0833333333333333</v>
      </c>
      <c r="R1298" s="8" t="n">
        <f aca="false">IF(E1298=0,0,L1298/E1298)</f>
        <v>0</v>
      </c>
      <c r="S1298" s="8" t="n">
        <f aca="false">R1298+Q1298</f>
        <v>0.0833333333333333</v>
      </c>
      <c r="T1298" s="8" t="n">
        <f aca="false">R1298-P1298</f>
        <v>0</v>
      </c>
    </row>
    <row r="1299" customFormat="false" ht="14.25" hidden="false" customHeight="true" outlineLevel="0" collapsed="false">
      <c r="A1299" s="6" t="n">
        <v>2018</v>
      </c>
      <c r="B1299" s="6" t="s">
        <v>50</v>
      </c>
      <c r="C1299" s="6" t="s">
        <v>460</v>
      </c>
      <c r="D1299" s="7" t="n">
        <v>7</v>
      </c>
      <c r="E1299" s="7" t="n">
        <v>9</v>
      </c>
      <c r="F1299" s="7" t="n">
        <v>0</v>
      </c>
      <c r="G1299" s="7" t="n">
        <v>0</v>
      </c>
      <c r="H1299" s="7" t="n">
        <v>0</v>
      </c>
      <c r="I1299" s="7" t="n">
        <v>0</v>
      </c>
      <c r="J1299" s="7" t="n">
        <v>0</v>
      </c>
      <c r="K1299" s="7" t="n">
        <v>0</v>
      </c>
      <c r="L1299" s="7" t="n">
        <v>0</v>
      </c>
      <c r="M1299" s="7" t="n">
        <v>0</v>
      </c>
      <c r="N1299" s="7" t="n">
        <v>0</v>
      </c>
      <c r="O1299" s="7" t="n">
        <v>0</v>
      </c>
      <c r="P1299" s="8" t="n">
        <f aca="false">IF(E1299=0,0,G1299/E1299)</f>
        <v>0</v>
      </c>
      <c r="Q1299" s="8" t="n">
        <f aca="false">IF(E1299+N1299=0,0,(G1299+N1299)/(E1299+N1299))</f>
        <v>0</v>
      </c>
      <c r="R1299" s="8" t="n">
        <f aca="false">IF(E1299=0,0,L1299/E1299)</f>
        <v>0</v>
      </c>
      <c r="S1299" s="8" t="n">
        <f aca="false">R1299+Q1299</f>
        <v>0</v>
      </c>
      <c r="T1299" s="8" t="n">
        <f aca="false">R1299-P1299</f>
        <v>0</v>
      </c>
    </row>
    <row r="1300" customFormat="false" ht="14.25" hidden="false" customHeight="true" outlineLevel="0" collapsed="false">
      <c r="A1300" s="6" t="n">
        <v>2018</v>
      </c>
      <c r="B1300" s="6" t="s">
        <v>50</v>
      </c>
      <c r="C1300" s="6" t="s">
        <v>455</v>
      </c>
      <c r="D1300" s="7" t="n">
        <v>2</v>
      </c>
      <c r="E1300" s="7" t="n">
        <v>4</v>
      </c>
      <c r="F1300" s="7" t="n">
        <v>0</v>
      </c>
      <c r="G1300" s="7" t="n">
        <v>0</v>
      </c>
      <c r="H1300" s="7" t="n">
        <v>0</v>
      </c>
      <c r="I1300" s="7" t="n">
        <v>0</v>
      </c>
      <c r="J1300" s="7" t="n">
        <v>0</v>
      </c>
      <c r="K1300" s="7" t="n">
        <v>0</v>
      </c>
      <c r="L1300" s="7" t="n">
        <v>0</v>
      </c>
      <c r="M1300" s="7" t="n">
        <v>0</v>
      </c>
      <c r="N1300" s="7" t="n">
        <v>0</v>
      </c>
      <c r="O1300" s="7" t="n">
        <v>0</v>
      </c>
      <c r="P1300" s="8" t="n">
        <f aca="false">IF(E1300=0,0,G1300/E1300)</f>
        <v>0</v>
      </c>
      <c r="Q1300" s="8" t="n">
        <f aca="false">IF(E1300+N1300=0,0,(G1300+N1300)/(E1300+N1300))</f>
        <v>0</v>
      </c>
      <c r="R1300" s="8" t="n">
        <f aca="false">IF(E1300=0,0,L1300/E1300)</f>
        <v>0</v>
      </c>
      <c r="S1300" s="8" t="n">
        <f aca="false">R1300+Q1300</f>
        <v>0</v>
      </c>
      <c r="T1300" s="8" t="n">
        <f aca="false">R1300-P1300</f>
        <v>0</v>
      </c>
    </row>
    <row r="1301" customFormat="false" ht="14.25" hidden="false" customHeight="true" outlineLevel="0" collapsed="false">
      <c r="A1301" s="6" t="n">
        <v>2018</v>
      </c>
      <c r="B1301" s="6" t="s">
        <v>50</v>
      </c>
      <c r="C1301" s="6" t="s">
        <v>507</v>
      </c>
      <c r="D1301" s="7" t="n">
        <v>2</v>
      </c>
      <c r="E1301" s="7" t="n">
        <v>2</v>
      </c>
      <c r="F1301" s="7" t="n">
        <v>1</v>
      </c>
      <c r="G1301" s="7" t="n">
        <v>0</v>
      </c>
      <c r="H1301" s="7" t="n">
        <v>0</v>
      </c>
      <c r="I1301" s="7" t="n">
        <v>0</v>
      </c>
      <c r="J1301" s="7" t="n">
        <v>0</v>
      </c>
      <c r="K1301" s="7" t="n">
        <v>0</v>
      </c>
      <c r="L1301" s="7" t="n">
        <v>0</v>
      </c>
      <c r="M1301" s="7" t="n">
        <v>0</v>
      </c>
      <c r="N1301" s="7" t="n">
        <v>2</v>
      </c>
      <c r="O1301" s="7" t="n">
        <v>1</v>
      </c>
      <c r="P1301" s="8" t="n">
        <f aca="false">IF(E1301=0,0,G1301/E1301)</f>
        <v>0</v>
      </c>
      <c r="Q1301" s="8" t="n">
        <f aca="false">IF(E1301+N1301=0,0,(G1301+N1301)/(E1301+N1301))</f>
        <v>0.5</v>
      </c>
      <c r="R1301" s="8" t="n">
        <f aca="false">IF(E1301=0,0,L1301/E1301)</f>
        <v>0</v>
      </c>
      <c r="S1301" s="8" t="n">
        <f aca="false">R1301+Q1301</f>
        <v>0.5</v>
      </c>
      <c r="T1301" s="8" t="n">
        <f aca="false">R1301-P1301</f>
        <v>0</v>
      </c>
    </row>
    <row r="1302" customFormat="false" ht="14.25" hidden="false" customHeight="true" outlineLevel="0" collapsed="false">
      <c r="A1302" s="6" t="n">
        <v>2018</v>
      </c>
      <c r="B1302" s="6" t="s">
        <v>50</v>
      </c>
      <c r="C1302" s="6" t="s">
        <v>508</v>
      </c>
      <c r="D1302" s="7" t="n">
        <v>1</v>
      </c>
      <c r="E1302" s="7" t="n">
        <v>2</v>
      </c>
      <c r="F1302" s="7" t="n">
        <v>0</v>
      </c>
      <c r="G1302" s="7" t="n">
        <v>0</v>
      </c>
      <c r="H1302" s="7" t="n">
        <v>0</v>
      </c>
      <c r="I1302" s="7" t="n">
        <v>0</v>
      </c>
      <c r="J1302" s="7" t="n">
        <v>0</v>
      </c>
      <c r="K1302" s="7" t="n">
        <v>0</v>
      </c>
      <c r="L1302" s="7" t="n">
        <v>0</v>
      </c>
      <c r="M1302" s="7" t="n">
        <v>0</v>
      </c>
      <c r="N1302" s="7" t="n">
        <v>0</v>
      </c>
      <c r="O1302" s="7" t="n">
        <v>0</v>
      </c>
      <c r="P1302" s="8" t="n">
        <f aca="false">IF(E1302=0,0,G1302/E1302)</f>
        <v>0</v>
      </c>
      <c r="Q1302" s="8" t="n">
        <f aca="false">IF(E1302+N1302=0,0,(G1302+N1302)/(E1302+N1302))</f>
        <v>0</v>
      </c>
      <c r="R1302" s="8" t="n">
        <f aca="false">IF(E1302=0,0,L1302/E1302)</f>
        <v>0</v>
      </c>
      <c r="S1302" s="8" t="n">
        <f aca="false">R1302+Q1302</f>
        <v>0</v>
      </c>
      <c r="T1302" s="8" t="n">
        <f aca="false">R1302-P1302</f>
        <v>0</v>
      </c>
    </row>
    <row r="1303" customFormat="false" ht="14.25" hidden="false" customHeight="true" outlineLevel="0" collapsed="false">
      <c r="A1303" s="6" t="n">
        <v>2018</v>
      </c>
      <c r="B1303" s="6" t="s">
        <v>50</v>
      </c>
      <c r="C1303" s="6" t="s">
        <v>150</v>
      </c>
      <c r="D1303" s="7" t="n">
        <v>1</v>
      </c>
      <c r="E1303" s="7" t="n">
        <v>3</v>
      </c>
      <c r="F1303" s="7" t="n">
        <v>0</v>
      </c>
      <c r="G1303" s="7" t="n">
        <v>0</v>
      </c>
      <c r="H1303" s="7" t="n">
        <v>0</v>
      </c>
      <c r="I1303" s="7" t="n">
        <v>0</v>
      </c>
      <c r="J1303" s="7" t="n">
        <v>0</v>
      </c>
      <c r="K1303" s="7" t="n">
        <v>0</v>
      </c>
      <c r="L1303" s="7" t="n">
        <v>0</v>
      </c>
      <c r="M1303" s="7" t="n">
        <v>0</v>
      </c>
      <c r="N1303" s="7" t="n">
        <v>0</v>
      </c>
      <c r="O1303" s="7" t="n">
        <v>1</v>
      </c>
      <c r="P1303" s="8" t="n">
        <f aca="false">IF(E1303=0,0,G1303/E1303)</f>
        <v>0</v>
      </c>
      <c r="Q1303" s="8" t="n">
        <f aca="false">IF(E1303+N1303=0,0,(G1303+N1303)/(E1303+N1303))</f>
        <v>0</v>
      </c>
      <c r="R1303" s="8" t="n">
        <f aca="false">IF(E1303=0,0,L1303/E1303)</f>
        <v>0</v>
      </c>
      <c r="S1303" s="8" t="n">
        <f aca="false">R1303+Q1303</f>
        <v>0</v>
      </c>
      <c r="T1303" s="8" t="n">
        <f aca="false">R1303-P1303</f>
        <v>0</v>
      </c>
    </row>
    <row r="1304" customFormat="false" ht="14.25" hidden="false" customHeight="true" outlineLevel="0" collapsed="false">
      <c r="A1304" s="6" t="n">
        <v>2018</v>
      </c>
      <c r="B1304" s="6" t="s">
        <v>50</v>
      </c>
      <c r="C1304" s="6" t="s">
        <v>509</v>
      </c>
      <c r="D1304" s="7" t="n">
        <v>1</v>
      </c>
      <c r="E1304" s="7" t="n">
        <v>3</v>
      </c>
      <c r="F1304" s="7" t="n">
        <v>0</v>
      </c>
      <c r="G1304" s="7" t="n">
        <v>0</v>
      </c>
      <c r="H1304" s="7" t="n">
        <v>0</v>
      </c>
      <c r="I1304" s="7" t="n">
        <v>0</v>
      </c>
      <c r="J1304" s="7" t="n">
        <v>0</v>
      </c>
      <c r="K1304" s="7" t="n">
        <v>0</v>
      </c>
      <c r="L1304" s="7" t="n">
        <v>0</v>
      </c>
      <c r="M1304" s="7" t="n">
        <v>1</v>
      </c>
      <c r="N1304" s="7" t="n">
        <v>0</v>
      </c>
      <c r="O1304" s="7" t="n">
        <v>0</v>
      </c>
      <c r="P1304" s="8" t="n">
        <f aca="false">IF(E1304=0,0,G1304/E1304)</f>
        <v>0</v>
      </c>
      <c r="Q1304" s="8" t="n">
        <f aca="false">IF(E1304+N1304=0,0,(G1304+N1304)/(E1304+N1304))</f>
        <v>0</v>
      </c>
      <c r="R1304" s="8" t="n">
        <f aca="false">IF(E1304=0,0,L1304/E1304)</f>
        <v>0</v>
      </c>
      <c r="S1304" s="8" t="n">
        <f aca="false">R1304+Q1304</f>
        <v>0</v>
      </c>
      <c r="T1304" s="8" t="n">
        <f aca="false">R1304-P1304</f>
        <v>0</v>
      </c>
    </row>
    <row r="1305" customFormat="false" ht="14.25" hidden="false" customHeight="true" outlineLevel="0" collapsed="false">
      <c r="A1305" s="6" t="n">
        <v>2018</v>
      </c>
      <c r="B1305" s="6" t="s">
        <v>71</v>
      </c>
      <c r="C1305" s="6" t="s">
        <v>73</v>
      </c>
      <c r="D1305" s="7" t="n">
        <v>9</v>
      </c>
      <c r="E1305" s="7" t="n">
        <v>24</v>
      </c>
      <c r="F1305" s="7" t="n">
        <v>12</v>
      </c>
      <c r="G1305" s="7" t="n">
        <v>12</v>
      </c>
      <c r="H1305" s="7" t="n">
        <v>4</v>
      </c>
      <c r="I1305" s="7" t="n">
        <v>1</v>
      </c>
      <c r="J1305" s="7" t="n">
        <v>2</v>
      </c>
      <c r="K1305" s="7" t="n">
        <v>7</v>
      </c>
      <c r="L1305" s="7" t="n">
        <v>24</v>
      </c>
      <c r="M1305" s="7" t="n">
        <v>6</v>
      </c>
      <c r="N1305" s="7" t="n">
        <v>6</v>
      </c>
      <c r="O1305" s="7" t="n">
        <v>1</v>
      </c>
      <c r="P1305" s="8" t="n">
        <f aca="false">IF(E1305=0,0,G1305/E1305)</f>
        <v>0.5</v>
      </c>
      <c r="Q1305" s="8" t="n">
        <f aca="false">IF(E1305+N1305=0,0,(G1305+N1305)/(E1305+N1305))</f>
        <v>0.6</v>
      </c>
      <c r="R1305" s="8" t="n">
        <f aca="false">IF(E1305=0,0,L1305/E1305)</f>
        <v>1</v>
      </c>
      <c r="S1305" s="8" t="n">
        <f aca="false">R1305+Q1305</f>
        <v>1.6</v>
      </c>
      <c r="T1305" s="8" t="n">
        <f aca="false">R1305-P1305</f>
        <v>0.5</v>
      </c>
    </row>
    <row r="1306" customFormat="false" ht="14.25" hidden="false" customHeight="true" outlineLevel="0" collapsed="false">
      <c r="A1306" s="6" t="n">
        <v>2018</v>
      </c>
      <c r="B1306" s="6" t="s">
        <v>71</v>
      </c>
      <c r="C1306" s="6" t="s">
        <v>81</v>
      </c>
      <c r="D1306" s="7" t="n">
        <v>8</v>
      </c>
      <c r="E1306" s="7" t="n">
        <v>21</v>
      </c>
      <c r="F1306" s="7" t="n">
        <v>6</v>
      </c>
      <c r="G1306" s="7" t="n">
        <v>9</v>
      </c>
      <c r="H1306" s="7" t="n">
        <v>1</v>
      </c>
      <c r="I1306" s="7" t="n">
        <v>0</v>
      </c>
      <c r="J1306" s="7" t="n">
        <v>2</v>
      </c>
      <c r="K1306" s="7" t="n">
        <v>3</v>
      </c>
      <c r="L1306" s="7" t="n">
        <v>16</v>
      </c>
      <c r="M1306" s="7" t="n">
        <v>8</v>
      </c>
      <c r="N1306" s="7" t="n">
        <v>5</v>
      </c>
      <c r="O1306" s="7" t="n">
        <v>0</v>
      </c>
      <c r="P1306" s="8" t="n">
        <f aca="false">IF(E1306=0,0,G1306/E1306)</f>
        <v>0.428571428571429</v>
      </c>
      <c r="Q1306" s="8" t="n">
        <f aca="false">IF(E1306+N1306=0,0,(G1306+N1306)/(E1306+N1306))</f>
        <v>0.538461538461538</v>
      </c>
      <c r="R1306" s="8" t="n">
        <f aca="false">IF(E1306=0,0,L1306/E1306)</f>
        <v>0.761904761904762</v>
      </c>
      <c r="S1306" s="8" t="n">
        <f aca="false">R1306+Q1306</f>
        <v>1.3003663003663</v>
      </c>
      <c r="T1306" s="8" t="n">
        <f aca="false">R1306-P1306</f>
        <v>0.333333333333333</v>
      </c>
    </row>
    <row r="1307" customFormat="false" ht="14.25" hidden="false" customHeight="true" outlineLevel="0" collapsed="false">
      <c r="A1307" s="6" t="n">
        <v>2018</v>
      </c>
      <c r="B1307" s="6" t="s">
        <v>71</v>
      </c>
      <c r="C1307" s="6" t="s">
        <v>243</v>
      </c>
      <c r="D1307" s="7" t="n">
        <v>6</v>
      </c>
      <c r="E1307" s="7" t="n">
        <v>16</v>
      </c>
      <c r="F1307" s="7" t="n">
        <v>7</v>
      </c>
      <c r="G1307" s="7" t="n">
        <v>8</v>
      </c>
      <c r="H1307" s="7" t="n">
        <v>2</v>
      </c>
      <c r="I1307" s="7" t="n">
        <v>1</v>
      </c>
      <c r="J1307" s="7" t="n">
        <v>3</v>
      </c>
      <c r="K1307" s="7" t="n">
        <v>6</v>
      </c>
      <c r="L1307" s="7" t="n">
        <v>21</v>
      </c>
      <c r="M1307" s="7" t="n">
        <v>9</v>
      </c>
      <c r="N1307" s="7" t="n">
        <v>3</v>
      </c>
      <c r="O1307" s="7" t="n">
        <v>1</v>
      </c>
      <c r="P1307" s="8" t="n">
        <f aca="false">IF(E1307=0,0,G1307/E1307)</f>
        <v>0.5</v>
      </c>
      <c r="Q1307" s="8" t="n">
        <f aca="false">IF(E1307+N1307=0,0,(G1307+N1307)/(E1307+N1307))</f>
        <v>0.578947368421053</v>
      </c>
      <c r="R1307" s="8" t="n">
        <f aca="false">IF(E1307=0,0,L1307/E1307)</f>
        <v>1.3125</v>
      </c>
      <c r="S1307" s="8" t="n">
        <f aca="false">R1307+Q1307</f>
        <v>1.89144736842105</v>
      </c>
      <c r="T1307" s="8" t="n">
        <f aca="false">R1307-P1307</f>
        <v>0.8125</v>
      </c>
    </row>
    <row r="1308" customFormat="false" ht="14.25" hidden="false" customHeight="true" outlineLevel="0" collapsed="false">
      <c r="A1308" s="6" t="n">
        <v>2018</v>
      </c>
      <c r="B1308" s="6" t="s">
        <v>71</v>
      </c>
      <c r="C1308" s="6" t="s">
        <v>77</v>
      </c>
      <c r="D1308" s="7" t="n">
        <v>8</v>
      </c>
      <c r="E1308" s="7" t="n">
        <v>25</v>
      </c>
      <c r="F1308" s="7" t="n">
        <v>4</v>
      </c>
      <c r="G1308" s="7" t="n">
        <v>7</v>
      </c>
      <c r="H1308" s="7" t="n">
        <v>1</v>
      </c>
      <c r="I1308" s="7" t="n">
        <v>0</v>
      </c>
      <c r="J1308" s="7" t="n">
        <v>0</v>
      </c>
      <c r="K1308" s="7" t="n">
        <v>1</v>
      </c>
      <c r="L1308" s="7" t="n">
        <v>8</v>
      </c>
      <c r="M1308" s="7" t="n">
        <v>1</v>
      </c>
      <c r="N1308" s="7" t="n">
        <v>2</v>
      </c>
      <c r="O1308" s="7" t="n">
        <v>1</v>
      </c>
      <c r="P1308" s="8" t="n">
        <f aca="false">IF(E1308=0,0,G1308/E1308)</f>
        <v>0.28</v>
      </c>
      <c r="Q1308" s="8" t="n">
        <f aca="false">IF(E1308+N1308=0,0,(G1308+N1308)/(E1308+N1308))</f>
        <v>0.333333333333333</v>
      </c>
      <c r="R1308" s="8" t="n">
        <f aca="false">IF(E1308=0,0,L1308/E1308)</f>
        <v>0.32</v>
      </c>
      <c r="S1308" s="8" t="n">
        <f aca="false">R1308+Q1308</f>
        <v>0.653333333333333</v>
      </c>
      <c r="T1308" s="8" t="n">
        <f aca="false">R1308-P1308</f>
        <v>0.04</v>
      </c>
    </row>
    <row r="1309" customFormat="false" ht="14.25" hidden="false" customHeight="true" outlineLevel="0" collapsed="false">
      <c r="A1309" s="6" t="n">
        <v>2018</v>
      </c>
      <c r="B1309" s="6" t="s">
        <v>71</v>
      </c>
      <c r="C1309" s="6" t="s">
        <v>79</v>
      </c>
      <c r="D1309" s="7" t="n">
        <v>10</v>
      </c>
      <c r="E1309" s="7" t="n">
        <v>24</v>
      </c>
      <c r="F1309" s="7" t="n">
        <v>1</v>
      </c>
      <c r="G1309" s="7" t="n">
        <v>7</v>
      </c>
      <c r="H1309" s="7" t="n">
        <v>3</v>
      </c>
      <c r="I1309" s="7" t="n">
        <v>0</v>
      </c>
      <c r="J1309" s="7" t="n">
        <v>0</v>
      </c>
      <c r="K1309" s="7" t="n">
        <v>3</v>
      </c>
      <c r="L1309" s="7" t="n">
        <v>10</v>
      </c>
      <c r="M1309" s="7" t="n">
        <v>0</v>
      </c>
      <c r="N1309" s="7" t="n">
        <v>3</v>
      </c>
      <c r="O1309" s="7" t="n">
        <v>2</v>
      </c>
      <c r="P1309" s="8" t="n">
        <f aca="false">IF(E1309=0,0,G1309/E1309)</f>
        <v>0.291666666666667</v>
      </c>
      <c r="Q1309" s="8" t="n">
        <f aca="false">IF(E1309+N1309=0,0,(G1309+N1309)/(E1309+N1309))</f>
        <v>0.37037037037037</v>
      </c>
      <c r="R1309" s="8" t="n">
        <f aca="false">IF(E1309=0,0,L1309/E1309)</f>
        <v>0.416666666666667</v>
      </c>
      <c r="S1309" s="8" t="n">
        <f aca="false">R1309+Q1309</f>
        <v>0.787037037037037</v>
      </c>
      <c r="T1309" s="8" t="n">
        <f aca="false">R1309-P1309</f>
        <v>0.125</v>
      </c>
    </row>
    <row r="1310" customFormat="false" ht="14.25" hidden="false" customHeight="true" outlineLevel="0" collapsed="false">
      <c r="A1310" s="6" t="n">
        <v>2018</v>
      </c>
      <c r="B1310" s="6" t="s">
        <v>71</v>
      </c>
      <c r="C1310" s="6" t="s">
        <v>86</v>
      </c>
      <c r="D1310" s="7" t="n">
        <v>10</v>
      </c>
      <c r="E1310" s="7" t="n">
        <v>26</v>
      </c>
      <c r="F1310" s="7" t="n">
        <v>6</v>
      </c>
      <c r="G1310" s="7" t="n">
        <v>6</v>
      </c>
      <c r="H1310" s="7" t="n">
        <v>0</v>
      </c>
      <c r="I1310" s="7" t="n">
        <v>0</v>
      </c>
      <c r="J1310" s="7" t="n">
        <v>3</v>
      </c>
      <c r="K1310" s="7" t="n">
        <v>3</v>
      </c>
      <c r="L1310" s="7" t="n">
        <v>15</v>
      </c>
      <c r="M1310" s="7" t="n">
        <v>9</v>
      </c>
      <c r="N1310" s="7" t="n">
        <v>7</v>
      </c>
      <c r="O1310" s="7" t="n">
        <v>1</v>
      </c>
      <c r="P1310" s="8" t="n">
        <f aca="false">IF(E1310=0,0,G1310/E1310)</f>
        <v>0.230769230769231</v>
      </c>
      <c r="Q1310" s="8" t="n">
        <f aca="false">IF(E1310+N1310=0,0,(G1310+N1310)/(E1310+N1310))</f>
        <v>0.393939393939394</v>
      </c>
      <c r="R1310" s="8" t="n">
        <f aca="false">IF(E1310=0,0,L1310/E1310)</f>
        <v>0.576923076923077</v>
      </c>
      <c r="S1310" s="8" t="n">
        <f aca="false">R1310+Q1310</f>
        <v>0.970862470862471</v>
      </c>
      <c r="T1310" s="8" t="n">
        <f aca="false">R1310-P1310</f>
        <v>0.346153846153846</v>
      </c>
    </row>
    <row r="1311" customFormat="false" ht="14.25" hidden="false" customHeight="true" outlineLevel="0" collapsed="false">
      <c r="A1311" s="6" t="n">
        <v>2018</v>
      </c>
      <c r="B1311" s="6" t="s">
        <v>71</v>
      </c>
      <c r="C1311" s="6" t="s">
        <v>85</v>
      </c>
      <c r="D1311" s="7" t="n">
        <v>9</v>
      </c>
      <c r="E1311" s="7" t="n">
        <v>13</v>
      </c>
      <c r="F1311" s="7" t="n">
        <v>1</v>
      </c>
      <c r="G1311" s="7" t="n">
        <v>6</v>
      </c>
      <c r="H1311" s="7" t="n">
        <v>1</v>
      </c>
      <c r="I1311" s="7" t="n">
        <v>0</v>
      </c>
      <c r="J1311" s="7" t="n">
        <v>0</v>
      </c>
      <c r="K1311" s="7" t="n">
        <v>1</v>
      </c>
      <c r="L1311" s="7" t="n">
        <v>7</v>
      </c>
      <c r="M1311" s="7" t="n">
        <v>2</v>
      </c>
      <c r="N1311" s="7" t="n">
        <v>5</v>
      </c>
      <c r="O1311" s="7" t="n">
        <v>0</v>
      </c>
      <c r="P1311" s="8" t="n">
        <f aca="false">IF(E1311=0,0,G1311/E1311)</f>
        <v>0.461538461538462</v>
      </c>
      <c r="Q1311" s="8" t="n">
        <f aca="false">IF(E1311+N1311=0,0,(G1311+N1311)/(E1311+N1311))</f>
        <v>0.611111111111111</v>
      </c>
      <c r="R1311" s="8" t="n">
        <f aca="false">IF(E1311=0,0,L1311/E1311)</f>
        <v>0.538461538461538</v>
      </c>
      <c r="S1311" s="8" t="n">
        <f aca="false">R1311+Q1311</f>
        <v>1.14957264957265</v>
      </c>
      <c r="T1311" s="8" t="n">
        <f aca="false">R1311-P1311</f>
        <v>0.0769230769230769</v>
      </c>
    </row>
    <row r="1312" customFormat="false" ht="14.25" hidden="false" customHeight="true" outlineLevel="0" collapsed="false">
      <c r="A1312" s="6" t="n">
        <v>2018</v>
      </c>
      <c r="B1312" s="6" t="s">
        <v>71</v>
      </c>
      <c r="C1312" s="6" t="s">
        <v>80</v>
      </c>
      <c r="D1312" s="7" t="n">
        <v>9</v>
      </c>
      <c r="E1312" s="7" t="n">
        <v>28</v>
      </c>
      <c r="F1312" s="7" t="n">
        <v>5</v>
      </c>
      <c r="G1312" s="7" t="n">
        <v>5</v>
      </c>
      <c r="H1312" s="7" t="n">
        <v>1</v>
      </c>
      <c r="I1312" s="7" t="n">
        <v>0</v>
      </c>
      <c r="J1312" s="7" t="n">
        <v>3</v>
      </c>
      <c r="K1312" s="7" t="n">
        <v>4</v>
      </c>
      <c r="L1312" s="7" t="n">
        <v>15</v>
      </c>
      <c r="M1312" s="7" t="n">
        <v>6</v>
      </c>
      <c r="N1312" s="7" t="n">
        <v>3</v>
      </c>
      <c r="O1312" s="7" t="n">
        <v>1</v>
      </c>
      <c r="P1312" s="8" t="n">
        <f aca="false">IF(E1312=0,0,G1312/E1312)</f>
        <v>0.178571428571429</v>
      </c>
      <c r="Q1312" s="8" t="n">
        <f aca="false">IF(E1312+N1312=0,0,(G1312+N1312)/(E1312+N1312))</f>
        <v>0.258064516129032</v>
      </c>
      <c r="R1312" s="8" t="n">
        <f aca="false">IF(E1312=0,0,L1312/E1312)</f>
        <v>0.535714285714286</v>
      </c>
      <c r="S1312" s="8" t="n">
        <f aca="false">R1312+Q1312</f>
        <v>0.793778801843318</v>
      </c>
      <c r="T1312" s="8" t="n">
        <f aca="false">R1312-P1312</f>
        <v>0.357142857142857</v>
      </c>
    </row>
    <row r="1313" customFormat="false" ht="14.25" hidden="false" customHeight="true" outlineLevel="0" collapsed="false">
      <c r="A1313" s="6" t="n">
        <v>2018</v>
      </c>
      <c r="B1313" s="6" t="s">
        <v>71</v>
      </c>
      <c r="C1313" s="6" t="s">
        <v>242</v>
      </c>
      <c r="D1313" s="7" t="n">
        <v>10</v>
      </c>
      <c r="E1313" s="7" t="n">
        <v>26</v>
      </c>
      <c r="F1313" s="7" t="n">
        <v>6</v>
      </c>
      <c r="G1313" s="7" t="n">
        <v>5</v>
      </c>
      <c r="H1313" s="7" t="n">
        <v>0</v>
      </c>
      <c r="I1313" s="7" t="n">
        <v>0</v>
      </c>
      <c r="J1313" s="7" t="n">
        <v>1</v>
      </c>
      <c r="K1313" s="7" t="n">
        <v>1</v>
      </c>
      <c r="L1313" s="7" t="n">
        <v>8</v>
      </c>
      <c r="M1313" s="7" t="n">
        <v>3</v>
      </c>
      <c r="N1313" s="7" t="n">
        <v>2</v>
      </c>
      <c r="O1313" s="7" t="n">
        <v>0</v>
      </c>
      <c r="P1313" s="8" t="n">
        <f aca="false">IF(E1313=0,0,G1313/E1313)</f>
        <v>0.192307692307692</v>
      </c>
      <c r="Q1313" s="8" t="n">
        <f aca="false">IF(E1313+N1313=0,0,(G1313+N1313)/(E1313+N1313))</f>
        <v>0.25</v>
      </c>
      <c r="R1313" s="8" t="n">
        <f aca="false">IF(E1313=0,0,L1313/E1313)</f>
        <v>0.307692307692308</v>
      </c>
      <c r="S1313" s="8" t="n">
        <f aca="false">R1313+Q1313</f>
        <v>0.557692307692308</v>
      </c>
      <c r="T1313" s="8" t="n">
        <f aca="false">R1313-P1313</f>
        <v>0.115384615384615</v>
      </c>
    </row>
    <row r="1314" customFormat="false" ht="14.25" hidden="false" customHeight="true" outlineLevel="0" collapsed="false">
      <c r="A1314" s="6" t="n">
        <v>2018</v>
      </c>
      <c r="B1314" s="6" t="s">
        <v>71</v>
      </c>
      <c r="C1314" s="6" t="s">
        <v>83</v>
      </c>
      <c r="D1314" s="7" t="n">
        <v>6</v>
      </c>
      <c r="E1314" s="7" t="n">
        <v>15</v>
      </c>
      <c r="F1314" s="7" t="n">
        <v>5</v>
      </c>
      <c r="G1314" s="7" t="n">
        <v>5</v>
      </c>
      <c r="H1314" s="7" t="n">
        <v>1</v>
      </c>
      <c r="I1314" s="7" t="n">
        <v>0</v>
      </c>
      <c r="J1314" s="7" t="n">
        <v>0</v>
      </c>
      <c r="K1314" s="7" t="n">
        <v>1</v>
      </c>
      <c r="L1314" s="7" t="n">
        <v>6</v>
      </c>
      <c r="M1314" s="7" t="n">
        <v>3</v>
      </c>
      <c r="N1314" s="7" t="n">
        <v>2</v>
      </c>
      <c r="O1314" s="7" t="n">
        <v>1</v>
      </c>
      <c r="P1314" s="8" t="n">
        <f aca="false">IF(E1314=0,0,G1314/E1314)</f>
        <v>0.333333333333333</v>
      </c>
      <c r="Q1314" s="8" t="n">
        <f aca="false">IF(E1314+N1314=0,0,(G1314+N1314)/(E1314+N1314))</f>
        <v>0.411764705882353</v>
      </c>
      <c r="R1314" s="8" t="n">
        <f aca="false">IF(E1314=0,0,L1314/E1314)</f>
        <v>0.4</v>
      </c>
      <c r="S1314" s="8" t="n">
        <f aca="false">R1314+Q1314</f>
        <v>0.811764705882353</v>
      </c>
      <c r="T1314" s="8" t="n">
        <f aca="false">R1314-P1314</f>
        <v>0.0666666666666667</v>
      </c>
    </row>
    <row r="1315" customFormat="false" ht="14.25" hidden="false" customHeight="true" outlineLevel="0" collapsed="false">
      <c r="A1315" s="6" t="n">
        <v>2018</v>
      </c>
      <c r="B1315" s="6" t="s">
        <v>71</v>
      </c>
      <c r="C1315" s="6" t="s">
        <v>412</v>
      </c>
      <c r="D1315" s="7" t="n">
        <v>8</v>
      </c>
      <c r="E1315" s="7" t="n">
        <v>15</v>
      </c>
      <c r="F1315" s="7" t="n">
        <v>2</v>
      </c>
      <c r="G1315" s="7" t="n">
        <v>4</v>
      </c>
      <c r="H1315" s="7" t="n">
        <v>1</v>
      </c>
      <c r="I1315" s="7" t="n">
        <v>0</v>
      </c>
      <c r="J1315" s="7" t="n">
        <v>0</v>
      </c>
      <c r="K1315" s="7" t="n">
        <v>1</v>
      </c>
      <c r="L1315" s="7" t="n">
        <v>5</v>
      </c>
      <c r="M1315" s="7" t="n">
        <v>2</v>
      </c>
      <c r="N1315" s="7" t="n">
        <v>3</v>
      </c>
      <c r="O1315" s="7" t="n">
        <v>1</v>
      </c>
      <c r="P1315" s="8" t="n">
        <f aca="false">IF(E1315=0,0,G1315/E1315)</f>
        <v>0.266666666666667</v>
      </c>
      <c r="Q1315" s="8" t="n">
        <f aca="false">IF(E1315+N1315=0,0,(G1315+N1315)/(E1315+N1315))</f>
        <v>0.388888888888889</v>
      </c>
      <c r="R1315" s="8" t="n">
        <f aca="false">IF(E1315=0,0,L1315/E1315)</f>
        <v>0.333333333333333</v>
      </c>
      <c r="S1315" s="8" t="n">
        <f aca="false">R1315+Q1315</f>
        <v>0.722222222222222</v>
      </c>
      <c r="T1315" s="8" t="n">
        <f aca="false">R1315-P1315</f>
        <v>0.0666666666666667</v>
      </c>
    </row>
    <row r="1316" customFormat="false" ht="14.25" hidden="false" customHeight="true" outlineLevel="0" collapsed="false">
      <c r="A1316" s="6" t="n">
        <v>2018</v>
      </c>
      <c r="B1316" s="6" t="s">
        <v>71</v>
      </c>
      <c r="C1316" s="6" t="s">
        <v>90</v>
      </c>
      <c r="D1316" s="7" t="n">
        <v>5</v>
      </c>
      <c r="E1316" s="7" t="n">
        <v>9</v>
      </c>
      <c r="F1316" s="7" t="n">
        <v>1</v>
      </c>
      <c r="G1316" s="7" t="n">
        <v>2</v>
      </c>
      <c r="H1316" s="7" t="n">
        <v>1</v>
      </c>
      <c r="I1316" s="7" t="n">
        <v>0</v>
      </c>
      <c r="J1316" s="7" t="n">
        <v>0</v>
      </c>
      <c r="K1316" s="7" t="n">
        <v>1</v>
      </c>
      <c r="L1316" s="7" t="n">
        <v>3</v>
      </c>
      <c r="M1316" s="7" t="n">
        <v>4</v>
      </c>
      <c r="N1316" s="7" t="n">
        <v>3</v>
      </c>
      <c r="O1316" s="7" t="n">
        <v>0</v>
      </c>
      <c r="P1316" s="8" t="n">
        <f aca="false">IF(E1316=0,0,G1316/E1316)</f>
        <v>0.222222222222222</v>
      </c>
      <c r="Q1316" s="8" t="n">
        <f aca="false">IF(E1316+N1316=0,0,(G1316+N1316)/(E1316+N1316))</f>
        <v>0.416666666666667</v>
      </c>
      <c r="R1316" s="8" t="n">
        <f aca="false">IF(E1316=0,0,L1316/E1316)</f>
        <v>0.333333333333333</v>
      </c>
      <c r="S1316" s="8" t="n">
        <f aca="false">R1316+Q1316</f>
        <v>0.75</v>
      </c>
      <c r="T1316" s="8" t="n">
        <f aca="false">R1316-P1316</f>
        <v>0.111111111111111</v>
      </c>
    </row>
    <row r="1317" customFormat="false" ht="14.25" hidden="false" customHeight="true" outlineLevel="0" collapsed="false">
      <c r="A1317" s="6" t="n">
        <v>2018</v>
      </c>
      <c r="B1317" s="6" t="s">
        <v>71</v>
      </c>
      <c r="C1317" s="6" t="s">
        <v>319</v>
      </c>
      <c r="D1317" s="7" t="n">
        <v>8</v>
      </c>
      <c r="E1317" s="7" t="n">
        <v>14</v>
      </c>
      <c r="F1317" s="7" t="n">
        <v>2</v>
      </c>
      <c r="G1317" s="7" t="n">
        <v>2</v>
      </c>
      <c r="H1317" s="7" t="n">
        <v>0</v>
      </c>
      <c r="I1317" s="7" t="n">
        <v>0</v>
      </c>
      <c r="J1317" s="7" t="n">
        <v>0</v>
      </c>
      <c r="K1317" s="7" t="n">
        <v>0</v>
      </c>
      <c r="L1317" s="7" t="n">
        <v>2</v>
      </c>
      <c r="M1317" s="7" t="n">
        <v>0</v>
      </c>
      <c r="N1317" s="7" t="n">
        <v>4</v>
      </c>
      <c r="O1317" s="7" t="n">
        <v>0</v>
      </c>
      <c r="P1317" s="8" t="n">
        <f aca="false">IF(E1317=0,0,G1317/E1317)</f>
        <v>0.142857142857143</v>
      </c>
      <c r="Q1317" s="8" t="n">
        <f aca="false">IF(E1317+N1317=0,0,(G1317+N1317)/(E1317+N1317))</f>
        <v>0.333333333333333</v>
      </c>
      <c r="R1317" s="8" t="n">
        <f aca="false">IF(E1317=0,0,L1317/E1317)</f>
        <v>0.142857142857143</v>
      </c>
      <c r="S1317" s="8" t="n">
        <f aca="false">R1317+Q1317</f>
        <v>0.476190476190476</v>
      </c>
      <c r="T1317" s="8" t="n">
        <f aca="false">R1317-P1317</f>
        <v>0</v>
      </c>
    </row>
    <row r="1318" customFormat="false" ht="14.25" hidden="false" customHeight="true" outlineLevel="0" collapsed="false">
      <c r="A1318" s="6" t="n">
        <v>2018</v>
      </c>
      <c r="B1318" s="6" t="s">
        <v>71</v>
      </c>
      <c r="C1318" s="6" t="s">
        <v>375</v>
      </c>
      <c r="D1318" s="7" t="n">
        <v>6</v>
      </c>
      <c r="E1318" s="7" t="n">
        <v>14</v>
      </c>
      <c r="F1318" s="7" t="n">
        <v>1</v>
      </c>
      <c r="G1318" s="7" t="n">
        <v>2</v>
      </c>
      <c r="H1318" s="7" t="n">
        <v>0</v>
      </c>
      <c r="I1318" s="7" t="n">
        <v>0</v>
      </c>
      <c r="J1318" s="7" t="n">
        <v>0</v>
      </c>
      <c r="K1318" s="7" t="n">
        <v>0</v>
      </c>
      <c r="L1318" s="7" t="n">
        <v>2</v>
      </c>
      <c r="M1318" s="7" t="n">
        <v>1</v>
      </c>
      <c r="N1318" s="7" t="n">
        <v>0</v>
      </c>
      <c r="O1318" s="7" t="n">
        <v>0</v>
      </c>
      <c r="P1318" s="8" t="n">
        <f aca="false">IF(E1318=0,0,G1318/E1318)</f>
        <v>0.142857142857143</v>
      </c>
      <c r="Q1318" s="8" t="n">
        <f aca="false">IF(E1318+N1318=0,0,(G1318+N1318)/(E1318+N1318))</f>
        <v>0.142857142857143</v>
      </c>
      <c r="R1318" s="8" t="n">
        <f aca="false">IF(E1318=0,0,L1318/E1318)</f>
        <v>0.142857142857143</v>
      </c>
      <c r="S1318" s="8" t="n">
        <f aca="false">R1318+Q1318</f>
        <v>0.285714285714286</v>
      </c>
      <c r="T1318" s="8" t="n">
        <f aca="false">R1318-P1318</f>
        <v>0</v>
      </c>
    </row>
    <row r="1319" customFormat="false" ht="14.25" hidden="false" customHeight="true" outlineLevel="0" collapsed="false">
      <c r="A1319" s="6" t="n">
        <v>2018</v>
      </c>
      <c r="B1319" s="6" t="s">
        <v>71</v>
      </c>
      <c r="C1319" s="6" t="s">
        <v>246</v>
      </c>
      <c r="D1319" s="7" t="n">
        <v>4</v>
      </c>
      <c r="E1319" s="7" t="n">
        <v>5</v>
      </c>
      <c r="F1319" s="7" t="n">
        <v>0</v>
      </c>
      <c r="G1319" s="7" t="n">
        <v>1</v>
      </c>
      <c r="H1319" s="7" t="n">
        <v>0</v>
      </c>
      <c r="I1319" s="7" t="n">
        <v>0</v>
      </c>
      <c r="J1319" s="7" t="n">
        <v>0</v>
      </c>
      <c r="K1319" s="7" t="n">
        <v>0</v>
      </c>
      <c r="L1319" s="7" t="n">
        <v>1</v>
      </c>
      <c r="M1319" s="7" t="n">
        <v>0</v>
      </c>
      <c r="N1319" s="7" t="n">
        <v>0</v>
      </c>
      <c r="O1319" s="7" t="n">
        <v>0</v>
      </c>
      <c r="P1319" s="8" t="n">
        <f aca="false">IF(E1319=0,0,G1319/E1319)</f>
        <v>0.2</v>
      </c>
      <c r="Q1319" s="8" t="n">
        <f aca="false">IF(E1319+N1319=0,0,(G1319+N1319)/(E1319+N1319))</f>
        <v>0.2</v>
      </c>
      <c r="R1319" s="8" t="n">
        <f aca="false">IF(E1319=0,0,L1319/E1319)</f>
        <v>0.2</v>
      </c>
      <c r="S1319" s="8" t="n">
        <f aca="false">R1319+Q1319</f>
        <v>0.4</v>
      </c>
      <c r="T1319" s="8" t="n">
        <f aca="false">R1319-P1319</f>
        <v>0</v>
      </c>
    </row>
    <row r="1320" customFormat="false" ht="14.25" hidden="false" customHeight="true" outlineLevel="0" collapsed="false">
      <c r="A1320" s="6" t="n">
        <v>2018</v>
      </c>
      <c r="B1320" s="6" t="s">
        <v>71</v>
      </c>
      <c r="C1320" s="6" t="s">
        <v>249</v>
      </c>
      <c r="D1320" s="7" t="n">
        <v>3</v>
      </c>
      <c r="E1320" s="7" t="n">
        <v>8</v>
      </c>
      <c r="F1320" s="7" t="n">
        <v>1</v>
      </c>
      <c r="G1320" s="7" t="n">
        <v>1</v>
      </c>
      <c r="H1320" s="7" t="n">
        <v>0</v>
      </c>
      <c r="I1320" s="7" t="n">
        <v>0</v>
      </c>
      <c r="J1320" s="7" t="n">
        <v>0</v>
      </c>
      <c r="K1320" s="7" t="n">
        <v>0</v>
      </c>
      <c r="L1320" s="7" t="n">
        <v>1</v>
      </c>
      <c r="M1320" s="7" t="n">
        <v>1</v>
      </c>
      <c r="N1320" s="7" t="n">
        <v>0</v>
      </c>
      <c r="O1320" s="7" t="n">
        <v>0</v>
      </c>
      <c r="P1320" s="8" t="n">
        <f aca="false">IF(E1320=0,0,G1320/E1320)</f>
        <v>0.125</v>
      </c>
      <c r="Q1320" s="8" t="n">
        <f aca="false">IF(E1320+N1320=0,0,(G1320+N1320)/(E1320+N1320))</f>
        <v>0.125</v>
      </c>
      <c r="R1320" s="8" t="n">
        <f aca="false">IF(E1320=0,0,L1320/E1320)</f>
        <v>0.125</v>
      </c>
      <c r="S1320" s="8" t="n">
        <f aca="false">R1320+Q1320</f>
        <v>0.25</v>
      </c>
      <c r="T1320" s="8" t="n">
        <f aca="false">R1320-P1320</f>
        <v>0</v>
      </c>
    </row>
    <row r="1321" customFormat="false" ht="14.25" hidden="false" customHeight="true" outlineLevel="0" collapsed="false">
      <c r="A1321" s="6" t="n">
        <v>2018</v>
      </c>
      <c r="B1321" s="6" t="s">
        <v>71</v>
      </c>
      <c r="C1321" s="6" t="s">
        <v>510</v>
      </c>
      <c r="D1321" s="7" t="n">
        <v>1</v>
      </c>
      <c r="E1321" s="7" t="n">
        <v>3</v>
      </c>
      <c r="F1321" s="7" t="n">
        <v>0</v>
      </c>
      <c r="G1321" s="7" t="n">
        <v>0</v>
      </c>
      <c r="H1321" s="7" t="n">
        <v>0</v>
      </c>
      <c r="I1321" s="7" t="n">
        <v>0</v>
      </c>
      <c r="J1321" s="7" t="n">
        <v>0</v>
      </c>
      <c r="K1321" s="7" t="n">
        <v>0</v>
      </c>
      <c r="L1321" s="7" t="n">
        <v>0</v>
      </c>
      <c r="M1321" s="7" t="n">
        <v>0</v>
      </c>
      <c r="N1321" s="7" t="n">
        <v>0</v>
      </c>
      <c r="O1321" s="7" t="n">
        <v>0</v>
      </c>
      <c r="P1321" s="8" t="n">
        <f aca="false">IF(E1321=0,0,G1321/E1321)</f>
        <v>0</v>
      </c>
      <c r="Q1321" s="8" t="n">
        <f aca="false">IF(E1321+N1321=0,0,(G1321+N1321)/(E1321+N1321))</f>
        <v>0</v>
      </c>
      <c r="R1321" s="8" t="n">
        <f aca="false">IF(E1321=0,0,L1321/E1321)</f>
        <v>0</v>
      </c>
      <c r="S1321" s="8" t="n">
        <f aca="false">R1321+Q1321</f>
        <v>0</v>
      </c>
      <c r="T1321" s="8" t="n">
        <f aca="false">R1321-P1321</f>
        <v>0</v>
      </c>
    </row>
    <row r="1322" customFormat="false" ht="14.25" hidden="false" customHeight="true" outlineLevel="0" collapsed="false">
      <c r="A1322" s="6" t="n">
        <v>2018</v>
      </c>
      <c r="B1322" s="6" t="s">
        <v>71</v>
      </c>
      <c r="C1322" s="6" t="s">
        <v>245</v>
      </c>
      <c r="D1322" s="7" t="n">
        <v>1</v>
      </c>
      <c r="E1322" s="7" t="n">
        <v>0</v>
      </c>
      <c r="F1322" s="7" t="n">
        <v>1</v>
      </c>
      <c r="G1322" s="7" t="n">
        <v>0</v>
      </c>
      <c r="H1322" s="7" t="n">
        <v>0</v>
      </c>
      <c r="I1322" s="7" t="n">
        <v>0</v>
      </c>
      <c r="J1322" s="7" t="n">
        <v>0</v>
      </c>
      <c r="K1322" s="7" t="n">
        <v>0</v>
      </c>
      <c r="L1322" s="7" t="n">
        <v>0</v>
      </c>
      <c r="M1322" s="7" t="n">
        <v>0</v>
      </c>
      <c r="N1322" s="7" t="n">
        <v>1</v>
      </c>
      <c r="O1322" s="7" t="n">
        <v>0</v>
      </c>
      <c r="P1322" s="8" t="n">
        <f aca="false">IF(E1322=0,0,G1322/E1322)</f>
        <v>0</v>
      </c>
      <c r="Q1322" s="8" t="n">
        <f aca="false">IF(E1322+N1322=0,0,(G1322+N1322)/(E1322+N1322))</f>
        <v>1</v>
      </c>
      <c r="R1322" s="8" t="n">
        <f aca="false">IF(E1322=0,0,L1322/E1322)</f>
        <v>0</v>
      </c>
      <c r="S1322" s="8" t="n">
        <f aca="false">R1322+Q1322</f>
        <v>1</v>
      </c>
      <c r="T1322" s="8" t="n">
        <f aca="false">R1322-P1322</f>
        <v>0</v>
      </c>
    </row>
    <row r="1323" customFormat="false" ht="14.25" hidden="false" customHeight="true" outlineLevel="0" collapsed="false">
      <c r="A1323" s="6" t="n">
        <v>2018</v>
      </c>
      <c r="B1323" s="6" t="s">
        <v>97</v>
      </c>
      <c r="C1323" s="6" t="s">
        <v>108</v>
      </c>
      <c r="D1323" s="7" t="n">
        <v>11</v>
      </c>
      <c r="E1323" s="7" t="n">
        <v>31</v>
      </c>
      <c r="F1323" s="7" t="n">
        <v>2</v>
      </c>
      <c r="G1323" s="7" t="n">
        <v>15</v>
      </c>
      <c r="H1323" s="7" t="n">
        <v>1</v>
      </c>
      <c r="I1323" s="7" t="n">
        <v>0</v>
      </c>
      <c r="J1323" s="7" t="n">
        <v>0</v>
      </c>
      <c r="K1323" s="7" t="n">
        <v>1</v>
      </c>
      <c r="L1323" s="7" t="n">
        <v>16</v>
      </c>
      <c r="M1323" s="7" t="n">
        <v>11</v>
      </c>
      <c r="N1323" s="7" t="n">
        <v>6</v>
      </c>
      <c r="O1323" s="7" t="n">
        <v>0</v>
      </c>
      <c r="P1323" s="8" t="n">
        <f aca="false">IF(E1323=0,0,G1323/E1323)</f>
        <v>0.483870967741936</v>
      </c>
      <c r="Q1323" s="8" t="n">
        <f aca="false">IF(E1323+N1323=0,0,(G1323+N1323)/(E1323+N1323))</f>
        <v>0.567567567567568</v>
      </c>
      <c r="R1323" s="8" t="n">
        <f aca="false">IF(E1323=0,0,L1323/E1323)</f>
        <v>0.516129032258065</v>
      </c>
      <c r="S1323" s="8" t="n">
        <f aca="false">R1323+Q1323</f>
        <v>1.08369659982563</v>
      </c>
      <c r="T1323" s="8" t="n">
        <f aca="false">R1323-P1323</f>
        <v>0.032258064516129</v>
      </c>
    </row>
    <row r="1324" customFormat="false" ht="14.25" hidden="false" customHeight="true" outlineLevel="0" collapsed="false">
      <c r="A1324" s="6" t="n">
        <v>2018</v>
      </c>
      <c r="B1324" s="6" t="s">
        <v>97</v>
      </c>
      <c r="C1324" s="6" t="s">
        <v>178</v>
      </c>
      <c r="D1324" s="7" t="n">
        <v>11</v>
      </c>
      <c r="E1324" s="7" t="n">
        <v>31</v>
      </c>
      <c r="F1324" s="7" t="n">
        <v>15</v>
      </c>
      <c r="G1324" s="7" t="n">
        <v>13</v>
      </c>
      <c r="H1324" s="7" t="n">
        <v>0</v>
      </c>
      <c r="I1324" s="7" t="n">
        <v>0</v>
      </c>
      <c r="J1324" s="7" t="n">
        <v>8</v>
      </c>
      <c r="K1324" s="7" t="n">
        <v>8</v>
      </c>
      <c r="L1324" s="7" t="n">
        <v>37</v>
      </c>
      <c r="M1324" s="7" t="n">
        <v>16</v>
      </c>
      <c r="N1324" s="7" t="n">
        <v>9</v>
      </c>
      <c r="O1324" s="7" t="n">
        <v>0</v>
      </c>
      <c r="P1324" s="8" t="n">
        <f aca="false">IF(E1324=0,0,G1324/E1324)</f>
        <v>0.419354838709677</v>
      </c>
      <c r="Q1324" s="8" t="n">
        <f aca="false">IF(E1324+N1324=0,0,(G1324+N1324)/(E1324+N1324))</f>
        <v>0.55</v>
      </c>
      <c r="R1324" s="8" t="n">
        <f aca="false">IF(E1324=0,0,L1324/E1324)</f>
        <v>1.19354838709677</v>
      </c>
      <c r="S1324" s="8" t="n">
        <f aca="false">R1324+Q1324</f>
        <v>1.74354838709677</v>
      </c>
      <c r="T1324" s="8" t="n">
        <f aca="false">R1324-P1324</f>
        <v>0.774193548387097</v>
      </c>
    </row>
    <row r="1325" customFormat="false" ht="14.25" hidden="false" customHeight="true" outlineLevel="0" collapsed="false">
      <c r="A1325" s="6" t="n">
        <v>2018</v>
      </c>
      <c r="B1325" s="6" t="s">
        <v>97</v>
      </c>
      <c r="C1325" s="6" t="s">
        <v>436</v>
      </c>
      <c r="D1325" s="7" t="n">
        <v>8</v>
      </c>
      <c r="E1325" s="7" t="n">
        <v>27</v>
      </c>
      <c r="F1325" s="7" t="n">
        <v>9</v>
      </c>
      <c r="G1325" s="7" t="n">
        <v>12</v>
      </c>
      <c r="H1325" s="7" t="n">
        <v>1</v>
      </c>
      <c r="I1325" s="7" t="n">
        <v>1</v>
      </c>
      <c r="J1325" s="7" t="n">
        <v>5</v>
      </c>
      <c r="K1325" s="7" t="n">
        <v>7</v>
      </c>
      <c r="L1325" s="7" t="n">
        <v>30</v>
      </c>
      <c r="M1325" s="7" t="n">
        <v>11</v>
      </c>
      <c r="N1325" s="7" t="n">
        <v>2</v>
      </c>
      <c r="O1325" s="7" t="n">
        <v>1</v>
      </c>
      <c r="P1325" s="8" t="n">
        <f aca="false">IF(E1325=0,0,G1325/E1325)</f>
        <v>0.444444444444444</v>
      </c>
      <c r="Q1325" s="8" t="n">
        <f aca="false">IF(E1325+N1325=0,0,(G1325+N1325)/(E1325+N1325))</f>
        <v>0.482758620689655</v>
      </c>
      <c r="R1325" s="8" t="n">
        <f aca="false">IF(E1325=0,0,L1325/E1325)</f>
        <v>1.11111111111111</v>
      </c>
      <c r="S1325" s="8" t="n">
        <f aca="false">R1325+Q1325</f>
        <v>1.59386973180077</v>
      </c>
      <c r="T1325" s="8" t="n">
        <f aca="false">R1325-P1325</f>
        <v>0.666666666666667</v>
      </c>
    </row>
    <row r="1326" customFormat="false" ht="14.25" hidden="false" customHeight="true" outlineLevel="0" collapsed="false">
      <c r="A1326" s="6" t="n">
        <v>2018</v>
      </c>
      <c r="B1326" s="6" t="s">
        <v>97</v>
      </c>
      <c r="C1326" s="6" t="s">
        <v>172</v>
      </c>
      <c r="D1326" s="7" t="n">
        <v>11</v>
      </c>
      <c r="E1326" s="7" t="n">
        <v>34</v>
      </c>
      <c r="F1326" s="7" t="n">
        <v>9</v>
      </c>
      <c r="G1326" s="7" t="n">
        <v>11</v>
      </c>
      <c r="H1326" s="7" t="n">
        <v>2</v>
      </c>
      <c r="I1326" s="7" t="n">
        <v>0</v>
      </c>
      <c r="J1326" s="7" t="n">
        <v>4</v>
      </c>
      <c r="K1326" s="7" t="n">
        <v>6</v>
      </c>
      <c r="L1326" s="7" t="n">
        <v>25</v>
      </c>
      <c r="M1326" s="7" t="n">
        <v>8</v>
      </c>
      <c r="N1326" s="7" t="n">
        <v>4</v>
      </c>
      <c r="O1326" s="7" t="n">
        <v>2</v>
      </c>
      <c r="P1326" s="8" t="n">
        <f aca="false">IF(E1326=0,0,G1326/E1326)</f>
        <v>0.323529411764706</v>
      </c>
      <c r="Q1326" s="8" t="n">
        <f aca="false">IF(E1326+N1326=0,0,(G1326+N1326)/(E1326+N1326))</f>
        <v>0.394736842105263</v>
      </c>
      <c r="R1326" s="8" t="n">
        <f aca="false">IF(E1326=0,0,L1326/E1326)</f>
        <v>0.735294117647059</v>
      </c>
      <c r="S1326" s="8" t="n">
        <f aca="false">R1326+Q1326</f>
        <v>1.13003095975232</v>
      </c>
      <c r="T1326" s="8" t="n">
        <f aca="false">R1326-P1326</f>
        <v>0.411764705882353</v>
      </c>
    </row>
    <row r="1327" customFormat="false" ht="14.25" hidden="false" customHeight="true" outlineLevel="0" collapsed="false">
      <c r="A1327" s="6" t="n">
        <v>2018</v>
      </c>
      <c r="B1327" s="6" t="s">
        <v>97</v>
      </c>
      <c r="C1327" s="6" t="s">
        <v>54</v>
      </c>
      <c r="D1327" s="7" t="n">
        <v>9</v>
      </c>
      <c r="E1327" s="7" t="n">
        <v>34</v>
      </c>
      <c r="F1327" s="7" t="n">
        <v>8</v>
      </c>
      <c r="G1327" s="7" t="n">
        <v>10</v>
      </c>
      <c r="H1327" s="7" t="n">
        <v>2</v>
      </c>
      <c r="I1327" s="7" t="n">
        <v>2</v>
      </c>
      <c r="J1327" s="7" t="n">
        <v>0</v>
      </c>
      <c r="K1327" s="7" t="n">
        <v>4</v>
      </c>
      <c r="L1327" s="7" t="n">
        <v>16</v>
      </c>
      <c r="M1327" s="7" t="n">
        <v>1</v>
      </c>
      <c r="N1327" s="7" t="n">
        <v>1</v>
      </c>
      <c r="O1327" s="7" t="n">
        <v>0</v>
      </c>
      <c r="P1327" s="8" t="n">
        <f aca="false">IF(E1327=0,0,G1327/E1327)</f>
        <v>0.294117647058824</v>
      </c>
      <c r="Q1327" s="8" t="n">
        <f aca="false">IF(E1327+N1327=0,0,(G1327+N1327)/(E1327+N1327))</f>
        <v>0.314285714285714</v>
      </c>
      <c r="R1327" s="8" t="n">
        <f aca="false">IF(E1327=0,0,L1327/E1327)</f>
        <v>0.470588235294118</v>
      </c>
      <c r="S1327" s="8" t="n">
        <f aca="false">R1327+Q1327</f>
        <v>0.784873949579832</v>
      </c>
      <c r="T1327" s="8" t="n">
        <f aca="false">R1327-P1327</f>
        <v>0.176470588235294</v>
      </c>
    </row>
    <row r="1328" customFormat="false" ht="14.25" hidden="false" customHeight="true" outlineLevel="0" collapsed="false">
      <c r="A1328" s="6" t="n">
        <v>2018</v>
      </c>
      <c r="B1328" s="6" t="s">
        <v>97</v>
      </c>
      <c r="C1328" s="6" t="s">
        <v>170</v>
      </c>
      <c r="D1328" s="7" t="n">
        <v>11</v>
      </c>
      <c r="E1328" s="7" t="n">
        <v>30</v>
      </c>
      <c r="F1328" s="7" t="n">
        <v>4</v>
      </c>
      <c r="G1328" s="7" t="n">
        <v>8</v>
      </c>
      <c r="H1328" s="7" t="n">
        <v>0</v>
      </c>
      <c r="I1328" s="7" t="n">
        <v>0</v>
      </c>
      <c r="J1328" s="7" t="n">
        <v>0</v>
      </c>
      <c r="K1328" s="7" t="n">
        <v>0</v>
      </c>
      <c r="L1328" s="7" t="n">
        <v>8</v>
      </c>
      <c r="M1328" s="7" t="n">
        <v>2</v>
      </c>
      <c r="N1328" s="7" t="n">
        <v>7</v>
      </c>
      <c r="O1328" s="7" t="n">
        <v>3</v>
      </c>
      <c r="P1328" s="8" t="n">
        <f aca="false">IF(E1328=0,0,G1328/E1328)</f>
        <v>0.266666666666667</v>
      </c>
      <c r="Q1328" s="8" t="n">
        <f aca="false">IF(E1328+N1328=0,0,(G1328+N1328)/(E1328+N1328))</f>
        <v>0.405405405405405</v>
      </c>
      <c r="R1328" s="8" t="n">
        <f aca="false">IF(E1328=0,0,L1328/E1328)</f>
        <v>0.266666666666667</v>
      </c>
      <c r="S1328" s="8" t="n">
        <f aca="false">R1328+Q1328</f>
        <v>0.672072072072072</v>
      </c>
      <c r="T1328" s="8" t="n">
        <f aca="false">R1328-P1328</f>
        <v>0</v>
      </c>
    </row>
    <row r="1329" customFormat="false" ht="14.25" hidden="false" customHeight="true" outlineLevel="0" collapsed="false">
      <c r="A1329" s="6" t="n">
        <v>2018</v>
      </c>
      <c r="B1329" s="6" t="s">
        <v>97</v>
      </c>
      <c r="C1329" s="6" t="s">
        <v>255</v>
      </c>
      <c r="D1329" s="7" t="n">
        <v>4</v>
      </c>
      <c r="E1329" s="7" t="n">
        <v>13</v>
      </c>
      <c r="F1329" s="7" t="n">
        <v>6</v>
      </c>
      <c r="G1329" s="7" t="n">
        <v>6</v>
      </c>
      <c r="H1329" s="7" t="n">
        <v>2</v>
      </c>
      <c r="I1329" s="7" t="n">
        <v>0</v>
      </c>
      <c r="J1329" s="7" t="n">
        <v>0</v>
      </c>
      <c r="K1329" s="7" t="n">
        <v>2</v>
      </c>
      <c r="L1329" s="7" t="n">
        <v>8</v>
      </c>
      <c r="M1329" s="7" t="n">
        <v>0</v>
      </c>
      <c r="N1329" s="7" t="n">
        <v>1</v>
      </c>
      <c r="O1329" s="7" t="n">
        <v>0</v>
      </c>
      <c r="P1329" s="8" t="n">
        <f aca="false">IF(E1329=0,0,G1329/E1329)</f>
        <v>0.461538461538462</v>
      </c>
      <c r="Q1329" s="8" t="n">
        <f aca="false">IF(E1329+N1329=0,0,(G1329+N1329)/(E1329+N1329))</f>
        <v>0.5</v>
      </c>
      <c r="R1329" s="8" t="n">
        <f aca="false">IF(E1329=0,0,L1329/E1329)</f>
        <v>0.615384615384615</v>
      </c>
      <c r="S1329" s="8" t="n">
        <f aca="false">R1329+Q1329</f>
        <v>1.11538461538462</v>
      </c>
      <c r="T1329" s="8" t="n">
        <f aca="false">R1329-P1329</f>
        <v>0.153846153846154</v>
      </c>
    </row>
    <row r="1330" customFormat="false" ht="14.25" hidden="false" customHeight="true" outlineLevel="0" collapsed="false">
      <c r="A1330" s="6" t="n">
        <v>2018</v>
      </c>
      <c r="B1330" s="6" t="s">
        <v>97</v>
      </c>
      <c r="C1330" s="6" t="s">
        <v>289</v>
      </c>
      <c r="D1330" s="7" t="n">
        <v>8</v>
      </c>
      <c r="E1330" s="7" t="n">
        <v>21</v>
      </c>
      <c r="F1330" s="7" t="n">
        <v>2</v>
      </c>
      <c r="G1330" s="7" t="n">
        <v>5</v>
      </c>
      <c r="H1330" s="7" t="n">
        <v>0</v>
      </c>
      <c r="I1330" s="7" t="n">
        <v>0</v>
      </c>
      <c r="J1330" s="7" t="n">
        <v>0</v>
      </c>
      <c r="K1330" s="7" t="n">
        <v>0</v>
      </c>
      <c r="L1330" s="7" t="n">
        <v>5</v>
      </c>
      <c r="M1330" s="7" t="n">
        <v>1</v>
      </c>
      <c r="N1330" s="7" t="n">
        <v>3</v>
      </c>
      <c r="O1330" s="7" t="n">
        <v>1</v>
      </c>
      <c r="P1330" s="8" t="n">
        <f aca="false">IF(E1330=0,0,G1330/E1330)</f>
        <v>0.238095238095238</v>
      </c>
      <c r="Q1330" s="8" t="n">
        <f aca="false">IF(E1330+N1330=0,0,(G1330+N1330)/(E1330+N1330))</f>
        <v>0.333333333333333</v>
      </c>
      <c r="R1330" s="8" t="n">
        <f aca="false">IF(E1330=0,0,L1330/E1330)</f>
        <v>0.238095238095238</v>
      </c>
      <c r="S1330" s="8" t="n">
        <f aca="false">R1330+Q1330</f>
        <v>0.571428571428571</v>
      </c>
      <c r="T1330" s="8" t="n">
        <f aca="false">R1330-P1330</f>
        <v>0</v>
      </c>
    </row>
    <row r="1331" customFormat="false" ht="14.25" hidden="false" customHeight="true" outlineLevel="0" collapsed="false">
      <c r="A1331" s="6" t="n">
        <v>2018</v>
      </c>
      <c r="B1331" s="6" t="s">
        <v>97</v>
      </c>
      <c r="C1331" s="6" t="s">
        <v>177</v>
      </c>
      <c r="D1331" s="7" t="n">
        <v>7</v>
      </c>
      <c r="E1331" s="7" t="n">
        <v>24</v>
      </c>
      <c r="F1331" s="7" t="n">
        <v>3</v>
      </c>
      <c r="G1331" s="7" t="n">
        <v>4</v>
      </c>
      <c r="H1331" s="7" t="n">
        <v>1</v>
      </c>
      <c r="I1331" s="7" t="n">
        <v>0</v>
      </c>
      <c r="J1331" s="7" t="n">
        <v>0</v>
      </c>
      <c r="K1331" s="7" t="n">
        <v>1</v>
      </c>
      <c r="L1331" s="7" t="n">
        <v>5</v>
      </c>
      <c r="M1331" s="7" t="n">
        <v>3</v>
      </c>
      <c r="N1331" s="7" t="n">
        <v>1</v>
      </c>
      <c r="O1331" s="7" t="n">
        <v>1</v>
      </c>
      <c r="P1331" s="8" t="n">
        <f aca="false">IF(E1331=0,0,G1331/E1331)</f>
        <v>0.166666666666667</v>
      </c>
      <c r="Q1331" s="8" t="n">
        <f aca="false">IF(E1331+N1331=0,0,(G1331+N1331)/(E1331+N1331))</f>
        <v>0.2</v>
      </c>
      <c r="R1331" s="8" t="n">
        <f aca="false">IF(E1331=0,0,L1331/E1331)</f>
        <v>0.208333333333333</v>
      </c>
      <c r="S1331" s="8" t="n">
        <f aca="false">R1331+Q1331</f>
        <v>0.408333333333333</v>
      </c>
      <c r="T1331" s="8" t="n">
        <f aca="false">R1331-P1331</f>
        <v>0.0416666666666667</v>
      </c>
    </row>
    <row r="1332" customFormat="false" ht="14.25" hidden="false" customHeight="true" outlineLevel="0" collapsed="false">
      <c r="A1332" s="6" t="n">
        <v>2018</v>
      </c>
      <c r="B1332" s="6" t="s">
        <v>97</v>
      </c>
      <c r="C1332" s="6" t="s">
        <v>382</v>
      </c>
      <c r="D1332" s="7" t="n">
        <v>6</v>
      </c>
      <c r="E1332" s="7" t="n">
        <v>14</v>
      </c>
      <c r="F1332" s="7" t="n">
        <v>1</v>
      </c>
      <c r="G1332" s="7" t="n">
        <v>4</v>
      </c>
      <c r="H1332" s="7" t="n">
        <v>0</v>
      </c>
      <c r="I1332" s="7" t="n">
        <v>0</v>
      </c>
      <c r="J1332" s="7" t="n">
        <v>0</v>
      </c>
      <c r="K1332" s="7" t="n">
        <v>0</v>
      </c>
      <c r="L1332" s="7" t="n">
        <v>4</v>
      </c>
      <c r="M1332" s="7" t="n">
        <v>1</v>
      </c>
      <c r="N1332" s="7" t="n">
        <v>3</v>
      </c>
      <c r="O1332" s="7" t="n">
        <v>0</v>
      </c>
      <c r="P1332" s="8" t="n">
        <f aca="false">IF(E1332=0,0,G1332/E1332)</f>
        <v>0.285714285714286</v>
      </c>
      <c r="Q1332" s="8" t="n">
        <f aca="false">IF(E1332+N1332=0,0,(G1332+N1332)/(E1332+N1332))</f>
        <v>0.411764705882353</v>
      </c>
      <c r="R1332" s="8" t="n">
        <f aca="false">IF(E1332=0,0,L1332/E1332)</f>
        <v>0.285714285714286</v>
      </c>
      <c r="S1332" s="8" t="n">
        <f aca="false">R1332+Q1332</f>
        <v>0.697478991596639</v>
      </c>
      <c r="T1332" s="8" t="n">
        <f aca="false">R1332-P1332</f>
        <v>0</v>
      </c>
    </row>
    <row r="1333" customFormat="false" ht="14.25" hidden="false" customHeight="true" outlineLevel="0" collapsed="false">
      <c r="A1333" s="6" t="n">
        <v>2018</v>
      </c>
      <c r="B1333" s="6" t="s">
        <v>97</v>
      </c>
      <c r="C1333" s="6" t="s">
        <v>307</v>
      </c>
      <c r="D1333" s="7" t="n">
        <v>5</v>
      </c>
      <c r="E1333" s="7" t="n">
        <v>11</v>
      </c>
      <c r="F1333" s="7" t="n">
        <v>2</v>
      </c>
      <c r="G1333" s="7" t="n">
        <v>3</v>
      </c>
      <c r="H1333" s="7" t="n">
        <v>0</v>
      </c>
      <c r="I1333" s="7" t="n">
        <v>0</v>
      </c>
      <c r="J1333" s="7" t="n">
        <v>1</v>
      </c>
      <c r="K1333" s="7" t="n">
        <v>1</v>
      </c>
      <c r="L1333" s="7" t="n">
        <v>6</v>
      </c>
      <c r="M1333" s="7" t="n">
        <v>4</v>
      </c>
      <c r="N1333" s="7" t="n">
        <v>2</v>
      </c>
      <c r="O1333" s="7" t="n">
        <v>0</v>
      </c>
      <c r="P1333" s="8" t="n">
        <f aca="false">IF(E1333=0,0,G1333/E1333)</f>
        <v>0.272727272727273</v>
      </c>
      <c r="Q1333" s="8" t="n">
        <f aca="false">IF(E1333+N1333=0,0,(G1333+N1333)/(E1333+N1333))</f>
        <v>0.384615384615385</v>
      </c>
      <c r="R1333" s="8" t="n">
        <f aca="false">IF(E1333=0,0,L1333/E1333)</f>
        <v>0.545454545454545</v>
      </c>
      <c r="S1333" s="8" t="n">
        <f aca="false">R1333+Q1333</f>
        <v>0.93006993006993</v>
      </c>
      <c r="T1333" s="8" t="n">
        <f aca="false">R1333-P1333</f>
        <v>0.272727272727273</v>
      </c>
    </row>
    <row r="1334" customFormat="false" ht="14.25" hidden="false" customHeight="true" outlineLevel="0" collapsed="false">
      <c r="A1334" s="6" t="n">
        <v>2018</v>
      </c>
      <c r="B1334" s="6" t="s">
        <v>97</v>
      </c>
      <c r="C1334" s="6" t="s">
        <v>471</v>
      </c>
      <c r="D1334" s="7" t="n">
        <v>7</v>
      </c>
      <c r="E1334" s="7" t="n">
        <v>21</v>
      </c>
      <c r="F1334" s="7" t="n">
        <v>1</v>
      </c>
      <c r="G1334" s="7" t="n">
        <v>1</v>
      </c>
      <c r="H1334" s="7" t="n">
        <v>0</v>
      </c>
      <c r="I1334" s="7" t="n">
        <v>0</v>
      </c>
      <c r="J1334" s="7" t="n">
        <v>0</v>
      </c>
      <c r="K1334" s="7" t="n">
        <v>0</v>
      </c>
      <c r="L1334" s="7" t="n">
        <v>1</v>
      </c>
      <c r="M1334" s="7" t="n">
        <v>0</v>
      </c>
      <c r="N1334" s="7" t="n">
        <v>0</v>
      </c>
      <c r="O1334" s="7" t="n">
        <v>2</v>
      </c>
      <c r="P1334" s="8" t="n">
        <f aca="false">IF(E1334=0,0,G1334/E1334)</f>
        <v>0.0476190476190476</v>
      </c>
      <c r="Q1334" s="8" t="n">
        <f aca="false">IF(E1334+N1334=0,0,(G1334+N1334)/(E1334+N1334))</f>
        <v>0.0476190476190476</v>
      </c>
      <c r="R1334" s="8" t="n">
        <f aca="false">IF(E1334=0,0,L1334/E1334)</f>
        <v>0.0476190476190476</v>
      </c>
      <c r="S1334" s="8" t="n">
        <f aca="false">R1334+Q1334</f>
        <v>0.0952380952380952</v>
      </c>
      <c r="T1334" s="8" t="n">
        <f aca="false">R1334-P1334</f>
        <v>0</v>
      </c>
    </row>
    <row r="1335" customFormat="false" ht="14.25" hidden="false" customHeight="true" outlineLevel="0" collapsed="false">
      <c r="A1335" s="6" t="n">
        <v>2018</v>
      </c>
      <c r="B1335" s="6" t="s">
        <v>97</v>
      </c>
      <c r="C1335" s="6" t="s">
        <v>511</v>
      </c>
      <c r="D1335" s="7" t="n">
        <v>2</v>
      </c>
      <c r="E1335" s="7" t="n">
        <v>5</v>
      </c>
      <c r="F1335" s="7" t="n">
        <v>0</v>
      </c>
      <c r="G1335" s="7" t="n">
        <v>1</v>
      </c>
      <c r="H1335" s="7" t="n">
        <v>0</v>
      </c>
      <c r="I1335" s="7" t="n">
        <v>0</v>
      </c>
      <c r="J1335" s="7" t="n">
        <v>0</v>
      </c>
      <c r="K1335" s="7" t="n">
        <v>0</v>
      </c>
      <c r="L1335" s="7" t="n">
        <v>1</v>
      </c>
      <c r="M1335" s="7" t="n">
        <v>1</v>
      </c>
      <c r="N1335" s="7" t="n">
        <v>1</v>
      </c>
      <c r="O1335" s="7" t="n">
        <v>0</v>
      </c>
      <c r="P1335" s="8" t="n">
        <f aca="false">IF(E1335=0,0,G1335/E1335)</f>
        <v>0.2</v>
      </c>
      <c r="Q1335" s="8" t="n">
        <f aca="false">IF(E1335+N1335=0,0,(G1335+N1335)/(E1335+N1335))</f>
        <v>0.333333333333333</v>
      </c>
      <c r="R1335" s="8" t="n">
        <f aca="false">IF(E1335=0,0,L1335/E1335)</f>
        <v>0.2</v>
      </c>
      <c r="S1335" s="8" t="n">
        <f aca="false">R1335+Q1335</f>
        <v>0.533333333333333</v>
      </c>
      <c r="T1335" s="8" t="n">
        <f aca="false">R1335-P1335</f>
        <v>0</v>
      </c>
    </row>
    <row r="1336" customFormat="false" ht="14.25" hidden="false" customHeight="true" outlineLevel="0" collapsed="false">
      <c r="A1336" s="6" t="n">
        <v>2018</v>
      </c>
      <c r="B1336" s="6" t="s">
        <v>97</v>
      </c>
      <c r="C1336" s="6" t="s">
        <v>410</v>
      </c>
      <c r="D1336" s="7" t="n">
        <v>1</v>
      </c>
      <c r="E1336" s="7" t="n">
        <v>2</v>
      </c>
      <c r="F1336" s="7" t="n">
        <v>0</v>
      </c>
      <c r="G1336" s="7" t="n">
        <v>1</v>
      </c>
      <c r="H1336" s="7" t="n">
        <v>0</v>
      </c>
      <c r="I1336" s="7" t="n">
        <v>0</v>
      </c>
      <c r="J1336" s="7" t="n">
        <v>0</v>
      </c>
      <c r="K1336" s="7" t="n">
        <v>0</v>
      </c>
      <c r="L1336" s="7" t="n">
        <v>1</v>
      </c>
      <c r="M1336" s="7" t="n">
        <v>0</v>
      </c>
      <c r="N1336" s="7" t="n">
        <v>1</v>
      </c>
      <c r="O1336" s="7" t="n">
        <v>0</v>
      </c>
      <c r="P1336" s="8" t="n">
        <f aca="false">IF(E1336=0,0,G1336/E1336)</f>
        <v>0.5</v>
      </c>
      <c r="Q1336" s="8" t="n">
        <f aca="false">IF(E1336+N1336=0,0,(G1336+N1336)/(E1336+N1336))</f>
        <v>0.666666666666667</v>
      </c>
      <c r="R1336" s="8" t="n">
        <f aca="false">IF(E1336=0,0,L1336/E1336)</f>
        <v>0.5</v>
      </c>
      <c r="S1336" s="8" t="n">
        <f aca="false">R1336+Q1336</f>
        <v>1.16666666666667</v>
      </c>
      <c r="T1336" s="8" t="n">
        <f aca="false">R1336-P1336</f>
        <v>0</v>
      </c>
    </row>
    <row r="1337" customFormat="false" ht="14.25" hidden="false" customHeight="true" outlineLevel="0" collapsed="false">
      <c r="A1337" s="6" t="n">
        <v>2018</v>
      </c>
      <c r="B1337" s="6" t="s">
        <v>97</v>
      </c>
      <c r="C1337" s="6" t="s">
        <v>253</v>
      </c>
      <c r="D1337" s="7" t="n">
        <v>2</v>
      </c>
      <c r="E1337" s="7" t="n">
        <v>6</v>
      </c>
      <c r="F1337" s="7" t="n">
        <v>2</v>
      </c>
      <c r="G1337" s="7" t="n">
        <v>1</v>
      </c>
      <c r="H1337" s="7" t="n">
        <v>0</v>
      </c>
      <c r="I1337" s="7" t="n">
        <v>0</v>
      </c>
      <c r="J1337" s="7" t="n">
        <v>0</v>
      </c>
      <c r="K1337" s="7" t="n">
        <v>0</v>
      </c>
      <c r="L1337" s="7" t="n">
        <v>1</v>
      </c>
      <c r="M1337" s="7" t="n">
        <v>1</v>
      </c>
      <c r="N1337" s="7" t="n">
        <v>0</v>
      </c>
      <c r="O1337" s="7" t="n">
        <v>0</v>
      </c>
      <c r="P1337" s="8" t="n">
        <f aca="false">IF(E1337=0,0,G1337/E1337)</f>
        <v>0.166666666666667</v>
      </c>
      <c r="Q1337" s="8" t="n">
        <f aca="false">IF(E1337+N1337=0,0,(G1337+N1337)/(E1337+N1337))</f>
        <v>0.166666666666667</v>
      </c>
      <c r="R1337" s="8" t="n">
        <f aca="false">IF(E1337=0,0,L1337/E1337)</f>
        <v>0.166666666666667</v>
      </c>
      <c r="S1337" s="8" t="n">
        <f aca="false">R1337+Q1337</f>
        <v>0.333333333333333</v>
      </c>
      <c r="T1337" s="8" t="n">
        <f aca="false">R1337-P1337</f>
        <v>0</v>
      </c>
    </row>
    <row r="1338" customFormat="false" ht="14.25" hidden="false" customHeight="true" outlineLevel="0" collapsed="false">
      <c r="A1338" s="6" t="n">
        <v>2018</v>
      </c>
      <c r="B1338" s="6" t="s">
        <v>97</v>
      </c>
      <c r="C1338" s="6" t="s">
        <v>512</v>
      </c>
      <c r="D1338" s="7" t="n">
        <v>2</v>
      </c>
      <c r="E1338" s="7" t="n">
        <v>5</v>
      </c>
      <c r="F1338" s="7" t="n">
        <v>0</v>
      </c>
      <c r="G1338" s="7" t="n">
        <v>0</v>
      </c>
      <c r="H1338" s="7" t="n">
        <v>0</v>
      </c>
      <c r="I1338" s="7" t="n">
        <v>0</v>
      </c>
      <c r="J1338" s="7" t="n">
        <v>0</v>
      </c>
      <c r="K1338" s="7" t="n">
        <v>0</v>
      </c>
      <c r="L1338" s="7" t="n">
        <v>0</v>
      </c>
      <c r="M1338" s="7" t="n">
        <v>0</v>
      </c>
      <c r="N1338" s="7" t="n">
        <v>0</v>
      </c>
      <c r="O1338" s="7" t="n">
        <v>0</v>
      </c>
      <c r="P1338" s="8" t="n">
        <f aca="false">IF(E1338=0,0,G1338/E1338)</f>
        <v>0</v>
      </c>
      <c r="Q1338" s="8" t="n">
        <f aca="false">IF(E1338+N1338=0,0,(G1338+N1338)/(E1338+N1338))</f>
        <v>0</v>
      </c>
      <c r="R1338" s="8" t="n">
        <f aca="false">IF(E1338=0,0,L1338/E1338)</f>
        <v>0</v>
      </c>
      <c r="S1338" s="8" t="n">
        <f aca="false">R1338+Q1338</f>
        <v>0</v>
      </c>
      <c r="T1338" s="8" t="n">
        <f aca="false">R1338-P1338</f>
        <v>0</v>
      </c>
    </row>
    <row r="1339" customFormat="false" ht="14.25" hidden="false" customHeight="true" outlineLevel="0" collapsed="false">
      <c r="A1339" s="6" t="n">
        <v>2018</v>
      </c>
      <c r="B1339" s="6" t="s">
        <v>97</v>
      </c>
      <c r="C1339" s="6" t="s">
        <v>385</v>
      </c>
      <c r="D1339" s="7" t="n">
        <v>4</v>
      </c>
      <c r="E1339" s="7" t="n">
        <v>9</v>
      </c>
      <c r="F1339" s="7" t="n">
        <v>0</v>
      </c>
      <c r="G1339" s="7" t="n">
        <v>0</v>
      </c>
      <c r="H1339" s="7" t="n">
        <v>0</v>
      </c>
      <c r="I1339" s="7" t="n">
        <v>0</v>
      </c>
      <c r="J1339" s="7" t="n">
        <v>0</v>
      </c>
      <c r="K1339" s="7" t="n">
        <v>0</v>
      </c>
      <c r="L1339" s="7" t="n">
        <v>0</v>
      </c>
      <c r="M1339" s="7" t="n">
        <v>1</v>
      </c>
      <c r="N1339" s="7" t="n">
        <v>1</v>
      </c>
      <c r="O1339" s="7" t="n">
        <v>0</v>
      </c>
      <c r="P1339" s="8" t="n">
        <f aca="false">IF(E1339=0,0,G1339/E1339)</f>
        <v>0</v>
      </c>
      <c r="Q1339" s="8" t="n">
        <f aca="false">IF(E1339+N1339=0,0,(G1339+N1339)/(E1339+N1339))</f>
        <v>0.1</v>
      </c>
      <c r="R1339" s="8" t="n">
        <f aca="false">IF(E1339=0,0,L1339/E1339)</f>
        <v>0</v>
      </c>
      <c r="S1339" s="8" t="n">
        <f aca="false">R1339+Q1339</f>
        <v>0.1</v>
      </c>
      <c r="T1339" s="8" t="n">
        <f aca="false">R1339-P1339</f>
        <v>0</v>
      </c>
    </row>
    <row r="1340" customFormat="false" ht="14.25" hidden="false" customHeight="true" outlineLevel="0" collapsed="false">
      <c r="A1340" s="6" t="n">
        <v>2018</v>
      </c>
      <c r="B1340" s="6" t="s">
        <v>97</v>
      </c>
      <c r="C1340" s="6" t="s">
        <v>457</v>
      </c>
      <c r="D1340" s="7" t="n">
        <v>1</v>
      </c>
      <c r="E1340" s="7" t="n">
        <v>3</v>
      </c>
      <c r="F1340" s="7" t="n">
        <v>0</v>
      </c>
      <c r="G1340" s="7" t="n">
        <v>0</v>
      </c>
      <c r="H1340" s="7" t="n">
        <v>0</v>
      </c>
      <c r="I1340" s="7" t="n">
        <v>0</v>
      </c>
      <c r="J1340" s="7" t="n">
        <v>0</v>
      </c>
      <c r="K1340" s="7" t="n">
        <v>0</v>
      </c>
      <c r="L1340" s="7" t="n">
        <v>0</v>
      </c>
      <c r="M1340" s="7" t="n">
        <v>0</v>
      </c>
      <c r="N1340" s="7" t="n">
        <v>0</v>
      </c>
      <c r="O1340" s="7" t="n">
        <v>1</v>
      </c>
      <c r="P1340" s="8" t="n">
        <f aca="false">IF(E1340=0,0,G1340/E1340)</f>
        <v>0</v>
      </c>
      <c r="Q1340" s="8" t="n">
        <f aca="false">IF(E1340+N1340=0,0,(G1340+N1340)/(E1340+N1340))</f>
        <v>0</v>
      </c>
      <c r="R1340" s="8" t="n">
        <f aca="false">IF(E1340=0,0,L1340/E1340)</f>
        <v>0</v>
      </c>
      <c r="S1340" s="8" t="n">
        <f aca="false">R1340+Q1340</f>
        <v>0</v>
      </c>
      <c r="T1340" s="8" t="n">
        <f aca="false">R1340-P1340</f>
        <v>0</v>
      </c>
    </row>
    <row r="1341" customFormat="false" ht="14.25" hidden="false" customHeight="true" outlineLevel="0" collapsed="false">
      <c r="A1341" s="6" t="n">
        <v>2018</v>
      </c>
      <c r="B1341" s="6" t="s">
        <v>97</v>
      </c>
      <c r="C1341" s="6" t="s">
        <v>513</v>
      </c>
      <c r="D1341" s="7" t="n">
        <v>2</v>
      </c>
      <c r="E1341" s="7" t="n">
        <v>6</v>
      </c>
      <c r="F1341" s="7" t="n">
        <v>0</v>
      </c>
      <c r="G1341" s="7" t="n">
        <v>0</v>
      </c>
      <c r="H1341" s="7" t="n">
        <v>0</v>
      </c>
      <c r="I1341" s="7" t="n">
        <v>0</v>
      </c>
      <c r="J1341" s="7" t="n">
        <v>0</v>
      </c>
      <c r="K1341" s="7" t="n">
        <v>0</v>
      </c>
      <c r="L1341" s="7" t="n">
        <v>0</v>
      </c>
      <c r="M1341" s="7" t="n">
        <v>0</v>
      </c>
      <c r="N1341" s="7" t="n">
        <v>0</v>
      </c>
      <c r="O1341" s="7" t="n">
        <v>0</v>
      </c>
      <c r="P1341" s="8" t="n">
        <f aca="false">IF(E1341=0,0,G1341/E1341)</f>
        <v>0</v>
      </c>
      <c r="Q1341" s="8" t="n">
        <f aca="false">IF(E1341+N1341=0,0,(G1341+N1341)/(E1341+N1341))</f>
        <v>0</v>
      </c>
      <c r="R1341" s="8" t="n">
        <f aca="false">IF(E1341=0,0,L1341/E1341)</f>
        <v>0</v>
      </c>
      <c r="S1341" s="8" t="n">
        <f aca="false">R1341+Q1341</f>
        <v>0</v>
      </c>
      <c r="T1341" s="8" t="n">
        <f aca="false">R1341-P1341</f>
        <v>0</v>
      </c>
    </row>
    <row r="1342" customFormat="false" ht="14.25" hidden="false" customHeight="true" outlineLevel="0" collapsed="false">
      <c r="A1342" s="6" t="n">
        <v>2018</v>
      </c>
      <c r="B1342" s="6" t="s">
        <v>121</v>
      </c>
      <c r="C1342" s="6" t="s">
        <v>122</v>
      </c>
      <c r="D1342" s="7" t="n">
        <v>5</v>
      </c>
      <c r="E1342" s="7" t="n">
        <v>15</v>
      </c>
      <c r="F1342" s="7" t="n">
        <v>6</v>
      </c>
      <c r="G1342" s="7" t="n">
        <v>8</v>
      </c>
      <c r="H1342" s="7" t="n">
        <v>5</v>
      </c>
      <c r="I1342" s="7" t="n">
        <v>0</v>
      </c>
      <c r="J1342" s="7" t="n">
        <v>0</v>
      </c>
      <c r="K1342" s="7" t="n">
        <v>5</v>
      </c>
      <c r="L1342" s="7" t="n">
        <v>13</v>
      </c>
      <c r="M1342" s="7" t="n">
        <v>4</v>
      </c>
      <c r="N1342" s="7" t="n">
        <v>4</v>
      </c>
      <c r="O1342" s="7" t="n">
        <v>0</v>
      </c>
      <c r="P1342" s="8" t="n">
        <f aca="false">IF(E1342=0,0,G1342/E1342)</f>
        <v>0.533333333333333</v>
      </c>
      <c r="Q1342" s="8" t="n">
        <f aca="false">IF(E1342+N1342=0,0,(G1342+N1342)/(E1342+N1342))</f>
        <v>0.631578947368421</v>
      </c>
      <c r="R1342" s="8" t="n">
        <f aca="false">IF(E1342=0,0,L1342/E1342)</f>
        <v>0.866666666666667</v>
      </c>
      <c r="S1342" s="8" t="n">
        <f aca="false">R1342+Q1342</f>
        <v>1.49824561403509</v>
      </c>
      <c r="T1342" s="8" t="n">
        <f aca="false">R1342-P1342</f>
        <v>0.333333333333333</v>
      </c>
    </row>
    <row r="1343" customFormat="false" ht="14.25" hidden="false" customHeight="true" outlineLevel="0" collapsed="false">
      <c r="A1343" s="6" t="n">
        <v>2018</v>
      </c>
      <c r="B1343" s="6" t="s">
        <v>121</v>
      </c>
      <c r="C1343" s="6" t="s">
        <v>130</v>
      </c>
      <c r="D1343" s="7" t="n">
        <v>6</v>
      </c>
      <c r="E1343" s="7" t="n">
        <v>19</v>
      </c>
      <c r="F1343" s="7" t="n">
        <v>4</v>
      </c>
      <c r="G1343" s="7" t="n">
        <v>7</v>
      </c>
      <c r="H1343" s="7" t="n">
        <v>1</v>
      </c>
      <c r="I1343" s="7" t="n">
        <v>0</v>
      </c>
      <c r="J1343" s="7" t="n">
        <v>0</v>
      </c>
      <c r="K1343" s="7" t="n">
        <v>1</v>
      </c>
      <c r="L1343" s="7" t="n">
        <v>8</v>
      </c>
      <c r="M1343" s="7" t="n">
        <v>5</v>
      </c>
      <c r="N1343" s="7" t="n">
        <v>2</v>
      </c>
      <c r="O1343" s="7" t="n">
        <v>0</v>
      </c>
      <c r="P1343" s="8" t="n">
        <f aca="false">IF(E1343=0,0,G1343/E1343)</f>
        <v>0.368421052631579</v>
      </c>
      <c r="Q1343" s="8" t="n">
        <f aca="false">IF(E1343+N1343=0,0,(G1343+N1343)/(E1343+N1343))</f>
        <v>0.428571428571429</v>
      </c>
      <c r="R1343" s="8" t="n">
        <f aca="false">IF(E1343=0,0,L1343/E1343)</f>
        <v>0.421052631578947</v>
      </c>
      <c r="S1343" s="8" t="n">
        <f aca="false">R1343+Q1343</f>
        <v>0.849624060150376</v>
      </c>
      <c r="T1343" s="8" t="n">
        <f aca="false">R1343-P1343</f>
        <v>0.0526315789473684</v>
      </c>
    </row>
    <row r="1344" customFormat="false" ht="14.25" hidden="false" customHeight="true" outlineLevel="0" collapsed="false">
      <c r="A1344" s="6" t="n">
        <v>2018</v>
      </c>
      <c r="B1344" s="6" t="s">
        <v>121</v>
      </c>
      <c r="C1344" s="6" t="s">
        <v>144</v>
      </c>
      <c r="D1344" s="7" t="n">
        <v>6</v>
      </c>
      <c r="E1344" s="7" t="n">
        <v>20</v>
      </c>
      <c r="F1344" s="7" t="n">
        <v>5</v>
      </c>
      <c r="G1344" s="7" t="n">
        <v>6</v>
      </c>
      <c r="H1344" s="7" t="n">
        <v>1</v>
      </c>
      <c r="I1344" s="7" t="n">
        <v>0</v>
      </c>
      <c r="J1344" s="7" t="n">
        <v>0</v>
      </c>
      <c r="K1344" s="7" t="n">
        <v>1</v>
      </c>
      <c r="L1344" s="7" t="n">
        <v>7</v>
      </c>
      <c r="M1344" s="7" t="n">
        <v>3</v>
      </c>
      <c r="N1344" s="7" t="n">
        <v>2</v>
      </c>
      <c r="O1344" s="7" t="n">
        <v>0</v>
      </c>
      <c r="P1344" s="8" t="n">
        <f aca="false">IF(E1344=0,0,G1344/E1344)</f>
        <v>0.3</v>
      </c>
      <c r="Q1344" s="8" t="n">
        <f aca="false">IF(E1344+N1344=0,0,(G1344+N1344)/(E1344+N1344))</f>
        <v>0.363636363636364</v>
      </c>
      <c r="R1344" s="8" t="n">
        <f aca="false">IF(E1344=0,0,L1344/E1344)</f>
        <v>0.35</v>
      </c>
      <c r="S1344" s="8" t="n">
        <f aca="false">R1344+Q1344</f>
        <v>0.713636363636364</v>
      </c>
      <c r="T1344" s="8" t="n">
        <f aca="false">R1344-P1344</f>
        <v>0.05</v>
      </c>
    </row>
    <row r="1345" customFormat="false" ht="14.25" hidden="false" customHeight="true" outlineLevel="0" collapsed="false">
      <c r="A1345" s="6" t="n">
        <v>2018</v>
      </c>
      <c r="B1345" s="6" t="s">
        <v>121</v>
      </c>
      <c r="C1345" s="6" t="s">
        <v>137</v>
      </c>
      <c r="D1345" s="7" t="n">
        <v>4</v>
      </c>
      <c r="E1345" s="7" t="n">
        <v>12</v>
      </c>
      <c r="F1345" s="7" t="n">
        <v>3</v>
      </c>
      <c r="G1345" s="7" t="n">
        <v>6</v>
      </c>
      <c r="H1345" s="7" t="n">
        <v>1</v>
      </c>
      <c r="I1345" s="7" t="n">
        <v>0</v>
      </c>
      <c r="J1345" s="7" t="n">
        <v>0</v>
      </c>
      <c r="K1345" s="7" t="n">
        <v>1</v>
      </c>
      <c r="L1345" s="7" t="n">
        <v>7</v>
      </c>
      <c r="M1345" s="7" t="n">
        <v>2</v>
      </c>
      <c r="N1345" s="7" t="n">
        <v>2</v>
      </c>
      <c r="O1345" s="7" t="n">
        <v>0</v>
      </c>
      <c r="P1345" s="8" t="n">
        <f aca="false">IF(E1345=0,0,G1345/E1345)</f>
        <v>0.5</v>
      </c>
      <c r="Q1345" s="8" t="n">
        <f aca="false">IF(E1345+N1345=0,0,(G1345+N1345)/(E1345+N1345))</f>
        <v>0.571428571428571</v>
      </c>
      <c r="R1345" s="8" t="n">
        <f aca="false">IF(E1345=0,0,L1345/E1345)</f>
        <v>0.583333333333333</v>
      </c>
      <c r="S1345" s="8" t="n">
        <f aca="false">R1345+Q1345</f>
        <v>1.1547619047619</v>
      </c>
      <c r="T1345" s="8" t="n">
        <f aca="false">R1345-P1345</f>
        <v>0.0833333333333334</v>
      </c>
    </row>
    <row r="1346" customFormat="false" ht="14.25" hidden="false" customHeight="true" outlineLevel="0" collapsed="false">
      <c r="A1346" s="6" t="n">
        <v>2018</v>
      </c>
      <c r="B1346" s="6" t="s">
        <v>121</v>
      </c>
      <c r="C1346" s="6" t="s">
        <v>476</v>
      </c>
      <c r="D1346" s="7" t="n">
        <v>4</v>
      </c>
      <c r="E1346" s="7" t="n">
        <v>14</v>
      </c>
      <c r="F1346" s="7" t="n">
        <v>3</v>
      </c>
      <c r="G1346" s="7" t="n">
        <v>5</v>
      </c>
      <c r="H1346" s="7" t="n">
        <v>0</v>
      </c>
      <c r="I1346" s="7" t="n">
        <v>0</v>
      </c>
      <c r="J1346" s="7" t="n">
        <v>1</v>
      </c>
      <c r="K1346" s="7" t="n">
        <v>1</v>
      </c>
      <c r="L1346" s="7" t="n">
        <v>8</v>
      </c>
      <c r="M1346" s="7" t="n">
        <v>1</v>
      </c>
      <c r="N1346" s="7" t="n">
        <v>1</v>
      </c>
      <c r="O1346" s="7" t="n">
        <v>1</v>
      </c>
      <c r="P1346" s="8" t="n">
        <f aca="false">IF(E1346=0,0,G1346/E1346)</f>
        <v>0.357142857142857</v>
      </c>
      <c r="Q1346" s="8" t="n">
        <f aca="false">IF(E1346+N1346=0,0,(G1346+N1346)/(E1346+N1346))</f>
        <v>0.4</v>
      </c>
      <c r="R1346" s="8" t="n">
        <f aca="false">IF(E1346=0,0,L1346/E1346)</f>
        <v>0.571428571428571</v>
      </c>
      <c r="S1346" s="8" t="n">
        <f aca="false">R1346+Q1346</f>
        <v>0.971428571428571</v>
      </c>
      <c r="T1346" s="8" t="n">
        <f aca="false">R1346-P1346</f>
        <v>0.214285714285714</v>
      </c>
    </row>
    <row r="1347" customFormat="false" ht="14.25" hidden="false" customHeight="true" outlineLevel="0" collapsed="false">
      <c r="A1347" s="6" t="n">
        <v>2018</v>
      </c>
      <c r="B1347" s="6" t="s">
        <v>121</v>
      </c>
      <c r="C1347" s="6" t="s">
        <v>140</v>
      </c>
      <c r="D1347" s="7" t="n">
        <v>6</v>
      </c>
      <c r="E1347" s="7" t="n">
        <v>15</v>
      </c>
      <c r="F1347" s="7" t="n">
        <v>3</v>
      </c>
      <c r="G1347" s="7" t="n">
        <v>4</v>
      </c>
      <c r="H1347" s="7" t="n">
        <v>0</v>
      </c>
      <c r="I1347" s="7" t="n">
        <v>0</v>
      </c>
      <c r="J1347" s="7" t="n">
        <v>0</v>
      </c>
      <c r="K1347" s="7" t="n">
        <v>0</v>
      </c>
      <c r="L1347" s="7" t="n">
        <v>4</v>
      </c>
      <c r="M1347" s="7" t="n">
        <v>2</v>
      </c>
      <c r="N1347" s="7" t="n">
        <v>5</v>
      </c>
      <c r="O1347" s="7" t="n">
        <v>0</v>
      </c>
      <c r="P1347" s="8" t="n">
        <f aca="false">IF(E1347=0,0,G1347/E1347)</f>
        <v>0.266666666666667</v>
      </c>
      <c r="Q1347" s="8" t="n">
        <f aca="false">IF(E1347+N1347=0,0,(G1347+N1347)/(E1347+N1347))</f>
        <v>0.45</v>
      </c>
      <c r="R1347" s="8" t="n">
        <f aca="false">IF(E1347=0,0,L1347/E1347)</f>
        <v>0.266666666666667</v>
      </c>
      <c r="S1347" s="8" t="n">
        <f aca="false">R1347+Q1347</f>
        <v>0.716666666666667</v>
      </c>
      <c r="T1347" s="8" t="n">
        <f aca="false">R1347-P1347</f>
        <v>0</v>
      </c>
    </row>
    <row r="1348" customFormat="false" ht="14.25" hidden="false" customHeight="true" outlineLevel="0" collapsed="false">
      <c r="A1348" s="6" t="n">
        <v>2018</v>
      </c>
      <c r="B1348" s="6" t="s">
        <v>121</v>
      </c>
      <c r="C1348" s="6" t="s">
        <v>132</v>
      </c>
      <c r="D1348" s="7" t="n">
        <v>5</v>
      </c>
      <c r="E1348" s="7" t="n">
        <v>14</v>
      </c>
      <c r="F1348" s="7" t="n">
        <v>6</v>
      </c>
      <c r="G1348" s="7" t="n">
        <v>3</v>
      </c>
      <c r="H1348" s="7" t="n">
        <v>0</v>
      </c>
      <c r="I1348" s="7" t="n">
        <v>0</v>
      </c>
      <c r="J1348" s="7" t="n">
        <v>0</v>
      </c>
      <c r="K1348" s="7" t="n">
        <v>0</v>
      </c>
      <c r="L1348" s="7" t="n">
        <v>3</v>
      </c>
      <c r="M1348" s="7" t="n">
        <v>2</v>
      </c>
      <c r="N1348" s="7" t="n">
        <v>4</v>
      </c>
      <c r="O1348" s="7" t="n">
        <v>1</v>
      </c>
      <c r="P1348" s="8" t="n">
        <f aca="false">IF(E1348=0,0,G1348/E1348)</f>
        <v>0.214285714285714</v>
      </c>
      <c r="Q1348" s="8" t="n">
        <f aca="false">IF(E1348+N1348=0,0,(G1348+N1348)/(E1348+N1348))</f>
        <v>0.388888888888889</v>
      </c>
      <c r="R1348" s="8" t="n">
        <f aca="false">IF(E1348=0,0,L1348/E1348)</f>
        <v>0.214285714285714</v>
      </c>
      <c r="S1348" s="8" t="n">
        <f aca="false">R1348+Q1348</f>
        <v>0.603174603174603</v>
      </c>
      <c r="T1348" s="8" t="n">
        <f aca="false">R1348-P1348</f>
        <v>0</v>
      </c>
    </row>
    <row r="1349" customFormat="false" ht="14.25" hidden="false" customHeight="true" outlineLevel="0" collapsed="false">
      <c r="A1349" s="6" t="n">
        <v>2018</v>
      </c>
      <c r="B1349" s="6" t="s">
        <v>121</v>
      </c>
      <c r="C1349" s="6" t="s">
        <v>133</v>
      </c>
      <c r="D1349" s="7" t="n">
        <v>5</v>
      </c>
      <c r="E1349" s="7" t="n">
        <v>11</v>
      </c>
      <c r="F1349" s="7" t="n">
        <v>3</v>
      </c>
      <c r="G1349" s="7" t="n">
        <v>3</v>
      </c>
      <c r="H1349" s="7" t="n">
        <v>0</v>
      </c>
      <c r="I1349" s="7" t="n">
        <v>0</v>
      </c>
      <c r="J1349" s="7" t="n">
        <v>0</v>
      </c>
      <c r="K1349" s="7" t="n">
        <v>0</v>
      </c>
      <c r="L1349" s="7" t="n">
        <v>3</v>
      </c>
      <c r="M1349" s="7" t="n">
        <v>2</v>
      </c>
      <c r="N1349" s="7" t="n">
        <v>4</v>
      </c>
      <c r="O1349" s="7" t="n">
        <v>0</v>
      </c>
      <c r="P1349" s="8" t="n">
        <f aca="false">IF(E1349=0,0,G1349/E1349)</f>
        <v>0.272727272727273</v>
      </c>
      <c r="Q1349" s="8" t="n">
        <f aca="false">IF(E1349+N1349=0,0,(G1349+N1349)/(E1349+N1349))</f>
        <v>0.466666666666667</v>
      </c>
      <c r="R1349" s="8" t="n">
        <f aca="false">IF(E1349=0,0,L1349/E1349)</f>
        <v>0.272727272727273</v>
      </c>
      <c r="S1349" s="8" t="n">
        <f aca="false">R1349+Q1349</f>
        <v>0.739393939393939</v>
      </c>
      <c r="T1349" s="8" t="n">
        <f aca="false">R1349-P1349</f>
        <v>0</v>
      </c>
    </row>
    <row r="1350" customFormat="false" ht="14.25" hidden="false" customHeight="true" outlineLevel="0" collapsed="false">
      <c r="A1350" s="6" t="n">
        <v>2018</v>
      </c>
      <c r="B1350" s="6" t="s">
        <v>121</v>
      </c>
      <c r="C1350" s="6" t="s">
        <v>136</v>
      </c>
      <c r="D1350" s="7" t="n">
        <v>3</v>
      </c>
      <c r="E1350" s="7" t="n">
        <v>10</v>
      </c>
      <c r="F1350" s="7" t="n">
        <v>0</v>
      </c>
      <c r="G1350" s="7" t="n">
        <v>2</v>
      </c>
      <c r="H1350" s="7" t="n">
        <v>1</v>
      </c>
      <c r="I1350" s="7" t="n">
        <v>0</v>
      </c>
      <c r="J1350" s="7" t="n">
        <v>0</v>
      </c>
      <c r="K1350" s="7" t="n">
        <v>1</v>
      </c>
      <c r="L1350" s="7" t="n">
        <v>3</v>
      </c>
      <c r="M1350" s="7" t="n">
        <v>0</v>
      </c>
      <c r="N1350" s="7" t="n">
        <v>0</v>
      </c>
      <c r="O1350" s="7" t="n">
        <v>1</v>
      </c>
      <c r="P1350" s="8" t="n">
        <f aca="false">IF(E1350=0,0,G1350/E1350)</f>
        <v>0.2</v>
      </c>
      <c r="Q1350" s="8" t="n">
        <f aca="false">IF(E1350+N1350=0,0,(G1350+N1350)/(E1350+N1350))</f>
        <v>0.2</v>
      </c>
      <c r="R1350" s="8" t="n">
        <f aca="false">IF(E1350=0,0,L1350/E1350)</f>
        <v>0.3</v>
      </c>
      <c r="S1350" s="8" t="n">
        <f aca="false">R1350+Q1350</f>
        <v>0.5</v>
      </c>
      <c r="T1350" s="8" t="n">
        <f aca="false">R1350-P1350</f>
        <v>0.1</v>
      </c>
    </row>
    <row r="1351" customFormat="false" ht="14.25" hidden="false" customHeight="true" outlineLevel="0" collapsed="false">
      <c r="A1351" s="6" t="n">
        <v>2018</v>
      </c>
      <c r="B1351" s="6" t="s">
        <v>121</v>
      </c>
      <c r="C1351" s="6" t="s">
        <v>142</v>
      </c>
      <c r="D1351" s="7" t="n">
        <v>3</v>
      </c>
      <c r="E1351" s="7" t="n">
        <v>8</v>
      </c>
      <c r="F1351" s="7" t="n">
        <v>3</v>
      </c>
      <c r="G1351" s="7" t="n">
        <v>2</v>
      </c>
      <c r="H1351" s="7" t="n">
        <v>1</v>
      </c>
      <c r="I1351" s="7" t="n">
        <v>0</v>
      </c>
      <c r="J1351" s="7" t="n">
        <v>0</v>
      </c>
      <c r="K1351" s="7" t="n">
        <v>1</v>
      </c>
      <c r="L1351" s="7" t="n">
        <v>3</v>
      </c>
      <c r="M1351" s="7" t="n">
        <v>5</v>
      </c>
      <c r="N1351" s="7" t="n">
        <v>2</v>
      </c>
      <c r="O1351" s="7" t="n">
        <v>2</v>
      </c>
      <c r="P1351" s="8" t="n">
        <f aca="false">IF(E1351=0,0,G1351/E1351)</f>
        <v>0.25</v>
      </c>
      <c r="Q1351" s="8" t="n">
        <f aca="false">IF(E1351+N1351=0,0,(G1351+N1351)/(E1351+N1351))</f>
        <v>0.4</v>
      </c>
      <c r="R1351" s="8" t="n">
        <f aca="false">IF(E1351=0,0,L1351/E1351)</f>
        <v>0.375</v>
      </c>
      <c r="S1351" s="8" t="n">
        <f aca="false">R1351+Q1351</f>
        <v>0.775</v>
      </c>
      <c r="T1351" s="8" t="n">
        <f aca="false">R1351-P1351</f>
        <v>0.125</v>
      </c>
    </row>
    <row r="1352" customFormat="false" ht="14.25" hidden="false" customHeight="true" outlineLevel="0" collapsed="false">
      <c r="A1352" s="6" t="n">
        <v>2018</v>
      </c>
      <c r="B1352" s="6" t="s">
        <v>121</v>
      </c>
      <c r="C1352" s="6" t="s">
        <v>138</v>
      </c>
      <c r="D1352" s="7" t="n">
        <v>3</v>
      </c>
      <c r="E1352" s="7" t="n">
        <v>4</v>
      </c>
      <c r="F1352" s="7" t="n">
        <v>1</v>
      </c>
      <c r="G1352" s="7" t="n">
        <v>2</v>
      </c>
      <c r="H1352" s="7" t="n">
        <v>0</v>
      </c>
      <c r="I1352" s="7" t="n">
        <v>0</v>
      </c>
      <c r="J1352" s="7" t="n">
        <v>0</v>
      </c>
      <c r="K1352" s="7" t="n">
        <v>0</v>
      </c>
      <c r="L1352" s="7" t="n">
        <v>2</v>
      </c>
      <c r="M1352" s="7" t="n">
        <v>1</v>
      </c>
      <c r="N1352" s="7" t="n">
        <v>1</v>
      </c>
      <c r="O1352" s="7" t="n">
        <v>0</v>
      </c>
      <c r="P1352" s="8" t="n">
        <f aca="false">IF(E1352=0,0,G1352/E1352)</f>
        <v>0.5</v>
      </c>
      <c r="Q1352" s="8" t="n">
        <f aca="false">IF(E1352+N1352=0,0,(G1352+N1352)/(E1352+N1352))</f>
        <v>0.6</v>
      </c>
      <c r="R1352" s="8" t="n">
        <f aca="false">IF(E1352=0,0,L1352/E1352)</f>
        <v>0.5</v>
      </c>
      <c r="S1352" s="8" t="n">
        <f aca="false">R1352+Q1352</f>
        <v>1.1</v>
      </c>
      <c r="T1352" s="8" t="n">
        <f aca="false">R1352-P1352</f>
        <v>0</v>
      </c>
    </row>
    <row r="1353" customFormat="false" ht="14.25" hidden="false" customHeight="true" outlineLevel="0" collapsed="false">
      <c r="A1353" s="6" t="n">
        <v>2018</v>
      </c>
      <c r="B1353" s="6" t="s">
        <v>121</v>
      </c>
      <c r="C1353" s="6" t="s">
        <v>126</v>
      </c>
      <c r="D1353" s="7" t="n">
        <v>2</v>
      </c>
      <c r="E1353" s="7" t="n">
        <v>5</v>
      </c>
      <c r="F1353" s="7" t="n">
        <v>1</v>
      </c>
      <c r="G1353" s="7" t="n">
        <v>2</v>
      </c>
      <c r="H1353" s="7" t="n">
        <v>1</v>
      </c>
      <c r="I1353" s="7" t="n">
        <v>0</v>
      </c>
      <c r="J1353" s="7" t="n">
        <v>1</v>
      </c>
      <c r="K1353" s="7" t="n">
        <v>2</v>
      </c>
      <c r="L1353" s="7" t="n">
        <v>6</v>
      </c>
      <c r="M1353" s="7" t="n">
        <v>4</v>
      </c>
      <c r="N1353" s="7" t="n">
        <v>3</v>
      </c>
      <c r="O1353" s="7" t="n">
        <v>0</v>
      </c>
      <c r="P1353" s="8" t="n">
        <f aca="false">IF(E1353=0,0,G1353/E1353)</f>
        <v>0.4</v>
      </c>
      <c r="Q1353" s="8" t="n">
        <f aca="false">IF(E1353+N1353=0,0,(G1353+N1353)/(E1353+N1353))</f>
        <v>0.625</v>
      </c>
      <c r="R1353" s="8" t="n">
        <f aca="false">IF(E1353=0,0,L1353/E1353)</f>
        <v>1.2</v>
      </c>
      <c r="S1353" s="8" t="n">
        <f aca="false">R1353+Q1353</f>
        <v>1.825</v>
      </c>
      <c r="T1353" s="8" t="n">
        <f aca="false">R1353-P1353</f>
        <v>0.8</v>
      </c>
    </row>
    <row r="1354" customFormat="false" ht="14.25" hidden="false" customHeight="true" outlineLevel="0" collapsed="false">
      <c r="A1354" s="6" t="n">
        <v>2018</v>
      </c>
      <c r="B1354" s="6" t="s">
        <v>121</v>
      </c>
      <c r="C1354" s="6" t="s">
        <v>477</v>
      </c>
      <c r="D1354" s="7" t="n">
        <v>3</v>
      </c>
      <c r="E1354" s="7" t="n">
        <v>10</v>
      </c>
      <c r="F1354" s="7" t="n">
        <v>0</v>
      </c>
      <c r="G1354" s="7" t="n">
        <v>2</v>
      </c>
      <c r="H1354" s="7" t="n">
        <v>0</v>
      </c>
      <c r="I1354" s="7" t="n">
        <v>0</v>
      </c>
      <c r="J1354" s="7" t="n">
        <v>0</v>
      </c>
      <c r="K1354" s="7" t="n">
        <v>0</v>
      </c>
      <c r="L1354" s="7" t="n">
        <v>2</v>
      </c>
      <c r="M1354" s="7" t="n">
        <v>1</v>
      </c>
      <c r="N1354" s="7" t="n">
        <v>0</v>
      </c>
      <c r="O1354" s="7" t="n">
        <v>1</v>
      </c>
      <c r="P1354" s="8" t="n">
        <f aca="false">IF(E1354=0,0,G1354/E1354)</f>
        <v>0.2</v>
      </c>
      <c r="Q1354" s="8" t="n">
        <f aca="false">IF(E1354+N1354=0,0,(G1354+N1354)/(E1354+N1354))</f>
        <v>0.2</v>
      </c>
      <c r="R1354" s="8" t="n">
        <f aca="false">IF(E1354=0,0,L1354/E1354)</f>
        <v>0.2</v>
      </c>
      <c r="S1354" s="8" t="n">
        <f aca="false">R1354+Q1354</f>
        <v>0.4</v>
      </c>
      <c r="T1354" s="8" t="n">
        <f aca="false">R1354-P1354</f>
        <v>0</v>
      </c>
    </row>
    <row r="1355" customFormat="false" ht="14.25" hidden="false" customHeight="true" outlineLevel="0" collapsed="false">
      <c r="A1355" s="6" t="n">
        <v>2018</v>
      </c>
      <c r="B1355" s="6" t="s">
        <v>121</v>
      </c>
      <c r="C1355" s="6" t="s">
        <v>271</v>
      </c>
      <c r="D1355" s="7" t="n">
        <v>4</v>
      </c>
      <c r="E1355" s="7" t="n">
        <v>3</v>
      </c>
      <c r="F1355" s="7" t="n">
        <v>0</v>
      </c>
      <c r="G1355" s="7" t="n">
        <v>1</v>
      </c>
      <c r="H1355" s="7" t="n">
        <v>0</v>
      </c>
      <c r="I1355" s="7" t="n">
        <v>0</v>
      </c>
      <c r="J1355" s="7" t="n">
        <v>0</v>
      </c>
      <c r="K1355" s="7" t="n">
        <v>0</v>
      </c>
      <c r="L1355" s="7" t="n">
        <v>1</v>
      </c>
      <c r="M1355" s="7" t="n">
        <v>1</v>
      </c>
      <c r="N1355" s="7" t="n">
        <v>2</v>
      </c>
      <c r="O1355" s="7" t="n">
        <v>0</v>
      </c>
      <c r="P1355" s="8" t="n">
        <f aca="false">IF(E1355=0,0,G1355/E1355)</f>
        <v>0.333333333333333</v>
      </c>
      <c r="Q1355" s="8" t="n">
        <f aca="false">IF(E1355+N1355=0,0,(G1355+N1355)/(E1355+N1355))</f>
        <v>0.6</v>
      </c>
      <c r="R1355" s="8" t="n">
        <f aca="false">IF(E1355=0,0,L1355/E1355)</f>
        <v>0.333333333333333</v>
      </c>
      <c r="S1355" s="8" t="n">
        <f aca="false">R1355+Q1355</f>
        <v>0.933333333333333</v>
      </c>
      <c r="T1355" s="8" t="n">
        <f aca="false">R1355-P1355</f>
        <v>0</v>
      </c>
    </row>
    <row r="1356" customFormat="false" ht="14.25" hidden="false" customHeight="true" outlineLevel="0" collapsed="false">
      <c r="A1356" s="6" t="n">
        <v>2018</v>
      </c>
      <c r="B1356" s="6" t="s">
        <v>121</v>
      </c>
      <c r="C1356" s="6" t="s">
        <v>143</v>
      </c>
      <c r="D1356" s="7" t="n">
        <v>1</v>
      </c>
      <c r="E1356" s="7" t="n">
        <v>2</v>
      </c>
      <c r="F1356" s="7" t="n">
        <v>0</v>
      </c>
      <c r="G1356" s="7" t="n">
        <v>1</v>
      </c>
      <c r="H1356" s="7" t="n">
        <v>0</v>
      </c>
      <c r="I1356" s="7" t="n">
        <v>0</v>
      </c>
      <c r="J1356" s="7" t="n">
        <v>0</v>
      </c>
      <c r="K1356" s="7" t="n">
        <v>0</v>
      </c>
      <c r="L1356" s="7" t="n">
        <v>1</v>
      </c>
      <c r="M1356" s="7" t="n">
        <v>3</v>
      </c>
      <c r="N1356" s="7" t="n">
        <v>1</v>
      </c>
      <c r="O1356" s="7" t="n">
        <v>0</v>
      </c>
      <c r="P1356" s="8" t="n">
        <f aca="false">IF(E1356=0,0,G1356/E1356)</f>
        <v>0.5</v>
      </c>
      <c r="Q1356" s="8" t="n">
        <f aca="false">IF(E1356+N1356=0,0,(G1356+N1356)/(E1356+N1356))</f>
        <v>0.666666666666667</v>
      </c>
      <c r="R1356" s="8" t="n">
        <f aca="false">IF(E1356=0,0,L1356/E1356)</f>
        <v>0.5</v>
      </c>
      <c r="S1356" s="8" t="n">
        <f aca="false">R1356+Q1356</f>
        <v>1.16666666666667</v>
      </c>
      <c r="T1356" s="8" t="n">
        <f aca="false">R1356-P1356</f>
        <v>0</v>
      </c>
    </row>
    <row r="1357" customFormat="false" ht="14.25" hidden="false" customHeight="true" outlineLevel="0" collapsed="false">
      <c r="A1357" s="6" t="n">
        <v>2018</v>
      </c>
      <c r="B1357" s="6" t="s">
        <v>121</v>
      </c>
      <c r="C1357" s="6" t="s">
        <v>514</v>
      </c>
      <c r="D1357" s="7" t="n">
        <v>1</v>
      </c>
      <c r="E1357" s="7" t="n">
        <v>3</v>
      </c>
      <c r="F1357" s="7" t="n">
        <v>0</v>
      </c>
      <c r="G1357" s="7" t="n">
        <v>1</v>
      </c>
      <c r="H1357" s="7" t="n">
        <v>0</v>
      </c>
      <c r="I1357" s="7" t="n">
        <v>0</v>
      </c>
      <c r="J1357" s="7" t="n">
        <v>0</v>
      </c>
      <c r="K1357" s="7" t="n">
        <v>0</v>
      </c>
      <c r="L1357" s="7" t="n">
        <v>1</v>
      </c>
      <c r="M1357" s="7" t="n">
        <v>1</v>
      </c>
      <c r="N1357" s="7" t="n">
        <v>0</v>
      </c>
      <c r="O1357" s="7" t="n">
        <v>0</v>
      </c>
      <c r="P1357" s="8" t="n">
        <f aca="false">IF(E1357=0,0,G1357/E1357)</f>
        <v>0.333333333333333</v>
      </c>
      <c r="Q1357" s="8" t="n">
        <f aca="false">IF(E1357+N1357=0,0,(G1357+N1357)/(E1357+N1357))</f>
        <v>0.333333333333333</v>
      </c>
      <c r="R1357" s="8" t="n">
        <f aca="false">IF(E1357=0,0,L1357/E1357)</f>
        <v>0.333333333333333</v>
      </c>
      <c r="S1357" s="8" t="n">
        <f aca="false">R1357+Q1357</f>
        <v>0.666666666666667</v>
      </c>
      <c r="T1357" s="8" t="n">
        <f aca="false">R1357-P1357</f>
        <v>0</v>
      </c>
    </row>
    <row r="1358" customFormat="false" ht="14.25" hidden="false" customHeight="true" outlineLevel="0" collapsed="false">
      <c r="A1358" s="6" t="n">
        <v>2018</v>
      </c>
      <c r="B1358" s="6" t="s">
        <v>121</v>
      </c>
      <c r="C1358" s="6" t="s">
        <v>515</v>
      </c>
      <c r="D1358" s="7" t="n">
        <v>2</v>
      </c>
      <c r="E1358" s="7" t="n">
        <v>4</v>
      </c>
      <c r="F1358" s="7" t="n">
        <v>0</v>
      </c>
      <c r="G1358" s="7" t="n">
        <v>0</v>
      </c>
      <c r="H1358" s="7" t="n">
        <v>0</v>
      </c>
      <c r="I1358" s="7" t="n">
        <v>0</v>
      </c>
      <c r="J1358" s="7" t="n">
        <v>0</v>
      </c>
      <c r="K1358" s="7" t="n">
        <v>0</v>
      </c>
      <c r="L1358" s="7" t="n">
        <v>0</v>
      </c>
      <c r="M1358" s="7" t="n">
        <v>1</v>
      </c>
      <c r="N1358" s="7" t="n">
        <v>0</v>
      </c>
      <c r="O1358" s="7" t="n">
        <v>0</v>
      </c>
      <c r="P1358" s="8" t="n">
        <f aca="false">IF(E1358=0,0,G1358/E1358)</f>
        <v>0</v>
      </c>
      <c r="Q1358" s="8" t="n">
        <f aca="false">IF(E1358+N1358=0,0,(G1358+N1358)/(E1358+N1358))</f>
        <v>0</v>
      </c>
      <c r="R1358" s="8" t="n">
        <f aca="false">IF(E1358=0,0,L1358/E1358)</f>
        <v>0</v>
      </c>
      <c r="S1358" s="8" t="n">
        <f aca="false">R1358+Q1358</f>
        <v>0</v>
      </c>
      <c r="T1358" s="8" t="n">
        <f aca="false">R1358-P1358</f>
        <v>0</v>
      </c>
    </row>
    <row r="1359" customFormat="false" ht="14.25" hidden="false" customHeight="true" outlineLevel="0" collapsed="false">
      <c r="A1359" s="6" t="n">
        <v>2018</v>
      </c>
      <c r="B1359" s="6" t="s">
        <v>121</v>
      </c>
      <c r="C1359" s="6" t="s">
        <v>270</v>
      </c>
      <c r="D1359" s="7" t="n">
        <v>1</v>
      </c>
      <c r="E1359" s="7" t="n">
        <v>2</v>
      </c>
      <c r="F1359" s="7" t="n">
        <v>0</v>
      </c>
      <c r="G1359" s="7" t="n">
        <v>0</v>
      </c>
      <c r="H1359" s="7" t="n">
        <v>0</v>
      </c>
      <c r="I1359" s="7" t="n">
        <v>0</v>
      </c>
      <c r="J1359" s="7" t="n">
        <v>0</v>
      </c>
      <c r="K1359" s="7" t="n">
        <v>0</v>
      </c>
      <c r="L1359" s="7" t="n">
        <v>0</v>
      </c>
      <c r="M1359" s="7" t="n">
        <v>0</v>
      </c>
      <c r="N1359" s="7" t="n">
        <v>0</v>
      </c>
      <c r="O1359" s="7" t="n">
        <v>0</v>
      </c>
      <c r="P1359" s="8" t="n">
        <f aca="false">IF(E1359=0,0,G1359/E1359)</f>
        <v>0</v>
      </c>
      <c r="Q1359" s="8" t="n">
        <f aca="false">IF(E1359+N1359=0,0,(G1359+N1359)/(E1359+N1359))</f>
        <v>0</v>
      </c>
      <c r="R1359" s="8" t="n">
        <f aca="false">IF(E1359=0,0,L1359/E1359)</f>
        <v>0</v>
      </c>
      <c r="S1359" s="8" t="n">
        <f aca="false">R1359+Q1359</f>
        <v>0</v>
      </c>
      <c r="T1359" s="8" t="n">
        <f aca="false">R1359-P1359</f>
        <v>0</v>
      </c>
    </row>
    <row r="1360" customFormat="false" ht="14.25" hidden="false" customHeight="true" outlineLevel="0" collapsed="false">
      <c r="A1360" s="6" t="n">
        <v>2018</v>
      </c>
      <c r="B1360" s="6" t="s">
        <v>121</v>
      </c>
      <c r="C1360" s="6" t="s">
        <v>480</v>
      </c>
      <c r="D1360" s="7" t="n">
        <v>1</v>
      </c>
      <c r="E1360" s="7" t="n">
        <v>2</v>
      </c>
      <c r="F1360" s="7" t="n">
        <v>1</v>
      </c>
      <c r="G1360" s="7" t="n">
        <v>0</v>
      </c>
      <c r="H1360" s="7" t="n">
        <v>0</v>
      </c>
      <c r="I1360" s="7" t="n">
        <v>0</v>
      </c>
      <c r="J1360" s="7" t="n">
        <v>0</v>
      </c>
      <c r="K1360" s="7" t="n">
        <v>0</v>
      </c>
      <c r="L1360" s="7" t="n">
        <v>0</v>
      </c>
      <c r="M1360" s="7" t="n">
        <v>1</v>
      </c>
      <c r="N1360" s="7" t="n">
        <v>1</v>
      </c>
      <c r="O1360" s="7" t="n">
        <v>0</v>
      </c>
      <c r="P1360" s="8" t="n">
        <f aca="false">IF(E1360=0,0,G1360/E1360)</f>
        <v>0</v>
      </c>
      <c r="Q1360" s="8" t="n">
        <f aca="false">IF(E1360+N1360=0,0,(G1360+N1360)/(E1360+N1360))</f>
        <v>0.333333333333333</v>
      </c>
      <c r="R1360" s="8" t="n">
        <f aca="false">IF(E1360=0,0,L1360/E1360)</f>
        <v>0</v>
      </c>
      <c r="S1360" s="8" t="n">
        <f aca="false">R1360+Q1360</f>
        <v>0.333333333333333</v>
      </c>
      <c r="T1360" s="8" t="n">
        <f aca="false">R1360-P1360</f>
        <v>0</v>
      </c>
    </row>
    <row r="1361" customFormat="false" ht="14.25" hidden="false" customHeight="true" outlineLevel="0" collapsed="false">
      <c r="A1361" s="6" t="n">
        <v>2018</v>
      </c>
      <c r="B1361" s="6" t="s">
        <v>121</v>
      </c>
      <c r="C1361" s="6" t="s">
        <v>478</v>
      </c>
      <c r="D1361" s="7" t="n">
        <v>1</v>
      </c>
      <c r="E1361" s="7" t="n">
        <v>1</v>
      </c>
      <c r="F1361" s="7" t="n">
        <v>0</v>
      </c>
      <c r="G1361" s="7" t="n">
        <v>0</v>
      </c>
      <c r="H1361" s="7" t="n">
        <v>0</v>
      </c>
      <c r="I1361" s="7" t="n">
        <v>0</v>
      </c>
      <c r="J1361" s="7" t="n">
        <v>0</v>
      </c>
      <c r="K1361" s="7" t="n">
        <v>0</v>
      </c>
      <c r="L1361" s="7" t="n">
        <v>0</v>
      </c>
      <c r="M1361" s="7" t="n">
        <v>0</v>
      </c>
      <c r="N1361" s="7" t="n">
        <v>1</v>
      </c>
      <c r="O1361" s="7" t="n">
        <v>0</v>
      </c>
      <c r="P1361" s="8" t="n">
        <f aca="false">IF(E1361=0,0,G1361/E1361)</f>
        <v>0</v>
      </c>
      <c r="Q1361" s="8" t="n">
        <f aca="false">IF(E1361+N1361=0,0,(G1361+N1361)/(E1361+N1361))</f>
        <v>0.5</v>
      </c>
      <c r="R1361" s="8" t="n">
        <f aca="false">IF(E1361=0,0,L1361/E1361)</f>
        <v>0</v>
      </c>
      <c r="S1361" s="8" t="n">
        <f aca="false">R1361+Q1361</f>
        <v>0.5</v>
      </c>
      <c r="T1361" s="8" t="n">
        <f aca="false">R1361-P1361</f>
        <v>0</v>
      </c>
    </row>
    <row r="1362" customFormat="false" ht="14.25" hidden="false" customHeight="true" outlineLevel="0" collapsed="false">
      <c r="A1362" s="6" t="n">
        <v>2018</v>
      </c>
      <c r="B1362" s="6" t="s">
        <v>121</v>
      </c>
      <c r="C1362" s="6" t="s">
        <v>516</v>
      </c>
      <c r="D1362" s="7" t="n">
        <v>1</v>
      </c>
      <c r="E1362" s="7" t="n">
        <v>0</v>
      </c>
      <c r="F1362" s="7" t="n">
        <v>0</v>
      </c>
      <c r="G1362" s="7" t="n">
        <v>0</v>
      </c>
      <c r="H1362" s="7" t="n">
        <v>0</v>
      </c>
      <c r="I1362" s="7" t="n">
        <v>0</v>
      </c>
      <c r="J1362" s="7" t="n">
        <v>0</v>
      </c>
      <c r="K1362" s="7" t="n">
        <v>0</v>
      </c>
      <c r="L1362" s="7" t="n">
        <v>0</v>
      </c>
      <c r="M1362" s="7" t="n">
        <v>0</v>
      </c>
      <c r="N1362" s="7" t="n">
        <v>0</v>
      </c>
      <c r="O1362" s="7" t="n">
        <v>0</v>
      </c>
      <c r="P1362" s="8" t="n">
        <f aca="false">IF(E1362=0,0,G1362/E1362)</f>
        <v>0</v>
      </c>
      <c r="Q1362" s="8" t="n">
        <f aca="false">IF(E1362+N1362=0,0,(G1362+N1362)/(E1362+N1362))</f>
        <v>0</v>
      </c>
      <c r="R1362" s="8" t="n">
        <f aca="false">IF(E1362=0,0,L1362/E1362)</f>
        <v>0</v>
      </c>
      <c r="S1362" s="8" t="n">
        <f aca="false">R1362+Q1362</f>
        <v>0</v>
      </c>
      <c r="T1362" s="8" t="n">
        <f aca="false">R1362-P1362</f>
        <v>0</v>
      </c>
    </row>
    <row r="1363" customFormat="false" ht="14.25" hidden="false" customHeight="true" outlineLevel="0" collapsed="false">
      <c r="A1363" s="6" t="n">
        <v>2018</v>
      </c>
      <c r="B1363" s="6" t="s">
        <v>121</v>
      </c>
      <c r="C1363" s="6" t="s">
        <v>129</v>
      </c>
      <c r="D1363" s="7" t="n">
        <v>1</v>
      </c>
      <c r="E1363" s="7" t="n">
        <v>3</v>
      </c>
      <c r="F1363" s="7" t="n">
        <v>0</v>
      </c>
      <c r="G1363" s="7" t="n">
        <v>0</v>
      </c>
      <c r="H1363" s="7" t="n">
        <v>0</v>
      </c>
      <c r="I1363" s="7" t="n">
        <v>0</v>
      </c>
      <c r="J1363" s="7" t="n">
        <v>0</v>
      </c>
      <c r="K1363" s="7" t="n">
        <v>0</v>
      </c>
      <c r="L1363" s="7" t="n">
        <v>0</v>
      </c>
      <c r="M1363" s="7" t="n">
        <v>0</v>
      </c>
      <c r="N1363" s="7" t="n">
        <v>0</v>
      </c>
      <c r="O1363" s="7" t="n">
        <v>0</v>
      </c>
      <c r="P1363" s="8" t="n">
        <f aca="false">IF(E1363=0,0,G1363/E1363)</f>
        <v>0</v>
      </c>
      <c r="Q1363" s="8" t="n">
        <f aca="false">IF(E1363+N1363=0,0,(G1363+N1363)/(E1363+N1363))</f>
        <v>0</v>
      </c>
      <c r="R1363" s="8" t="n">
        <f aca="false">IF(E1363=0,0,L1363/E1363)</f>
        <v>0</v>
      </c>
      <c r="S1363" s="8" t="n">
        <f aca="false">R1363+Q1363</f>
        <v>0</v>
      </c>
      <c r="T1363" s="8" t="n">
        <f aca="false">R1363-P1363</f>
        <v>0</v>
      </c>
    </row>
    <row r="1364" customFormat="false" ht="14.25" hidden="false" customHeight="true" outlineLevel="0" collapsed="false">
      <c r="A1364" s="6" t="n">
        <v>2018</v>
      </c>
      <c r="B1364" s="6" t="s">
        <v>121</v>
      </c>
      <c r="C1364" s="6" t="s">
        <v>146</v>
      </c>
      <c r="D1364" s="7" t="n">
        <v>1</v>
      </c>
      <c r="E1364" s="7" t="n">
        <v>1</v>
      </c>
      <c r="F1364" s="7" t="n">
        <v>0</v>
      </c>
      <c r="G1364" s="7" t="n">
        <v>0</v>
      </c>
      <c r="H1364" s="7" t="n">
        <v>0</v>
      </c>
      <c r="I1364" s="7" t="n">
        <v>0</v>
      </c>
      <c r="J1364" s="7" t="n">
        <v>0</v>
      </c>
      <c r="K1364" s="7" t="n">
        <v>0</v>
      </c>
      <c r="L1364" s="7" t="n">
        <v>0</v>
      </c>
      <c r="M1364" s="7" t="n">
        <v>0</v>
      </c>
      <c r="N1364" s="7" t="n">
        <v>0</v>
      </c>
      <c r="O1364" s="7" t="n">
        <v>0</v>
      </c>
      <c r="P1364" s="8" t="n">
        <f aca="false">IF(E1364=0,0,G1364/E1364)</f>
        <v>0</v>
      </c>
      <c r="Q1364" s="8" t="n">
        <f aca="false">IF(E1364+N1364=0,0,(G1364+N1364)/(E1364+N1364))</f>
        <v>0</v>
      </c>
      <c r="R1364" s="8" t="n">
        <f aca="false">IF(E1364=0,0,L1364/E1364)</f>
        <v>0</v>
      </c>
      <c r="S1364" s="8" t="n">
        <f aca="false">R1364+Q1364</f>
        <v>0</v>
      </c>
      <c r="T1364" s="8" t="n">
        <f aca="false">R1364-P1364</f>
        <v>0</v>
      </c>
    </row>
    <row r="1365" customFormat="false" ht="14.25" hidden="false" customHeight="true" outlineLevel="0" collapsed="false">
      <c r="A1365" s="6" t="n">
        <v>2018</v>
      </c>
      <c r="B1365" s="6" t="s">
        <v>121</v>
      </c>
      <c r="C1365" s="6" t="s">
        <v>428</v>
      </c>
      <c r="D1365" s="7" t="n">
        <v>1</v>
      </c>
      <c r="E1365" s="7" t="n">
        <v>3</v>
      </c>
      <c r="F1365" s="7" t="n">
        <v>0</v>
      </c>
      <c r="G1365" s="7" t="n">
        <v>0</v>
      </c>
      <c r="H1365" s="7" t="n">
        <v>0</v>
      </c>
      <c r="I1365" s="7" t="n">
        <v>0</v>
      </c>
      <c r="J1365" s="7" t="n">
        <v>0</v>
      </c>
      <c r="K1365" s="7" t="n">
        <v>0</v>
      </c>
      <c r="L1365" s="7" t="n">
        <v>0</v>
      </c>
      <c r="M1365" s="7" t="n">
        <v>0</v>
      </c>
      <c r="N1365" s="7" t="n">
        <v>0</v>
      </c>
      <c r="O1365" s="7" t="n">
        <v>0</v>
      </c>
      <c r="P1365" s="8" t="n">
        <f aca="false">IF(E1365=0,0,G1365/E1365)</f>
        <v>0</v>
      </c>
      <c r="Q1365" s="8" t="n">
        <f aca="false">IF(E1365+N1365=0,0,(G1365+N1365)/(E1365+N1365))</f>
        <v>0</v>
      </c>
      <c r="R1365" s="8" t="n">
        <f aca="false">IF(E1365=0,0,L1365/E1365)</f>
        <v>0</v>
      </c>
      <c r="S1365" s="8" t="n">
        <f aca="false">R1365+Q1365</f>
        <v>0</v>
      </c>
      <c r="T1365" s="8" t="n">
        <f aca="false">R1365-P1365</f>
        <v>0</v>
      </c>
    </row>
    <row r="1366" customFormat="false" ht="14.25" hidden="false" customHeight="true" outlineLevel="0" collapsed="false">
      <c r="A1366" s="6" t="n">
        <v>2018</v>
      </c>
      <c r="B1366" s="6" t="s">
        <v>121</v>
      </c>
      <c r="C1366" s="6" t="s">
        <v>517</v>
      </c>
      <c r="D1366" s="7" t="n">
        <v>1</v>
      </c>
      <c r="E1366" s="7" t="n">
        <v>2</v>
      </c>
      <c r="F1366" s="7" t="n">
        <v>0</v>
      </c>
      <c r="G1366" s="7" t="n">
        <v>0</v>
      </c>
      <c r="H1366" s="7" t="n">
        <v>0</v>
      </c>
      <c r="I1366" s="7" t="n">
        <v>0</v>
      </c>
      <c r="J1366" s="7" t="n">
        <v>0</v>
      </c>
      <c r="K1366" s="7" t="n">
        <v>0</v>
      </c>
      <c r="L1366" s="7" t="n">
        <v>0</v>
      </c>
      <c r="M1366" s="7" t="n">
        <v>0</v>
      </c>
      <c r="N1366" s="7" t="n">
        <v>0</v>
      </c>
      <c r="O1366" s="7" t="n">
        <v>0</v>
      </c>
      <c r="P1366" s="8" t="n">
        <f aca="false">IF(E1366=0,0,G1366/E1366)</f>
        <v>0</v>
      </c>
      <c r="Q1366" s="8" t="n">
        <f aca="false">IF(E1366+N1366=0,0,(G1366+N1366)/(E1366+N1366))</f>
        <v>0</v>
      </c>
      <c r="R1366" s="8" t="n">
        <f aca="false">IF(E1366=0,0,L1366/E1366)</f>
        <v>0</v>
      </c>
      <c r="S1366" s="8" t="n">
        <f aca="false">R1366+Q1366</f>
        <v>0</v>
      </c>
      <c r="T1366" s="8" t="n">
        <f aca="false">R1366-P1366</f>
        <v>0</v>
      </c>
    </row>
    <row r="1367" customFormat="false" ht="14.25" hidden="false" customHeight="true" outlineLevel="0" collapsed="false">
      <c r="A1367" s="6" t="n">
        <v>2018</v>
      </c>
      <c r="B1367" s="6" t="s">
        <v>147</v>
      </c>
      <c r="C1367" s="6" t="s">
        <v>148</v>
      </c>
      <c r="D1367" s="7" t="n">
        <v>13</v>
      </c>
      <c r="E1367" s="7" t="n">
        <v>31</v>
      </c>
      <c r="F1367" s="7" t="n">
        <v>13</v>
      </c>
      <c r="G1367" s="7" t="n">
        <v>12</v>
      </c>
      <c r="H1367" s="7" t="n">
        <v>1</v>
      </c>
      <c r="I1367" s="7" t="n">
        <v>0</v>
      </c>
      <c r="J1367" s="7" t="n">
        <v>3</v>
      </c>
      <c r="K1367" s="7" t="n">
        <v>4</v>
      </c>
      <c r="L1367" s="7" t="n">
        <v>22</v>
      </c>
      <c r="M1367" s="7" t="n">
        <v>10</v>
      </c>
      <c r="N1367" s="7" t="n">
        <v>10</v>
      </c>
      <c r="O1367" s="7" t="n">
        <v>4</v>
      </c>
      <c r="P1367" s="8" t="n">
        <f aca="false">IF(E1367=0,0,G1367/E1367)</f>
        <v>0.387096774193548</v>
      </c>
      <c r="Q1367" s="8" t="n">
        <f aca="false">IF(E1367+N1367=0,0,(G1367+N1367)/(E1367+N1367))</f>
        <v>0.536585365853659</v>
      </c>
      <c r="R1367" s="8" t="n">
        <f aca="false">IF(E1367=0,0,L1367/E1367)</f>
        <v>0.709677419354839</v>
      </c>
      <c r="S1367" s="8" t="n">
        <f aca="false">R1367+Q1367</f>
        <v>1.2462627852085</v>
      </c>
      <c r="T1367" s="8" t="n">
        <f aca="false">R1367-P1367</f>
        <v>0.32258064516129</v>
      </c>
    </row>
    <row r="1368" customFormat="false" ht="14.25" hidden="false" customHeight="true" outlineLevel="0" collapsed="false">
      <c r="A1368" s="6" t="n">
        <v>2018</v>
      </c>
      <c r="B1368" s="6" t="s">
        <v>147</v>
      </c>
      <c r="C1368" s="6" t="s">
        <v>154</v>
      </c>
      <c r="D1368" s="7" t="n">
        <v>12</v>
      </c>
      <c r="E1368" s="7" t="n">
        <v>37</v>
      </c>
      <c r="F1368" s="7" t="n">
        <v>11</v>
      </c>
      <c r="G1368" s="7" t="n">
        <v>11</v>
      </c>
      <c r="H1368" s="7" t="n">
        <v>0</v>
      </c>
      <c r="I1368" s="7" t="n">
        <v>0</v>
      </c>
      <c r="J1368" s="7" t="n">
        <v>1</v>
      </c>
      <c r="K1368" s="7" t="n">
        <v>1</v>
      </c>
      <c r="L1368" s="7" t="n">
        <v>14</v>
      </c>
      <c r="M1368" s="7" t="n">
        <v>4</v>
      </c>
      <c r="N1368" s="7" t="n">
        <v>6</v>
      </c>
      <c r="O1368" s="7" t="n">
        <v>1</v>
      </c>
      <c r="P1368" s="8" t="n">
        <f aca="false">IF(E1368=0,0,G1368/E1368)</f>
        <v>0.297297297297297</v>
      </c>
      <c r="Q1368" s="8" t="n">
        <f aca="false">IF(E1368+N1368=0,0,(G1368+N1368)/(E1368+N1368))</f>
        <v>0.395348837209302</v>
      </c>
      <c r="R1368" s="8" t="n">
        <f aca="false">IF(E1368=0,0,L1368/E1368)</f>
        <v>0.378378378378378</v>
      </c>
      <c r="S1368" s="8" t="n">
        <f aca="false">R1368+Q1368</f>
        <v>0.773727215587681</v>
      </c>
      <c r="T1368" s="8" t="n">
        <f aca="false">R1368-P1368</f>
        <v>0.0810810810810811</v>
      </c>
    </row>
    <row r="1369" customFormat="false" ht="14.25" hidden="false" customHeight="true" outlineLevel="0" collapsed="false">
      <c r="A1369" s="6" t="n">
        <v>2018</v>
      </c>
      <c r="B1369" s="6" t="s">
        <v>147</v>
      </c>
      <c r="C1369" s="6" t="s">
        <v>152</v>
      </c>
      <c r="D1369" s="7" t="n">
        <v>10</v>
      </c>
      <c r="E1369" s="7" t="n">
        <v>28</v>
      </c>
      <c r="F1369" s="7" t="n">
        <v>7</v>
      </c>
      <c r="G1369" s="7" t="n">
        <v>11</v>
      </c>
      <c r="H1369" s="7" t="n">
        <v>6</v>
      </c>
      <c r="I1369" s="7" t="n">
        <v>0</v>
      </c>
      <c r="J1369" s="7" t="n">
        <v>0</v>
      </c>
      <c r="K1369" s="7" t="n">
        <v>6</v>
      </c>
      <c r="L1369" s="7" t="n">
        <v>17</v>
      </c>
      <c r="M1369" s="7" t="n">
        <v>8</v>
      </c>
      <c r="N1369" s="7" t="n">
        <v>5</v>
      </c>
      <c r="O1369" s="7" t="n">
        <v>1</v>
      </c>
      <c r="P1369" s="8" t="n">
        <f aca="false">IF(E1369=0,0,G1369/E1369)</f>
        <v>0.392857142857143</v>
      </c>
      <c r="Q1369" s="8" t="n">
        <f aca="false">IF(E1369+N1369=0,0,(G1369+N1369)/(E1369+N1369))</f>
        <v>0.484848484848485</v>
      </c>
      <c r="R1369" s="8" t="n">
        <f aca="false">IF(E1369=0,0,L1369/E1369)</f>
        <v>0.607142857142857</v>
      </c>
      <c r="S1369" s="8" t="n">
        <f aca="false">R1369+Q1369</f>
        <v>1.09199134199134</v>
      </c>
      <c r="T1369" s="8" t="n">
        <f aca="false">R1369-P1369</f>
        <v>0.214285714285714</v>
      </c>
    </row>
    <row r="1370" customFormat="false" ht="14.25" hidden="false" customHeight="true" outlineLevel="0" collapsed="false">
      <c r="A1370" s="6" t="n">
        <v>2018</v>
      </c>
      <c r="B1370" s="6" t="s">
        <v>147</v>
      </c>
      <c r="C1370" s="6" t="s">
        <v>151</v>
      </c>
      <c r="D1370" s="7" t="n">
        <v>12</v>
      </c>
      <c r="E1370" s="7" t="n">
        <v>29</v>
      </c>
      <c r="F1370" s="7" t="n">
        <v>17</v>
      </c>
      <c r="G1370" s="7" t="n">
        <v>10</v>
      </c>
      <c r="H1370" s="7" t="n">
        <v>3</v>
      </c>
      <c r="I1370" s="7" t="n">
        <v>0</v>
      </c>
      <c r="J1370" s="7" t="n">
        <v>5</v>
      </c>
      <c r="K1370" s="7" t="n">
        <v>8</v>
      </c>
      <c r="L1370" s="7" t="n">
        <v>28</v>
      </c>
      <c r="M1370" s="7" t="n">
        <v>14</v>
      </c>
      <c r="N1370" s="7" t="n">
        <v>10</v>
      </c>
      <c r="O1370" s="7" t="n">
        <v>2</v>
      </c>
      <c r="P1370" s="8" t="n">
        <f aca="false">IF(E1370=0,0,G1370/E1370)</f>
        <v>0.344827586206897</v>
      </c>
      <c r="Q1370" s="8" t="n">
        <f aca="false">IF(E1370+N1370=0,0,(G1370+N1370)/(E1370+N1370))</f>
        <v>0.512820512820513</v>
      </c>
      <c r="R1370" s="8" t="n">
        <f aca="false">IF(E1370=0,0,L1370/E1370)</f>
        <v>0.96551724137931</v>
      </c>
      <c r="S1370" s="8" t="n">
        <f aca="false">R1370+Q1370</f>
        <v>1.47833775419982</v>
      </c>
      <c r="T1370" s="8" t="n">
        <f aca="false">R1370-P1370</f>
        <v>0.620689655172414</v>
      </c>
    </row>
    <row r="1371" customFormat="false" ht="14.25" hidden="false" customHeight="true" outlineLevel="0" collapsed="false">
      <c r="A1371" s="6" t="n">
        <v>2018</v>
      </c>
      <c r="B1371" s="6" t="s">
        <v>147</v>
      </c>
      <c r="C1371" s="6" t="s">
        <v>347</v>
      </c>
      <c r="D1371" s="7" t="n">
        <v>6</v>
      </c>
      <c r="E1371" s="7" t="n">
        <v>20</v>
      </c>
      <c r="F1371" s="7" t="n">
        <v>6</v>
      </c>
      <c r="G1371" s="7" t="n">
        <v>9</v>
      </c>
      <c r="H1371" s="7" t="n">
        <v>3</v>
      </c>
      <c r="I1371" s="7" t="n">
        <v>0</v>
      </c>
      <c r="J1371" s="7" t="n">
        <v>1</v>
      </c>
      <c r="K1371" s="7" t="n">
        <v>4</v>
      </c>
      <c r="L1371" s="7" t="n">
        <v>15</v>
      </c>
      <c r="M1371" s="7" t="n">
        <v>5</v>
      </c>
      <c r="N1371" s="7" t="n">
        <v>1</v>
      </c>
      <c r="O1371" s="7" t="n">
        <v>1</v>
      </c>
      <c r="P1371" s="8" t="n">
        <f aca="false">IF(E1371=0,0,G1371/E1371)</f>
        <v>0.45</v>
      </c>
      <c r="Q1371" s="8" t="n">
        <f aca="false">IF(E1371+N1371=0,0,(G1371+N1371)/(E1371+N1371))</f>
        <v>0.476190476190476</v>
      </c>
      <c r="R1371" s="8" t="n">
        <f aca="false">IF(E1371=0,0,L1371/E1371)</f>
        <v>0.75</v>
      </c>
      <c r="S1371" s="8" t="n">
        <f aca="false">R1371+Q1371</f>
        <v>1.22619047619048</v>
      </c>
      <c r="T1371" s="8" t="n">
        <f aca="false">R1371-P1371</f>
        <v>0.3</v>
      </c>
    </row>
    <row r="1372" customFormat="false" ht="14.25" hidden="false" customHeight="true" outlineLevel="0" collapsed="false">
      <c r="A1372" s="6" t="n">
        <v>2018</v>
      </c>
      <c r="B1372" s="6" t="s">
        <v>147</v>
      </c>
      <c r="C1372" s="6" t="s">
        <v>162</v>
      </c>
      <c r="D1372" s="7" t="n">
        <v>12</v>
      </c>
      <c r="E1372" s="7" t="n">
        <v>37</v>
      </c>
      <c r="F1372" s="7" t="n">
        <v>5</v>
      </c>
      <c r="G1372" s="7" t="n">
        <v>8</v>
      </c>
      <c r="H1372" s="7" t="n">
        <v>0</v>
      </c>
      <c r="I1372" s="7" t="n">
        <v>0</v>
      </c>
      <c r="J1372" s="7" t="n">
        <v>1</v>
      </c>
      <c r="K1372" s="7" t="n">
        <v>1</v>
      </c>
      <c r="L1372" s="7" t="n">
        <v>11</v>
      </c>
      <c r="M1372" s="7" t="n">
        <v>5</v>
      </c>
      <c r="N1372" s="7" t="n">
        <v>3</v>
      </c>
      <c r="O1372" s="7" t="n">
        <v>2</v>
      </c>
      <c r="P1372" s="8" t="n">
        <f aca="false">IF(E1372=0,0,G1372/E1372)</f>
        <v>0.216216216216216</v>
      </c>
      <c r="Q1372" s="8" t="n">
        <f aca="false">IF(E1372+N1372=0,0,(G1372+N1372)/(E1372+N1372))</f>
        <v>0.275</v>
      </c>
      <c r="R1372" s="8" t="n">
        <f aca="false">IF(E1372=0,0,L1372/E1372)</f>
        <v>0.297297297297297</v>
      </c>
      <c r="S1372" s="8" t="n">
        <f aca="false">R1372+Q1372</f>
        <v>0.572297297297297</v>
      </c>
      <c r="T1372" s="8" t="n">
        <f aca="false">R1372-P1372</f>
        <v>0.0810810810810811</v>
      </c>
    </row>
    <row r="1373" customFormat="false" ht="14.25" hidden="false" customHeight="true" outlineLevel="0" collapsed="false">
      <c r="A1373" s="6" t="n">
        <v>2018</v>
      </c>
      <c r="B1373" s="6" t="s">
        <v>147</v>
      </c>
      <c r="C1373" s="6" t="s">
        <v>149</v>
      </c>
      <c r="D1373" s="7" t="n">
        <v>11</v>
      </c>
      <c r="E1373" s="7" t="n">
        <v>36</v>
      </c>
      <c r="F1373" s="7" t="n">
        <v>5</v>
      </c>
      <c r="G1373" s="7" t="n">
        <v>7</v>
      </c>
      <c r="H1373" s="7" t="n">
        <v>2</v>
      </c>
      <c r="I1373" s="7" t="n">
        <v>0</v>
      </c>
      <c r="J1373" s="7" t="n">
        <v>2</v>
      </c>
      <c r="K1373" s="7" t="n">
        <v>4</v>
      </c>
      <c r="L1373" s="7" t="n">
        <v>15</v>
      </c>
      <c r="M1373" s="7" t="n">
        <v>9</v>
      </c>
      <c r="N1373" s="7" t="n">
        <v>2</v>
      </c>
      <c r="O1373" s="7" t="n">
        <v>0</v>
      </c>
      <c r="P1373" s="8" t="n">
        <f aca="false">IF(E1373=0,0,G1373/E1373)</f>
        <v>0.194444444444444</v>
      </c>
      <c r="Q1373" s="8" t="n">
        <f aca="false">IF(E1373+N1373=0,0,(G1373+N1373)/(E1373+N1373))</f>
        <v>0.236842105263158</v>
      </c>
      <c r="R1373" s="8" t="n">
        <f aca="false">IF(E1373=0,0,L1373/E1373)</f>
        <v>0.416666666666667</v>
      </c>
      <c r="S1373" s="8" t="n">
        <f aca="false">R1373+Q1373</f>
        <v>0.653508771929825</v>
      </c>
      <c r="T1373" s="8" t="n">
        <f aca="false">R1373-P1373</f>
        <v>0.222222222222222</v>
      </c>
    </row>
    <row r="1374" customFormat="false" ht="14.25" hidden="false" customHeight="true" outlineLevel="0" collapsed="false">
      <c r="A1374" s="6" t="n">
        <v>2018</v>
      </c>
      <c r="B1374" s="6" t="s">
        <v>147</v>
      </c>
      <c r="C1374" s="6" t="s">
        <v>155</v>
      </c>
      <c r="D1374" s="7" t="n">
        <v>13</v>
      </c>
      <c r="E1374" s="7" t="n">
        <v>34</v>
      </c>
      <c r="F1374" s="7" t="n">
        <v>10</v>
      </c>
      <c r="G1374" s="7" t="n">
        <v>7</v>
      </c>
      <c r="H1374" s="7" t="n">
        <v>1</v>
      </c>
      <c r="I1374" s="7" t="n">
        <v>0</v>
      </c>
      <c r="J1374" s="7" t="n">
        <v>3</v>
      </c>
      <c r="K1374" s="7" t="n">
        <v>4</v>
      </c>
      <c r="L1374" s="7" t="n">
        <v>17</v>
      </c>
      <c r="M1374" s="7" t="n">
        <v>14</v>
      </c>
      <c r="N1374" s="7" t="n">
        <v>9</v>
      </c>
      <c r="O1374" s="7" t="n">
        <v>4</v>
      </c>
      <c r="P1374" s="8" t="n">
        <f aca="false">IF(E1374=0,0,G1374/E1374)</f>
        <v>0.205882352941176</v>
      </c>
      <c r="Q1374" s="8" t="n">
        <f aca="false">IF(E1374+N1374=0,0,(G1374+N1374)/(E1374+N1374))</f>
        <v>0.372093023255814</v>
      </c>
      <c r="R1374" s="8" t="n">
        <f aca="false">IF(E1374=0,0,L1374/E1374)</f>
        <v>0.5</v>
      </c>
      <c r="S1374" s="8" t="n">
        <f aca="false">R1374+Q1374</f>
        <v>0.872093023255814</v>
      </c>
      <c r="T1374" s="8" t="n">
        <f aca="false">R1374-P1374</f>
        <v>0.294117647058824</v>
      </c>
    </row>
    <row r="1375" customFormat="false" ht="14.25" hidden="false" customHeight="true" outlineLevel="0" collapsed="false">
      <c r="A1375" s="6" t="n">
        <v>2018</v>
      </c>
      <c r="B1375" s="6" t="s">
        <v>147</v>
      </c>
      <c r="C1375" s="6" t="s">
        <v>302</v>
      </c>
      <c r="D1375" s="7" t="n">
        <v>9</v>
      </c>
      <c r="E1375" s="7" t="n">
        <v>26</v>
      </c>
      <c r="F1375" s="7" t="n">
        <v>7</v>
      </c>
      <c r="G1375" s="7" t="n">
        <v>5</v>
      </c>
      <c r="H1375" s="7" t="n">
        <v>0</v>
      </c>
      <c r="I1375" s="7" t="n">
        <v>0</v>
      </c>
      <c r="J1375" s="7" t="n">
        <v>1</v>
      </c>
      <c r="K1375" s="7" t="n">
        <v>1</v>
      </c>
      <c r="L1375" s="7" t="n">
        <v>8</v>
      </c>
      <c r="M1375" s="7" t="n">
        <v>5</v>
      </c>
      <c r="N1375" s="7" t="n">
        <v>5</v>
      </c>
      <c r="O1375" s="7" t="n">
        <v>1</v>
      </c>
      <c r="P1375" s="8" t="n">
        <f aca="false">IF(E1375=0,0,G1375/E1375)</f>
        <v>0.192307692307692</v>
      </c>
      <c r="Q1375" s="8" t="n">
        <f aca="false">IF(E1375+N1375=0,0,(G1375+N1375)/(E1375+N1375))</f>
        <v>0.32258064516129</v>
      </c>
      <c r="R1375" s="8" t="n">
        <f aca="false">IF(E1375=0,0,L1375/E1375)</f>
        <v>0.307692307692308</v>
      </c>
      <c r="S1375" s="8" t="n">
        <f aca="false">R1375+Q1375</f>
        <v>0.630272952853598</v>
      </c>
      <c r="T1375" s="8" t="n">
        <f aca="false">R1375-P1375</f>
        <v>0.115384615384615</v>
      </c>
    </row>
    <row r="1376" customFormat="false" ht="14.25" hidden="false" customHeight="true" outlineLevel="0" collapsed="false">
      <c r="A1376" s="6" t="n">
        <v>2018</v>
      </c>
      <c r="B1376" s="6" t="s">
        <v>147</v>
      </c>
      <c r="C1376" s="6" t="s">
        <v>395</v>
      </c>
      <c r="D1376" s="7" t="n">
        <v>11</v>
      </c>
      <c r="E1376" s="7" t="n">
        <v>27</v>
      </c>
      <c r="F1376" s="7" t="n">
        <v>4</v>
      </c>
      <c r="G1376" s="7" t="n">
        <v>3</v>
      </c>
      <c r="H1376" s="7" t="n">
        <v>0</v>
      </c>
      <c r="I1376" s="7" t="n">
        <v>0</v>
      </c>
      <c r="J1376" s="7" t="n">
        <v>0</v>
      </c>
      <c r="K1376" s="7" t="n">
        <v>0</v>
      </c>
      <c r="L1376" s="7" t="n">
        <v>3</v>
      </c>
      <c r="M1376" s="7" t="n">
        <v>2</v>
      </c>
      <c r="N1376" s="7" t="n">
        <v>7</v>
      </c>
      <c r="O1376" s="7" t="n">
        <v>2</v>
      </c>
      <c r="P1376" s="8" t="n">
        <f aca="false">IF(E1376=0,0,G1376/E1376)</f>
        <v>0.111111111111111</v>
      </c>
      <c r="Q1376" s="8" t="n">
        <f aca="false">IF(E1376+N1376=0,0,(G1376+N1376)/(E1376+N1376))</f>
        <v>0.294117647058824</v>
      </c>
      <c r="R1376" s="8" t="n">
        <f aca="false">IF(E1376=0,0,L1376/E1376)</f>
        <v>0.111111111111111</v>
      </c>
      <c r="S1376" s="8" t="n">
        <f aca="false">R1376+Q1376</f>
        <v>0.405228758169935</v>
      </c>
      <c r="T1376" s="8" t="n">
        <f aca="false">R1376-P1376</f>
        <v>0</v>
      </c>
    </row>
    <row r="1377" customFormat="false" ht="14.25" hidden="false" customHeight="true" outlineLevel="0" collapsed="false">
      <c r="A1377" s="6" t="n">
        <v>2018</v>
      </c>
      <c r="B1377" s="6" t="s">
        <v>147</v>
      </c>
      <c r="C1377" s="6" t="s">
        <v>344</v>
      </c>
      <c r="D1377" s="7" t="n">
        <v>8</v>
      </c>
      <c r="E1377" s="7" t="n">
        <v>22</v>
      </c>
      <c r="F1377" s="7" t="n">
        <v>2</v>
      </c>
      <c r="G1377" s="7" t="n">
        <v>3</v>
      </c>
      <c r="H1377" s="7" t="n">
        <v>0</v>
      </c>
      <c r="I1377" s="7" t="n">
        <v>0</v>
      </c>
      <c r="J1377" s="7" t="n">
        <v>0</v>
      </c>
      <c r="K1377" s="7" t="n">
        <v>0</v>
      </c>
      <c r="L1377" s="7" t="n">
        <v>3</v>
      </c>
      <c r="M1377" s="7" t="n">
        <v>0</v>
      </c>
      <c r="N1377" s="7" t="n">
        <v>0</v>
      </c>
      <c r="O1377" s="7" t="n">
        <v>0</v>
      </c>
      <c r="P1377" s="8" t="n">
        <f aca="false">IF(E1377=0,0,G1377/E1377)</f>
        <v>0.136363636363636</v>
      </c>
      <c r="Q1377" s="8" t="n">
        <f aca="false">IF(E1377+N1377=0,0,(G1377+N1377)/(E1377+N1377))</f>
        <v>0.136363636363636</v>
      </c>
      <c r="R1377" s="8" t="n">
        <f aca="false">IF(E1377=0,0,L1377/E1377)</f>
        <v>0.136363636363636</v>
      </c>
      <c r="S1377" s="8" t="n">
        <f aca="false">R1377+Q1377</f>
        <v>0.272727272727273</v>
      </c>
      <c r="T1377" s="8" t="n">
        <f aca="false">R1377-P1377</f>
        <v>0</v>
      </c>
    </row>
    <row r="1378" customFormat="false" ht="14.25" hidden="false" customHeight="true" outlineLevel="0" collapsed="false">
      <c r="A1378" s="6" t="n">
        <v>2018</v>
      </c>
      <c r="B1378" s="6" t="s">
        <v>147</v>
      </c>
      <c r="C1378" s="6" t="s">
        <v>150</v>
      </c>
      <c r="D1378" s="7" t="n">
        <v>9</v>
      </c>
      <c r="E1378" s="7" t="n">
        <v>19</v>
      </c>
      <c r="F1378" s="7" t="n">
        <v>3</v>
      </c>
      <c r="G1378" s="7" t="n">
        <v>2</v>
      </c>
      <c r="H1378" s="7" t="n">
        <v>0</v>
      </c>
      <c r="I1378" s="7" t="n">
        <v>0</v>
      </c>
      <c r="J1378" s="7" t="n">
        <v>0</v>
      </c>
      <c r="K1378" s="7" t="n">
        <v>0</v>
      </c>
      <c r="L1378" s="7" t="n">
        <v>2</v>
      </c>
      <c r="M1378" s="7" t="n">
        <v>2</v>
      </c>
      <c r="N1378" s="7" t="n">
        <v>7</v>
      </c>
      <c r="O1378" s="7" t="n">
        <v>0</v>
      </c>
      <c r="P1378" s="8" t="n">
        <f aca="false">IF(E1378=0,0,G1378/E1378)</f>
        <v>0.105263157894737</v>
      </c>
      <c r="Q1378" s="8" t="n">
        <f aca="false">IF(E1378+N1378=0,0,(G1378+N1378)/(E1378+N1378))</f>
        <v>0.346153846153846</v>
      </c>
      <c r="R1378" s="8" t="n">
        <f aca="false">IF(E1378=0,0,L1378/E1378)</f>
        <v>0.105263157894737</v>
      </c>
      <c r="S1378" s="8" t="n">
        <f aca="false">R1378+Q1378</f>
        <v>0.451417004048583</v>
      </c>
      <c r="T1378" s="8" t="n">
        <f aca="false">R1378-P1378</f>
        <v>0</v>
      </c>
    </row>
    <row r="1379" customFormat="false" ht="14.25" hidden="false" customHeight="true" outlineLevel="0" collapsed="false">
      <c r="A1379" s="6" t="n">
        <v>2018</v>
      </c>
      <c r="B1379" s="6" t="s">
        <v>147</v>
      </c>
      <c r="C1379" s="6" t="s">
        <v>389</v>
      </c>
      <c r="D1379" s="7" t="n">
        <v>4</v>
      </c>
      <c r="E1379" s="7" t="n">
        <v>9</v>
      </c>
      <c r="F1379" s="7" t="n">
        <v>4</v>
      </c>
      <c r="G1379" s="7" t="n">
        <v>2</v>
      </c>
      <c r="H1379" s="7" t="n">
        <v>2</v>
      </c>
      <c r="I1379" s="7" t="n">
        <v>0</v>
      </c>
      <c r="J1379" s="7" t="n">
        <v>0</v>
      </c>
      <c r="K1379" s="7" t="n">
        <v>2</v>
      </c>
      <c r="L1379" s="7" t="n">
        <v>4</v>
      </c>
      <c r="M1379" s="7" t="n">
        <v>1</v>
      </c>
      <c r="N1379" s="7" t="n">
        <v>2</v>
      </c>
      <c r="O1379" s="7" t="n">
        <v>0</v>
      </c>
      <c r="P1379" s="8" t="n">
        <f aca="false">IF(E1379=0,0,G1379/E1379)</f>
        <v>0.222222222222222</v>
      </c>
      <c r="Q1379" s="8" t="n">
        <f aca="false">IF(E1379+N1379=0,0,(G1379+N1379)/(E1379+N1379))</f>
        <v>0.363636363636364</v>
      </c>
      <c r="R1379" s="8" t="n">
        <f aca="false">IF(E1379=0,0,L1379/E1379)</f>
        <v>0.444444444444444</v>
      </c>
      <c r="S1379" s="8" t="n">
        <f aca="false">R1379+Q1379</f>
        <v>0.808080808080808</v>
      </c>
      <c r="T1379" s="8" t="n">
        <f aca="false">R1379-P1379</f>
        <v>0.222222222222222</v>
      </c>
    </row>
    <row r="1380" customFormat="false" ht="14.25" hidden="false" customHeight="true" outlineLevel="0" collapsed="false">
      <c r="A1380" s="6" t="n">
        <v>2018</v>
      </c>
      <c r="B1380" s="6" t="s">
        <v>147</v>
      </c>
      <c r="C1380" s="6" t="s">
        <v>330</v>
      </c>
      <c r="D1380" s="7" t="n">
        <v>1</v>
      </c>
      <c r="E1380" s="7" t="n">
        <v>1</v>
      </c>
      <c r="F1380" s="7" t="n">
        <v>0</v>
      </c>
      <c r="G1380" s="7" t="n">
        <v>0</v>
      </c>
      <c r="H1380" s="7" t="n">
        <v>0</v>
      </c>
      <c r="I1380" s="7" t="n">
        <v>0</v>
      </c>
      <c r="J1380" s="7" t="n">
        <v>0</v>
      </c>
      <c r="K1380" s="7" t="n">
        <v>0</v>
      </c>
      <c r="L1380" s="7" t="n">
        <v>0</v>
      </c>
      <c r="M1380" s="7" t="n">
        <v>0</v>
      </c>
      <c r="N1380" s="7" t="n">
        <v>0</v>
      </c>
      <c r="O1380" s="7" t="n">
        <v>0</v>
      </c>
      <c r="P1380" s="8" t="n">
        <f aca="false">IF(E1380=0,0,G1380/E1380)</f>
        <v>0</v>
      </c>
      <c r="Q1380" s="8" t="n">
        <f aca="false">IF(E1380+N1380=0,0,(G1380+N1380)/(E1380+N1380))</f>
        <v>0</v>
      </c>
      <c r="R1380" s="8" t="n">
        <f aca="false">IF(E1380=0,0,L1380/E1380)</f>
        <v>0</v>
      </c>
      <c r="S1380" s="8" t="n">
        <f aca="false">R1380+Q1380</f>
        <v>0</v>
      </c>
      <c r="T1380" s="8" t="n">
        <f aca="false">R1380-P1380</f>
        <v>0</v>
      </c>
    </row>
    <row r="1381" customFormat="false" ht="14.25" hidden="false" customHeight="true" outlineLevel="0" collapsed="false">
      <c r="A1381" s="6" t="n">
        <v>2018</v>
      </c>
      <c r="B1381" s="6" t="s">
        <v>147</v>
      </c>
      <c r="C1381" s="6" t="s">
        <v>483</v>
      </c>
      <c r="D1381" s="7" t="n">
        <v>3</v>
      </c>
      <c r="E1381" s="7" t="n">
        <v>7</v>
      </c>
      <c r="F1381" s="7" t="n">
        <v>0</v>
      </c>
      <c r="G1381" s="7" t="n">
        <v>0</v>
      </c>
      <c r="H1381" s="7" t="n">
        <v>0</v>
      </c>
      <c r="I1381" s="7" t="n">
        <v>0</v>
      </c>
      <c r="J1381" s="7" t="n">
        <v>0</v>
      </c>
      <c r="K1381" s="7" t="n">
        <v>0</v>
      </c>
      <c r="L1381" s="7" t="n">
        <v>0</v>
      </c>
      <c r="M1381" s="7" t="n">
        <v>1</v>
      </c>
      <c r="N1381" s="7" t="n">
        <v>0</v>
      </c>
      <c r="O1381" s="7" t="n">
        <v>0</v>
      </c>
      <c r="P1381" s="8" t="n">
        <f aca="false">IF(E1381=0,0,G1381/E1381)</f>
        <v>0</v>
      </c>
      <c r="Q1381" s="8" t="n">
        <f aca="false">IF(E1381+N1381=0,0,(G1381+N1381)/(E1381+N1381))</f>
        <v>0</v>
      </c>
      <c r="R1381" s="8" t="n">
        <f aca="false">IF(E1381=0,0,L1381/E1381)</f>
        <v>0</v>
      </c>
      <c r="S1381" s="8" t="n">
        <f aca="false">R1381+Q1381</f>
        <v>0</v>
      </c>
      <c r="T1381" s="8" t="n">
        <f aca="false">R1381-P1381</f>
        <v>0</v>
      </c>
    </row>
    <row r="1382" customFormat="false" ht="14.25" hidden="false" customHeight="true" outlineLevel="0" collapsed="false">
      <c r="A1382" s="6" t="n">
        <v>2018</v>
      </c>
      <c r="B1382" s="6" t="s">
        <v>147</v>
      </c>
      <c r="C1382" s="6" t="s">
        <v>518</v>
      </c>
      <c r="D1382" s="7" t="n">
        <v>1</v>
      </c>
      <c r="E1382" s="7" t="n">
        <v>2</v>
      </c>
      <c r="F1382" s="7" t="n">
        <v>0</v>
      </c>
      <c r="G1382" s="7" t="n">
        <v>0</v>
      </c>
      <c r="H1382" s="7" t="n">
        <v>0</v>
      </c>
      <c r="I1382" s="7" t="n">
        <v>0</v>
      </c>
      <c r="J1382" s="7" t="n">
        <v>0</v>
      </c>
      <c r="K1382" s="7" t="n">
        <v>0</v>
      </c>
      <c r="L1382" s="7" t="n">
        <v>0</v>
      </c>
      <c r="M1382" s="7" t="n">
        <v>0</v>
      </c>
      <c r="N1382" s="7" t="n">
        <v>0</v>
      </c>
      <c r="O1382" s="7" t="n">
        <v>0</v>
      </c>
      <c r="P1382" s="8" t="n">
        <f aca="false">IF(E1382=0,0,G1382/E1382)</f>
        <v>0</v>
      </c>
      <c r="Q1382" s="8" t="n">
        <f aca="false">IF(E1382+N1382=0,0,(G1382+N1382)/(E1382+N1382))</f>
        <v>0</v>
      </c>
      <c r="R1382" s="8" t="n">
        <f aca="false">IF(E1382=0,0,L1382/E1382)</f>
        <v>0</v>
      </c>
      <c r="S1382" s="8" t="n">
        <f aca="false">R1382+Q1382</f>
        <v>0</v>
      </c>
      <c r="T1382" s="8" t="n">
        <f aca="false">R1382-P1382</f>
        <v>0</v>
      </c>
    </row>
    <row r="1383" customFormat="false" ht="14.25" hidden="false" customHeight="true" outlineLevel="0" collapsed="false">
      <c r="A1383" s="6" t="n">
        <v>2018</v>
      </c>
      <c r="B1383" s="6" t="s">
        <v>147</v>
      </c>
      <c r="C1383" s="6" t="s">
        <v>163</v>
      </c>
      <c r="D1383" s="7" t="n">
        <v>2</v>
      </c>
      <c r="E1383" s="7" t="n">
        <v>7</v>
      </c>
      <c r="F1383" s="7" t="n">
        <v>0</v>
      </c>
      <c r="G1383" s="7" t="n">
        <v>0</v>
      </c>
      <c r="H1383" s="7" t="n">
        <v>0</v>
      </c>
      <c r="I1383" s="7" t="n">
        <v>0</v>
      </c>
      <c r="J1383" s="7" t="n">
        <v>0</v>
      </c>
      <c r="K1383" s="7" t="n">
        <v>0</v>
      </c>
      <c r="L1383" s="7" t="n">
        <v>0</v>
      </c>
      <c r="M1383" s="7" t="n">
        <v>0</v>
      </c>
      <c r="N1383" s="7" t="n">
        <v>0</v>
      </c>
      <c r="O1383" s="7" t="n">
        <v>1</v>
      </c>
      <c r="P1383" s="8" t="n">
        <f aca="false">IF(E1383=0,0,G1383/E1383)</f>
        <v>0</v>
      </c>
      <c r="Q1383" s="8" t="n">
        <f aca="false">IF(E1383+N1383=0,0,(G1383+N1383)/(E1383+N1383))</f>
        <v>0</v>
      </c>
      <c r="R1383" s="8" t="n">
        <f aca="false">IF(E1383=0,0,L1383/E1383)</f>
        <v>0</v>
      </c>
      <c r="S1383" s="8" t="n">
        <f aca="false">R1383+Q1383</f>
        <v>0</v>
      </c>
      <c r="T1383" s="8" t="n">
        <f aca="false">R1383-P1383</f>
        <v>0</v>
      </c>
    </row>
    <row r="1384" customFormat="false" ht="14.25" hidden="false" customHeight="true" outlineLevel="0" collapsed="false">
      <c r="A1384" s="6" t="n">
        <v>2018</v>
      </c>
      <c r="B1384" s="6" t="s">
        <v>166</v>
      </c>
      <c r="C1384" s="6" t="s">
        <v>185</v>
      </c>
      <c r="D1384" s="7" t="n">
        <v>6</v>
      </c>
      <c r="E1384" s="7" t="n">
        <v>18</v>
      </c>
      <c r="F1384" s="7" t="n">
        <v>2</v>
      </c>
      <c r="G1384" s="7" t="n">
        <v>8</v>
      </c>
      <c r="H1384" s="7" t="n">
        <v>1</v>
      </c>
      <c r="I1384" s="7" t="n">
        <v>0</v>
      </c>
      <c r="J1384" s="7" t="n">
        <v>0</v>
      </c>
      <c r="K1384" s="7" t="n">
        <v>1</v>
      </c>
      <c r="L1384" s="7" t="n">
        <v>9</v>
      </c>
      <c r="M1384" s="7" t="n">
        <v>3</v>
      </c>
      <c r="N1384" s="7" t="n">
        <v>1</v>
      </c>
      <c r="O1384" s="7" t="n">
        <v>1</v>
      </c>
      <c r="P1384" s="8" t="n">
        <f aca="false">IF(E1384=0,0,G1384/E1384)</f>
        <v>0.444444444444444</v>
      </c>
      <c r="Q1384" s="8" t="n">
        <f aca="false">IF(E1384+N1384=0,0,(G1384+N1384)/(E1384+N1384))</f>
        <v>0.473684210526316</v>
      </c>
      <c r="R1384" s="8" t="n">
        <f aca="false">IF(E1384=0,0,L1384/E1384)</f>
        <v>0.5</v>
      </c>
      <c r="S1384" s="8" t="n">
        <f aca="false">R1384+Q1384</f>
        <v>0.973684210526316</v>
      </c>
      <c r="T1384" s="8" t="n">
        <f aca="false">R1384-P1384</f>
        <v>0.0555555555555556</v>
      </c>
    </row>
    <row r="1385" customFormat="false" ht="14.25" hidden="false" customHeight="true" outlineLevel="0" collapsed="false">
      <c r="A1385" s="6" t="n">
        <v>2018</v>
      </c>
      <c r="B1385" s="6" t="s">
        <v>166</v>
      </c>
      <c r="C1385" s="6" t="s">
        <v>173</v>
      </c>
      <c r="D1385" s="7" t="n">
        <v>9</v>
      </c>
      <c r="E1385" s="7" t="n">
        <v>23</v>
      </c>
      <c r="F1385" s="7" t="n">
        <v>4</v>
      </c>
      <c r="G1385" s="7" t="n">
        <v>7</v>
      </c>
      <c r="H1385" s="7" t="n">
        <v>1</v>
      </c>
      <c r="I1385" s="7" t="n">
        <v>0</v>
      </c>
      <c r="J1385" s="7" t="n">
        <v>0</v>
      </c>
      <c r="K1385" s="7" t="n">
        <v>1</v>
      </c>
      <c r="L1385" s="7" t="n">
        <v>8</v>
      </c>
      <c r="M1385" s="7" t="n">
        <v>5</v>
      </c>
      <c r="N1385" s="7" t="n">
        <v>5</v>
      </c>
      <c r="O1385" s="7" t="n">
        <v>1</v>
      </c>
      <c r="P1385" s="8" t="n">
        <f aca="false">IF(E1385=0,0,G1385/E1385)</f>
        <v>0.304347826086957</v>
      </c>
      <c r="Q1385" s="8" t="n">
        <f aca="false">IF(E1385+N1385=0,0,(G1385+N1385)/(E1385+N1385))</f>
        <v>0.428571428571429</v>
      </c>
      <c r="R1385" s="8" t="n">
        <f aca="false">IF(E1385=0,0,L1385/E1385)</f>
        <v>0.347826086956522</v>
      </c>
      <c r="S1385" s="8" t="n">
        <f aca="false">R1385+Q1385</f>
        <v>0.77639751552795</v>
      </c>
      <c r="T1385" s="8" t="n">
        <f aca="false">R1385-P1385</f>
        <v>0.0434782608695652</v>
      </c>
    </row>
    <row r="1386" customFormat="false" ht="14.25" hidden="false" customHeight="true" outlineLevel="0" collapsed="false">
      <c r="A1386" s="6" t="n">
        <v>2018</v>
      </c>
      <c r="B1386" s="6" t="s">
        <v>166</v>
      </c>
      <c r="C1386" s="6" t="s">
        <v>487</v>
      </c>
      <c r="D1386" s="7" t="n">
        <v>9</v>
      </c>
      <c r="E1386" s="7" t="n">
        <v>24</v>
      </c>
      <c r="F1386" s="7" t="n">
        <v>3</v>
      </c>
      <c r="G1386" s="7" t="n">
        <v>7</v>
      </c>
      <c r="H1386" s="7" t="n">
        <v>1</v>
      </c>
      <c r="I1386" s="7" t="n">
        <v>0</v>
      </c>
      <c r="J1386" s="7" t="n">
        <v>0</v>
      </c>
      <c r="K1386" s="7" t="n">
        <v>1</v>
      </c>
      <c r="L1386" s="7" t="n">
        <v>8</v>
      </c>
      <c r="M1386" s="7" t="n">
        <v>4</v>
      </c>
      <c r="N1386" s="7" t="n">
        <v>3</v>
      </c>
      <c r="O1386" s="7" t="n">
        <v>0</v>
      </c>
      <c r="P1386" s="8" t="n">
        <f aca="false">IF(E1386=0,0,G1386/E1386)</f>
        <v>0.291666666666667</v>
      </c>
      <c r="Q1386" s="8" t="n">
        <f aca="false">IF(E1386+N1386=0,0,(G1386+N1386)/(E1386+N1386))</f>
        <v>0.37037037037037</v>
      </c>
      <c r="R1386" s="8" t="n">
        <f aca="false">IF(E1386=0,0,L1386/E1386)</f>
        <v>0.333333333333333</v>
      </c>
      <c r="S1386" s="8" t="n">
        <f aca="false">R1386+Q1386</f>
        <v>0.703703703703704</v>
      </c>
      <c r="T1386" s="8" t="n">
        <f aca="false">R1386-P1386</f>
        <v>0.0416666666666666</v>
      </c>
    </row>
    <row r="1387" customFormat="false" ht="14.25" hidden="false" customHeight="true" outlineLevel="0" collapsed="false">
      <c r="A1387" s="6" t="n">
        <v>2018</v>
      </c>
      <c r="B1387" s="6" t="s">
        <v>166</v>
      </c>
      <c r="C1387" s="6" t="s">
        <v>175</v>
      </c>
      <c r="D1387" s="7" t="n">
        <v>8</v>
      </c>
      <c r="E1387" s="7" t="n">
        <v>20</v>
      </c>
      <c r="F1387" s="7" t="n">
        <v>5</v>
      </c>
      <c r="G1387" s="7" t="n">
        <v>6</v>
      </c>
      <c r="H1387" s="7" t="n">
        <v>0</v>
      </c>
      <c r="I1387" s="7" t="n">
        <v>0</v>
      </c>
      <c r="J1387" s="7" t="n">
        <v>2</v>
      </c>
      <c r="K1387" s="7" t="n">
        <v>2</v>
      </c>
      <c r="L1387" s="7" t="n">
        <v>12</v>
      </c>
      <c r="M1387" s="7" t="n">
        <v>6</v>
      </c>
      <c r="N1387" s="7" t="n">
        <v>4</v>
      </c>
      <c r="O1387" s="7" t="n">
        <v>1</v>
      </c>
      <c r="P1387" s="8" t="n">
        <f aca="false">IF(E1387=0,0,G1387/E1387)</f>
        <v>0.3</v>
      </c>
      <c r="Q1387" s="8" t="n">
        <f aca="false">IF(E1387+N1387=0,0,(G1387+N1387)/(E1387+N1387))</f>
        <v>0.416666666666667</v>
      </c>
      <c r="R1387" s="8" t="n">
        <f aca="false">IF(E1387=0,0,L1387/E1387)</f>
        <v>0.6</v>
      </c>
      <c r="S1387" s="8" t="n">
        <f aca="false">R1387+Q1387</f>
        <v>1.01666666666667</v>
      </c>
      <c r="T1387" s="8" t="n">
        <f aca="false">R1387-P1387</f>
        <v>0.3</v>
      </c>
    </row>
    <row r="1388" customFormat="false" ht="14.25" hidden="false" customHeight="true" outlineLevel="0" collapsed="false">
      <c r="A1388" s="6" t="n">
        <v>2018</v>
      </c>
      <c r="B1388" s="6" t="s">
        <v>166</v>
      </c>
      <c r="C1388" s="6" t="s">
        <v>167</v>
      </c>
      <c r="D1388" s="7" t="n">
        <v>7</v>
      </c>
      <c r="E1388" s="7" t="n">
        <v>18</v>
      </c>
      <c r="F1388" s="7" t="n">
        <v>3</v>
      </c>
      <c r="G1388" s="7" t="n">
        <v>6</v>
      </c>
      <c r="H1388" s="7" t="n">
        <v>0</v>
      </c>
      <c r="I1388" s="7" t="n">
        <v>0</v>
      </c>
      <c r="J1388" s="7" t="n">
        <v>0</v>
      </c>
      <c r="K1388" s="7" t="n">
        <v>0</v>
      </c>
      <c r="L1388" s="7" t="n">
        <v>6</v>
      </c>
      <c r="M1388" s="7" t="n">
        <v>3</v>
      </c>
      <c r="N1388" s="7" t="n">
        <v>1</v>
      </c>
      <c r="O1388" s="7" t="n">
        <v>1</v>
      </c>
      <c r="P1388" s="8" t="n">
        <f aca="false">IF(E1388=0,0,G1388/E1388)</f>
        <v>0.333333333333333</v>
      </c>
      <c r="Q1388" s="8" t="n">
        <f aca="false">IF(E1388+N1388=0,0,(G1388+N1388)/(E1388+N1388))</f>
        <v>0.368421052631579</v>
      </c>
      <c r="R1388" s="8" t="n">
        <f aca="false">IF(E1388=0,0,L1388/E1388)</f>
        <v>0.333333333333333</v>
      </c>
      <c r="S1388" s="8" t="n">
        <f aca="false">R1388+Q1388</f>
        <v>0.701754385964912</v>
      </c>
      <c r="T1388" s="8" t="n">
        <f aca="false">R1388-P1388</f>
        <v>0</v>
      </c>
    </row>
    <row r="1389" customFormat="false" ht="14.25" hidden="false" customHeight="true" outlineLevel="0" collapsed="false">
      <c r="A1389" s="6" t="n">
        <v>2018</v>
      </c>
      <c r="B1389" s="6" t="s">
        <v>166</v>
      </c>
      <c r="C1389" s="6" t="s">
        <v>397</v>
      </c>
      <c r="D1389" s="7" t="n">
        <v>6</v>
      </c>
      <c r="E1389" s="7" t="n">
        <v>15</v>
      </c>
      <c r="F1389" s="7" t="n">
        <v>3</v>
      </c>
      <c r="G1389" s="7" t="n">
        <v>5</v>
      </c>
      <c r="H1389" s="7" t="n">
        <v>2</v>
      </c>
      <c r="I1389" s="7" t="n">
        <v>0</v>
      </c>
      <c r="J1389" s="7" t="n">
        <v>0</v>
      </c>
      <c r="K1389" s="7" t="n">
        <v>2</v>
      </c>
      <c r="L1389" s="7" t="n">
        <v>7</v>
      </c>
      <c r="M1389" s="7" t="n">
        <v>2</v>
      </c>
      <c r="N1389" s="7" t="n">
        <v>2</v>
      </c>
      <c r="O1389" s="7" t="n">
        <v>1</v>
      </c>
      <c r="P1389" s="8" t="n">
        <f aca="false">IF(E1389=0,0,G1389/E1389)</f>
        <v>0.333333333333333</v>
      </c>
      <c r="Q1389" s="8" t="n">
        <f aca="false">IF(E1389+N1389=0,0,(G1389+N1389)/(E1389+N1389))</f>
        <v>0.411764705882353</v>
      </c>
      <c r="R1389" s="8" t="n">
        <f aca="false">IF(E1389=0,0,L1389/E1389)</f>
        <v>0.466666666666667</v>
      </c>
      <c r="S1389" s="8" t="n">
        <f aca="false">R1389+Q1389</f>
        <v>0.87843137254902</v>
      </c>
      <c r="T1389" s="8" t="n">
        <f aca="false">R1389-P1389</f>
        <v>0.133333333333333</v>
      </c>
    </row>
    <row r="1390" customFormat="false" ht="14.25" hidden="false" customHeight="true" outlineLevel="0" collapsed="false">
      <c r="A1390" s="6" t="n">
        <v>2018</v>
      </c>
      <c r="B1390" s="6" t="s">
        <v>166</v>
      </c>
      <c r="C1390" s="6" t="s">
        <v>484</v>
      </c>
      <c r="D1390" s="7" t="n">
        <v>8</v>
      </c>
      <c r="E1390" s="7" t="n">
        <v>19</v>
      </c>
      <c r="F1390" s="7" t="n">
        <v>1</v>
      </c>
      <c r="G1390" s="7" t="n">
        <v>4</v>
      </c>
      <c r="H1390" s="7" t="n">
        <v>0</v>
      </c>
      <c r="I1390" s="7" t="n">
        <v>0</v>
      </c>
      <c r="J1390" s="7" t="n">
        <v>0</v>
      </c>
      <c r="K1390" s="7" t="n">
        <v>0</v>
      </c>
      <c r="L1390" s="7" t="n">
        <v>4</v>
      </c>
      <c r="M1390" s="7" t="n">
        <v>0</v>
      </c>
      <c r="N1390" s="7" t="n">
        <v>2</v>
      </c>
      <c r="O1390" s="7" t="n">
        <v>2</v>
      </c>
      <c r="P1390" s="8" t="n">
        <f aca="false">IF(E1390=0,0,G1390/E1390)</f>
        <v>0.210526315789474</v>
      </c>
      <c r="Q1390" s="8" t="n">
        <f aca="false">IF(E1390+N1390=0,0,(G1390+N1390)/(E1390+N1390))</f>
        <v>0.285714285714286</v>
      </c>
      <c r="R1390" s="8" t="n">
        <f aca="false">IF(E1390=0,0,L1390/E1390)</f>
        <v>0.210526315789474</v>
      </c>
      <c r="S1390" s="8" t="n">
        <f aca="false">R1390+Q1390</f>
        <v>0.496240601503759</v>
      </c>
      <c r="T1390" s="8" t="n">
        <f aca="false">R1390-P1390</f>
        <v>0</v>
      </c>
    </row>
    <row r="1391" customFormat="false" ht="14.25" hidden="false" customHeight="true" outlineLevel="0" collapsed="false">
      <c r="A1391" s="6" t="n">
        <v>2018</v>
      </c>
      <c r="B1391" s="6" t="s">
        <v>166</v>
      </c>
      <c r="C1391" s="6" t="s">
        <v>182</v>
      </c>
      <c r="D1391" s="7" t="n">
        <v>6</v>
      </c>
      <c r="E1391" s="7" t="n">
        <v>16</v>
      </c>
      <c r="F1391" s="7" t="n">
        <v>3</v>
      </c>
      <c r="G1391" s="7" t="n">
        <v>3</v>
      </c>
      <c r="H1391" s="7" t="n">
        <v>1</v>
      </c>
      <c r="I1391" s="7" t="n">
        <v>0</v>
      </c>
      <c r="J1391" s="7" t="n">
        <v>0</v>
      </c>
      <c r="K1391" s="7" t="n">
        <v>1</v>
      </c>
      <c r="L1391" s="7" t="n">
        <v>4</v>
      </c>
      <c r="M1391" s="7" t="n">
        <v>2</v>
      </c>
      <c r="N1391" s="7" t="n">
        <v>3</v>
      </c>
      <c r="O1391" s="7" t="n">
        <v>3</v>
      </c>
      <c r="P1391" s="8" t="n">
        <f aca="false">IF(E1391=0,0,G1391/E1391)</f>
        <v>0.1875</v>
      </c>
      <c r="Q1391" s="8" t="n">
        <f aca="false">IF(E1391+N1391=0,0,(G1391+N1391)/(E1391+N1391))</f>
        <v>0.315789473684211</v>
      </c>
      <c r="R1391" s="8" t="n">
        <f aca="false">IF(E1391=0,0,L1391/E1391)</f>
        <v>0.25</v>
      </c>
      <c r="S1391" s="8" t="n">
        <f aca="false">R1391+Q1391</f>
        <v>0.565789473684211</v>
      </c>
      <c r="T1391" s="8" t="n">
        <f aca="false">R1391-P1391</f>
        <v>0.0625</v>
      </c>
    </row>
    <row r="1392" customFormat="false" ht="14.25" hidden="false" customHeight="true" outlineLevel="0" collapsed="false">
      <c r="A1392" s="6" t="n">
        <v>2018</v>
      </c>
      <c r="B1392" s="6" t="s">
        <v>166</v>
      </c>
      <c r="C1392" s="6" t="s">
        <v>188</v>
      </c>
      <c r="D1392" s="7" t="n">
        <v>8</v>
      </c>
      <c r="E1392" s="7" t="n">
        <v>20</v>
      </c>
      <c r="F1392" s="7" t="n">
        <v>2</v>
      </c>
      <c r="G1392" s="7" t="n">
        <v>3</v>
      </c>
      <c r="H1392" s="7" t="n">
        <v>0</v>
      </c>
      <c r="I1392" s="7" t="n">
        <v>0</v>
      </c>
      <c r="J1392" s="7" t="n">
        <v>0</v>
      </c>
      <c r="K1392" s="7" t="n">
        <v>0</v>
      </c>
      <c r="L1392" s="7" t="n">
        <v>3</v>
      </c>
      <c r="M1392" s="7" t="n">
        <v>1</v>
      </c>
      <c r="N1392" s="7" t="n">
        <v>3</v>
      </c>
      <c r="O1392" s="7" t="n">
        <v>4</v>
      </c>
      <c r="P1392" s="8" t="n">
        <f aca="false">IF(E1392=0,0,G1392/E1392)</f>
        <v>0.15</v>
      </c>
      <c r="Q1392" s="8" t="n">
        <f aca="false">IF(E1392+N1392=0,0,(G1392+N1392)/(E1392+N1392))</f>
        <v>0.260869565217391</v>
      </c>
      <c r="R1392" s="8" t="n">
        <f aca="false">IF(E1392=0,0,L1392/E1392)</f>
        <v>0.15</v>
      </c>
      <c r="S1392" s="8" t="n">
        <f aca="false">R1392+Q1392</f>
        <v>0.410869565217391</v>
      </c>
      <c r="T1392" s="8" t="n">
        <f aca="false">R1392-P1392</f>
        <v>0</v>
      </c>
    </row>
    <row r="1393" customFormat="false" ht="14.25" hidden="false" customHeight="true" outlineLevel="0" collapsed="false">
      <c r="A1393" s="6" t="n">
        <v>2018</v>
      </c>
      <c r="B1393" s="6" t="s">
        <v>166</v>
      </c>
      <c r="C1393" s="6" t="s">
        <v>176</v>
      </c>
      <c r="D1393" s="7" t="n">
        <v>8</v>
      </c>
      <c r="E1393" s="7" t="n">
        <v>18</v>
      </c>
      <c r="F1393" s="7" t="n">
        <v>2</v>
      </c>
      <c r="G1393" s="7" t="n">
        <v>2</v>
      </c>
      <c r="H1393" s="7" t="n">
        <v>0</v>
      </c>
      <c r="I1393" s="7" t="n">
        <v>0</v>
      </c>
      <c r="J1393" s="7" t="n">
        <v>0</v>
      </c>
      <c r="K1393" s="7" t="n">
        <v>0</v>
      </c>
      <c r="L1393" s="7" t="n">
        <v>2</v>
      </c>
      <c r="M1393" s="7" t="n">
        <v>1</v>
      </c>
      <c r="N1393" s="7" t="n">
        <v>7</v>
      </c>
      <c r="O1393" s="7" t="n">
        <v>2</v>
      </c>
      <c r="P1393" s="8" t="n">
        <f aca="false">IF(E1393=0,0,G1393/E1393)</f>
        <v>0.111111111111111</v>
      </c>
      <c r="Q1393" s="8" t="n">
        <f aca="false">IF(E1393+N1393=0,0,(G1393+N1393)/(E1393+N1393))</f>
        <v>0.36</v>
      </c>
      <c r="R1393" s="8" t="n">
        <f aca="false">IF(E1393=0,0,L1393/E1393)</f>
        <v>0.111111111111111</v>
      </c>
      <c r="S1393" s="8" t="n">
        <f aca="false">R1393+Q1393</f>
        <v>0.471111111111111</v>
      </c>
      <c r="T1393" s="8" t="n">
        <f aca="false">R1393-P1393</f>
        <v>0</v>
      </c>
    </row>
    <row r="1394" customFormat="false" ht="14.25" hidden="false" customHeight="true" outlineLevel="0" collapsed="false">
      <c r="A1394" s="6" t="n">
        <v>2018</v>
      </c>
      <c r="B1394" s="6" t="s">
        <v>166</v>
      </c>
      <c r="C1394" s="6" t="s">
        <v>485</v>
      </c>
      <c r="D1394" s="7" t="n">
        <v>5</v>
      </c>
      <c r="E1394" s="7" t="n">
        <v>11</v>
      </c>
      <c r="F1394" s="7" t="n">
        <v>0</v>
      </c>
      <c r="G1394" s="7" t="n">
        <v>1</v>
      </c>
      <c r="H1394" s="7" t="n">
        <v>0</v>
      </c>
      <c r="I1394" s="7" t="n">
        <v>0</v>
      </c>
      <c r="J1394" s="7" t="n">
        <v>0</v>
      </c>
      <c r="K1394" s="7" t="n">
        <v>0</v>
      </c>
      <c r="L1394" s="7" t="n">
        <v>1</v>
      </c>
      <c r="M1394" s="7" t="n">
        <v>2</v>
      </c>
      <c r="N1394" s="7" t="n">
        <v>4</v>
      </c>
      <c r="O1394" s="7" t="n">
        <v>1</v>
      </c>
      <c r="P1394" s="8" t="n">
        <f aca="false">IF(E1394=0,0,G1394/E1394)</f>
        <v>0.0909090909090909</v>
      </c>
      <c r="Q1394" s="8" t="n">
        <f aca="false">IF(E1394+N1394=0,0,(G1394+N1394)/(E1394+N1394))</f>
        <v>0.333333333333333</v>
      </c>
      <c r="R1394" s="8" t="n">
        <f aca="false">IF(E1394=0,0,L1394/E1394)</f>
        <v>0.0909090909090909</v>
      </c>
      <c r="S1394" s="8" t="n">
        <f aca="false">R1394+Q1394</f>
        <v>0.424242424242424</v>
      </c>
      <c r="T1394" s="8" t="n">
        <f aca="false">R1394-P1394</f>
        <v>0</v>
      </c>
    </row>
    <row r="1395" customFormat="false" ht="14.25" hidden="false" customHeight="true" outlineLevel="0" collapsed="false">
      <c r="A1395" s="6" t="n">
        <v>2018</v>
      </c>
      <c r="B1395" s="6" t="s">
        <v>166</v>
      </c>
      <c r="C1395" s="6" t="s">
        <v>174</v>
      </c>
      <c r="D1395" s="7" t="n">
        <v>8</v>
      </c>
      <c r="E1395" s="7" t="n">
        <v>14</v>
      </c>
      <c r="F1395" s="7" t="n">
        <v>0</v>
      </c>
      <c r="G1395" s="7" t="n">
        <v>1</v>
      </c>
      <c r="H1395" s="7" t="n">
        <v>0</v>
      </c>
      <c r="I1395" s="7" t="n">
        <v>0</v>
      </c>
      <c r="J1395" s="7" t="n">
        <v>0</v>
      </c>
      <c r="K1395" s="7" t="n">
        <v>0</v>
      </c>
      <c r="L1395" s="7" t="n">
        <v>1</v>
      </c>
      <c r="M1395" s="7" t="n">
        <v>0</v>
      </c>
      <c r="N1395" s="7" t="n">
        <v>0</v>
      </c>
      <c r="O1395" s="7" t="n">
        <v>0</v>
      </c>
      <c r="P1395" s="8" t="n">
        <f aca="false">IF(E1395=0,0,G1395/E1395)</f>
        <v>0.0714285714285714</v>
      </c>
      <c r="Q1395" s="8" t="n">
        <f aca="false">IF(E1395+N1395=0,0,(G1395+N1395)/(E1395+N1395))</f>
        <v>0.0714285714285714</v>
      </c>
      <c r="R1395" s="8" t="n">
        <f aca="false">IF(E1395=0,0,L1395/E1395)</f>
        <v>0.0714285714285714</v>
      </c>
      <c r="S1395" s="8" t="n">
        <f aca="false">R1395+Q1395</f>
        <v>0.142857142857143</v>
      </c>
      <c r="T1395" s="8" t="n">
        <f aca="false">R1395-P1395</f>
        <v>0</v>
      </c>
    </row>
    <row r="1396" customFormat="false" ht="14.25" hidden="false" customHeight="true" outlineLevel="0" collapsed="false">
      <c r="A1396" s="6" t="n">
        <v>2018</v>
      </c>
      <c r="B1396" s="6" t="s">
        <v>166</v>
      </c>
      <c r="C1396" s="6" t="s">
        <v>183</v>
      </c>
      <c r="D1396" s="7" t="n">
        <v>5</v>
      </c>
      <c r="E1396" s="7" t="n">
        <v>5</v>
      </c>
      <c r="F1396" s="7" t="n">
        <v>1</v>
      </c>
      <c r="G1396" s="7" t="n">
        <v>0</v>
      </c>
      <c r="H1396" s="7" t="n">
        <v>0</v>
      </c>
      <c r="I1396" s="7" t="n">
        <v>0</v>
      </c>
      <c r="J1396" s="7" t="n">
        <v>0</v>
      </c>
      <c r="K1396" s="7" t="n">
        <v>0</v>
      </c>
      <c r="L1396" s="7" t="n">
        <v>0</v>
      </c>
      <c r="M1396" s="7" t="n">
        <v>0</v>
      </c>
      <c r="N1396" s="7" t="n">
        <v>3</v>
      </c>
      <c r="O1396" s="7" t="n">
        <v>0</v>
      </c>
      <c r="P1396" s="8" t="n">
        <f aca="false">IF(E1396=0,0,G1396/E1396)</f>
        <v>0</v>
      </c>
      <c r="Q1396" s="8" t="n">
        <f aca="false">IF(E1396+N1396=0,0,(G1396+N1396)/(E1396+N1396))</f>
        <v>0.375</v>
      </c>
      <c r="R1396" s="8" t="n">
        <f aca="false">IF(E1396=0,0,L1396/E1396)</f>
        <v>0</v>
      </c>
      <c r="S1396" s="8" t="n">
        <f aca="false">R1396+Q1396</f>
        <v>0.375</v>
      </c>
      <c r="T1396" s="8" t="n">
        <f aca="false">R1396-P1396</f>
        <v>0</v>
      </c>
    </row>
    <row r="1397" customFormat="false" ht="14.25" hidden="false" customHeight="true" outlineLevel="0" collapsed="false">
      <c r="A1397" s="6" t="n">
        <v>2018</v>
      </c>
      <c r="B1397" s="6" t="s">
        <v>166</v>
      </c>
      <c r="C1397" s="6" t="s">
        <v>437</v>
      </c>
      <c r="D1397" s="7" t="n">
        <v>2</v>
      </c>
      <c r="E1397" s="7" t="n">
        <v>3</v>
      </c>
      <c r="F1397" s="7" t="n">
        <v>0</v>
      </c>
      <c r="G1397" s="7" t="n">
        <v>0</v>
      </c>
      <c r="H1397" s="7" t="n">
        <v>0</v>
      </c>
      <c r="I1397" s="7" t="n">
        <v>0</v>
      </c>
      <c r="J1397" s="7" t="n">
        <v>0</v>
      </c>
      <c r="K1397" s="7" t="n">
        <v>0</v>
      </c>
      <c r="L1397" s="7" t="n">
        <v>0</v>
      </c>
      <c r="M1397" s="7" t="n">
        <v>0</v>
      </c>
      <c r="N1397" s="7" t="n">
        <v>1</v>
      </c>
      <c r="O1397" s="7" t="n">
        <v>0</v>
      </c>
      <c r="P1397" s="8" t="n">
        <f aca="false">IF(E1397=0,0,G1397/E1397)</f>
        <v>0</v>
      </c>
      <c r="Q1397" s="8" t="n">
        <f aca="false">IF(E1397+N1397=0,0,(G1397+N1397)/(E1397+N1397))</f>
        <v>0.25</v>
      </c>
      <c r="R1397" s="8" t="n">
        <f aca="false">IF(E1397=0,0,L1397/E1397)</f>
        <v>0</v>
      </c>
      <c r="S1397" s="8" t="n">
        <f aca="false">R1397+Q1397</f>
        <v>0.25</v>
      </c>
      <c r="T1397" s="8" t="n">
        <f aca="false">R1397-P1397</f>
        <v>0</v>
      </c>
    </row>
    <row r="1398" customFormat="false" ht="14.25" hidden="false" customHeight="true" outlineLevel="0" collapsed="false">
      <c r="A1398" s="6" t="n">
        <v>2018</v>
      </c>
      <c r="B1398" s="6" t="s">
        <v>166</v>
      </c>
      <c r="C1398" s="6" t="s">
        <v>275</v>
      </c>
      <c r="D1398" s="7" t="n">
        <v>7</v>
      </c>
      <c r="E1398" s="7" t="n">
        <v>9</v>
      </c>
      <c r="F1398" s="7" t="n">
        <v>0</v>
      </c>
      <c r="G1398" s="7" t="n">
        <v>0</v>
      </c>
      <c r="H1398" s="7" t="n">
        <v>0</v>
      </c>
      <c r="I1398" s="7" t="n">
        <v>0</v>
      </c>
      <c r="J1398" s="7" t="n">
        <v>0</v>
      </c>
      <c r="K1398" s="7" t="n">
        <v>0</v>
      </c>
      <c r="L1398" s="7" t="n">
        <v>0</v>
      </c>
      <c r="M1398" s="7" t="n">
        <v>0</v>
      </c>
      <c r="N1398" s="7" t="n">
        <v>1</v>
      </c>
      <c r="O1398" s="7" t="n">
        <v>1</v>
      </c>
      <c r="P1398" s="8" t="n">
        <f aca="false">IF(E1398=0,0,G1398/E1398)</f>
        <v>0</v>
      </c>
      <c r="Q1398" s="8" t="n">
        <f aca="false">IF(E1398+N1398=0,0,(G1398+N1398)/(E1398+N1398))</f>
        <v>0.1</v>
      </c>
      <c r="R1398" s="8" t="n">
        <f aca="false">IF(E1398=0,0,L1398/E1398)</f>
        <v>0</v>
      </c>
      <c r="S1398" s="8" t="n">
        <f aca="false">R1398+Q1398</f>
        <v>0.1</v>
      </c>
      <c r="T1398" s="8" t="n">
        <f aca="false">R1398-P1398</f>
        <v>0</v>
      </c>
    </row>
    <row r="1399" customFormat="false" ht="14.25" hidden="false" customHeight="true" outlineLevel="0" collapsed="false">
      <c r="A1399" s="6" t="n">
        <v>2018</v>
      </c>
      <c r="B1399" s="6" t="s">
        <v>166</v>
      </c>
      <c r="C1399" s="6" t="s">
        <v>519</v>
      </c>
      <c r="D1399" s="7" t="n">
        <v>1</v>
      </c>
      <c r="E1399" s="7" t="n">
        <v>2</v>
      </c>
      <c r="F1399" s="7" t="n">
        <v>0</v>
      </c>
      <c r="G1399" s="7" t="n">
        <v>0</v>
      </c>
      <c r="H1399" s="7" t="n">
        <v>0</v>
      </c>
      <c r="I1399" s="7" t="n">
        <v>0</v>
      </c>
      <c r="J1399" s="7" t="n">
        <v>0</v>
      </c>
      <c r="K1399" s="7" t="n">
        <v>0</v>
      </c>
      <c r="L1399" s="7" t="n">
        <v>0</v>
      </c>
      <c r="M1399" s="7" t="n">
        <v>0</v>
      </c>
      <c r="N1399" s="7" t="n">
        <v>0</v>
      </c>
      <c r="O1399" s="7" t="n">
        <v>0</v>
      </c>
      <c r="P1399" s="8" t="n">
        <f aca="false">IF(E1399=0,0,G1399/E1399)</f>
        <v>0</v>
      </c>
      <c r="Q1399" s="8" t="n">
        <f aca="false">IF(E1399+N1399=0,0,(G1399+N1399)/(E1399+N1399))</f>
        <v>0</v>
      </c>
      <c r="R1399" s="8" t="n">
        <f aca="false">IF(E1399=0,0,L1399/E1399)</f>
        <v>0</v>
      </c>
      <c r="S1399" s="8" t="n">
        <f aca="false">R1399+Q1399</f>
        <v>0</v>
      </c>
      <c r="T1399" s="8" t="n">
        <f aca="false">R1399-P1399</f>
        <v>0</v>
      </c>
    </row>
    <row r="1400" customFormat="false" ht="14.25" hidden="false" customHeight="true" outlineLevel="0" collapsed="false">
      <c r="A1400" s="6" t="n">
        <v>2018</v>
      </c>
      <c r="B1400" s="6" t="s">
        <v>166</v>
      </c>
      <c r="C1400" s="6" t="s">
        <v>520</v>
      </c>
      <c r="D1400" s="7" t="n">
        <v>2</v>
      </c>
      <c r="E1400" s="7" t="n">
        <v>5</v>
      </c>
      <c r="F1400" s="7" t="n">
        <v>0</v>
      </c>
      <c r="G1400" s="7" t="n">
        <v>0</v>
      </c>
      <c r="H1400" s="7" t="n">
        <v>0</v>
      </c>
      <c r="I1400" s="7" t="n">
        <v>0</v>
      </c>
      <c r="J1400" s="7" t="n">
        <v>0</v>
      </c>
      <c r="K1400" s="7" t="n">
        <v>0</v>
      </c>
      <c r="L1400" s="7" t="n">
        <v>0</v>
      </c>
      <c r="M1400" s="7" t="n">
        <v>0</v>
      </c>
      <c r="N1400" s="7" t="n">
        <v>0</v>
      </c>
      <c r="O1400" s="7" t="n">
        <v>0</v>
      </c>
      <c r="P1400" s="8" t="n">
        <f aca="false">IF(E1400=0,0,G1400/E1400)</f>
        <v>0</v>
      </c>
      <c r="Q1400" s="8" t="n">
        <f aca="false">IF(E1400+N1400=0,0,(G1400+N1400)/(E1400+N1400))</f>
        <v>0</v>
      </c>
      <c r="R1400" s="8" t="n">
        <f aca="false">IF(E1400=0,0,L1400/E1400)</f>
        <v>0</v>
      </c>
      <c r="S1400" s="8" t="n">
        <f aca="false">R1400+Q1400</f>
        <v>0</v>
      </c>
      <c r="T1400" s="8" t="n">
        <f aca="false">R1400-P1400</f>
        <v>0</v>
      </c>
    </row>
    <row r="1401" customFormat="false" ht="14.25" hidden="false" customHeight="true" outlineLevel="0" collapsed="false">
      <c r="A1401" s="6" t="n">
        <v>2018</v>
      </c>
      <c r="B1401" s="6" t="s">
        <v>166</v>
      </c>
      <c r="C1401" s="6" t="s">
        <v>221</v>
      </c>
      <c r="D1401" s="7" t="n">
        <v>1</v>
      </c>
      <c r="E1401" s="7" t="n">
        <v>1</v>
      </c>
      <c r="F1401" s="7" t="n">
        <v>0</v>
      </c>
      <c r="G1401" s="7" t="n">
        <v>0</v>
      </c>
      <c r="H1401" s="7" t="n">
        <v>0</v>
      </c>
      <c r="I1401" s="7" t="n">
        <v>0</v>
      </c>
      <c r="J1401" s="7" t="n">
        <v>0</v>
      </c>
      <c r="K1401" s="7" t="n">
        <v>0</v>
      </c>
      <c r="L1401" s="7" t="n">
        <v>0</v>
      </c>
      <c r="M1401" s="7" t="n">
        <v>0</v>
      </c>
      <c r="N1401" s="7" t="n">
        <v>0</v>
      </c>
      <c r="O1401" s="7" t="n">
        <v>0</v>
      </c>
      <c r="P1401" s="8" t="n">
        <f aca="false">IF(E1401=0,0,G1401/E1401)</f>
        <v>0</v>
      </c>
      <c r="Q1401" s="8" t="n">
        <f aca="false">IF(E1401+N1401=0,0,(G1401+N1401)/(E1401+N1401))</f>
        <v>0</v>
      </c>
      <c r="R1401" s="8" t="n">
        <f aca="false">IF(E1401=0,0,L1401/E1401)</f>
        <v>0</v>
      </c>
      <c r="S1401" s="8" t="n">
        <f aca="false">R1401+Q1401</f>
        <v>0</v>
      </c>
      <c r="T1401" s="8" t="n">
        <f aca="false">R1401-P1401</f>
        <v>0</v>
      </c>
    </row>
    <row r="1402" customFormat="false" ht="14.25" hidden="false" customHeight="true" outlineLevel="0" collapsed="false">
      <c r="A1402" s="6" t="n">
        <v>2018</v>
      </c>
      <c r="B1402" s="6" t="s">
        <v>192</v>
      </c>
      <c r="C1402" s="6" t="s">
        <v>198</v>
      </c>
      <c r="D1402" s="7" t="n">
        <v>8</v>
      </c>
      <c r="E1402" s="7" t="n">
        <v>20</v>
      </c>
      <c r="F1402" s="7" t="n">
        <v>11</v>
      </c>
      <c r="G1402" s="7" t="n">
        <v>10</v>
      </c>
      <c r="H1402" s="7" t="n">
        <v>1</v>
      </c>
      <c r="I1402" s="7" t="n">
        <v>0</v>
      </c>
      <c r="J1402" s="7" t="n">
        <v>2</v>
      </c>
      <c r="K1402" s="7" t="n">
        <v>3</v>
      </c>
      <c r="L1402" s="7" t="n">
        <v>17</v>
      </c>
      <c r="M1402" s="7" t="n">
        <v>6</v>
      </c>
      <c r="N1402" s="7" t="n">
        <v>5</v>
      </c>
      <c r="O1402" s="7" t="n">
        <v>2</v>
      </c>
      <c r="P1402" s="8" t="n">
        <f aca="false">IF(E1402=0,0,G1402/E1402)</f>
        <v>0.5</v>
      </c>
      <c r="Q1402" s="8" t="n">
        <f aca="false">IF(E1402+N1402=0,0,(G1402+N1402)/(E1402+N1402))</f>
        <v>0.6</v>
      </c>
      <c r="R1402" s="8" t="n">
        <f aca="false">IF(E1402=0,0,L1402/E1402)</f>
        <v>0.85</v>
      </c>
      <c r="S1402" s="8" t="n">
        <f aca="false">R1402+Q1402</f>
        <v>1.45</v>
      </c>
      <c r="T1402" s="8" t="n">
        <f aca="false">R1402-P1402</f>
        <v>0.35</v>
      </c>
    </row>
    <row r="1403" customFormat="false" ht="14.25" hidden="false" customHeight="true" outlineLevel="0" collapsed="false">
      <c r="A1403" s="6" t="n">
        <v>2018</v>
      </c>
      <c r="B1403" s="6" t="s">
        <v>192</v>
      </c>
      <c r="C1403" s="6" t="s">
        <v>196</v>
      </c>
      <c r="D1403" s="7" t="n">
        <v>6</v>
      </c>
      <c r="E1403" s="7" t="n">
        <v>16</v>
      </c>
      <c r="F1403" s="7" t="n">
        <v>6</v>
      </c>
      <c r="G1403" s="7" t="n">
        <v>8</v>
      </c>
      <c r="H1403" s="7" t="n">
        <v>0</v>
      </c>
      <c r="I1403" s="7" t="n">
        <v>0</v>
      </c>
      <c r="J1403" s="7" t="n">
        <v>2</v>
      </c>
      <c r="K1403" s="7" t="n">
        <v>2</v>
      </c>
      <c r="L1403" s="7" t="n">
        <v>14</v>
      </c>
      <c r="M1403" s="7" t="n">
        <v>4</v>
      </c>
      <c r="N1403" s="7" t="n">
        <v>7</v>
      </c>
      <c r="O1403" s="7" t="n">
        <v>1</v>
      </c>
      <c r="P1403" s="8" t="n">
        <f aca="false">IF(E1403=0,0,G1403/E1403)</f>
        <v>0.5</v>
      </c>
      <c r="Q1403" s="8" t="n">
        <f aca="false">IF(E1403+N1403=0,0,(G1403+N1403)/(E1403+N1403))</f>
        <v>0.652173913043478</v>
      </c>
      <c r="R1403" s="8" t="n">
        <f aca="false">IF(E1403=0,0,L1403/E1403)</f>
        <v>0.875</v>
      </c>
      <c r="S1403" s="8" t="n">
        <f aca="false">R1403+Q1403</f>
        <v>1.52717391304348</v>
      </c>
      <c r="T1403" s="8" t="n">
        <f aca="false">R1403-P1403</f>
        <v>0.375</v>
      </c>
    </row>
    <row r="1404" customFormat="false" ht="14.25" hidden="false" customHeight="true" outlineLevel="0" collapsed="false">
      <c r="A1404" s="6" t="n">
        <v>2018</v>
      </c>
      <c r="B1404" s="6" t="s">
        <v>192</v>
      </c>
      <c r="C1404" s="6" t="s">
        <v>207</v>
      </c>
      <c r="D1404" s="7" t="n">
        <v>6</v>
      </c>
      <c r="E1404" s="7" t="n">
        <v>20</v>
      </c>
      <c r="F1404" s="7" t="n">
        <v>5</v>
      </c>
      <c r="G1404" s="7" t="n">
        <v>7</v>
      </c>
      <c r="H1404" s="7" t="n">
        <v>2</v>
      </c>
      <c r="I1404" s="7" t="n">
        <v>0</v>
      </c>
      <c r="J1404" s="7" t="n">
        <v>2</v>
      </c>
      <c r="K1404" s="7" t="n">
        <v>4</v>
      </c>
      <c r="L1404" s="7" t="n">
        <v>15</v>
      </c>
      <c r="M1404" s="7" t="n">
        <v>7</v>
      </c>
      <c r="N1404" s="7" t="n">
        <v>0</v>
      </c>
      <c r="O1404" s="7" t="n">
        <v>1</v>
      </c>
      <c r="P1404" s="8" t="n">
        <f aca="false">IF(E1404=0,0,G1404/E1404)</f>
        <v>0.35</v>
      </c>
      <c r="Q1404" s="8" t="n">
        <f aca="false">IF(E1404+N1404=0,0,(G1404+N1404)/(E1404+N1404))</f>
        <v>0.35</v>
      </c>
      <c r="R1404" s="8" t="n">
        <f aca="false">IF(E1404=0,0,L1404/E1404)</f>
        <v>0.75</v>
      </c>
      <c r="S1404" s="8" t="n">
        <f aca="false">R1404+Q1404</f>
        <v>1.1</v>
      </c>
      <c r="T1404" s="8" t="n">
        <f aca="false">R1404-P1404</f>
        <v>0.4</v>
      </c>
    </row>
    <row r="1405" customFormat="false" ht="14.25" hidden="false" customHeight="true" outlineLevel="0" collapsed="false">
      <c r="A1405" s="6" t="n">
        <v>2018</v>
      </c>
      <c r="B1405" s="6" t="s">
        <v>192</v>
      </c>
      <c r="C1405" s="6" t="s">
        <v>201</v>
      </c>
      <c r="D1405" s="7" t="n">
        <v>7</v>
      </c>
      <c r="E1405" s="7" t="n">
        <v>22</v>
      </c>
      <c r="F1405" s="7" t="n">
        <v>2</v>
      </c>
      <c r="G1405" s="7" t="n">
        <v>7</v>
      </c>
      <c r="H1405" s="7" t="n">
        <v>1</v>
      </c>
      <c r="I1405" s="7" t="n">
        <v>0</v>
      </c>
      <c r="J1405" s="7" t="n">
        <v>0</v>
      </c>
      <c r="K1405" s="7" t="n">
        <v>1</v>
      </c>
      <c r="L1405" s="7" t="n">
        <v>8</v>
      </c>
      <c r="M1405" s="7" t="n">
        <v>6</v>
      </c>
      <c r="N1405" s="7" t="n">
        <v>1</v>
      </c>
      <c r="O1405" s="7" t="n">
        <v>0</v>
      </c>
      <c r="P1405" s="8" t="n">
        <f aca="false">IF(E1405=0,0,G1405/E1405)</f>
        <v>0.318181818181818</v>
      </c>
      <c r="Q1405" s="8" t="n">
        <f aca="false">IF(E1405+N1405=0,0,(G1405+N1405)/(E1405+N1405))</f>
        <v>0.347826086956522</v>
      </c>
      <c r="R1405" s="8" t="n">
        <f aca="false">IF(E1405=0,0,L1405/E1405)</f>
        <v>0.363636363636364</v>
      </c>
      <c r="S1405" s="8" t="n">
        <f aca="false">R1405+Q1405</f>
        <v>0.711462450592885</v>
      </c>
      <c r="T1405" s="8" t="n">
        <f aca="false">R1405-P1405</f>
        <v>0.0454545454545455</v>
      </c>
    </row>
    <row r="1406" customFormat="false" ht="14.25" hidden="false" customHeight="true" outlineLevel="0" collapsed="false">
      <c r="A1406" s="6" t="n">
        <v>2018</v>
      </c>
      <c r="B1406" s="6" t="s">
        <v>192</v>
      </c>
      <c r="C1406" s="6" t="s">
        <v>199</v>
      </c>
      <c r="D1406" s="7" t="n">
        <v>8</v>
      </c>
      <c r="E1406" s="7" t="n">
        <v>22</v>
      </c>
      <c r="F1406" s="7" t="n">
        <v>1</v>
      </c>
      <c r="G1406" s="7" t="n">
        <v>7</v>
      </c>
      <c r="H1406" s="7" t="n">
        <v>2</v>
      </c>
      <c r="I1406" s="7" t="n">
        <v>0</v>
      </c>
      <c r="J1406" s="7" t="n">
        <v>0</v>
      </c>
      <c r="K1406" s="7" t="n">
        <v>2</v>
      </c>
      <c r="L1406" s="7" t="n">
        <v>9</v>
      </c>
      <c r="M1406" s="7" t="n">
        <v>2</v>
      </c>
      <c r="N1406" s="7" t="n">
        <v>0</v>
      </c>
      <c r="O1406" s="7" t="n">
        <v>1</v>
      </c>
      <c r="P1406" s="8" t="n">
        <f aca="false">IF(E1406=0,0,G1406/E1406)</f>
        <v>0.318181818181818</v>
      </c>
      <c r="Q1406" s="8" t="n">
        <f aca="false">IF(E1406+N1406=0,0,(G1406+N1406)/(E1406+N1406))</f>
        <v>0.318181818181818</v>
      </c>
      <c r="R1406" s="8" t="n">
        <f aca="false">IF(E1406=0,0,L1406/E1406)</f>
        <v>0.409090909090909</v>
      </c>
      <c r="S1406" s="8" t="n">
        <f aca="false">R1406+Q1406</f>
        <v>0.727272727272727</v>
      </c>
      <c r="T1406" s="8" t="n">
        <f aca="false">R1406-P1406</f>
        <v>0.0909090909090909</v>
      </c>
    </row>
    <row r="1407" customFormat="false" ht="14.25" hidden="false" customHeight="true" outlineLevel="0" collapsed="false">
      <c r="A1407" s="6" t="n">
        <v>2018</v>
      </c>
      <c r="B1407" s="6" t="s">
        <v>192</v>
      </c>
      <c r="C1407" s="6" t="s">
        <v>204</v>
      </c>
      <c r="D1407" s="7" t="n">
        <v>8</v>
      </c>
      <c r="E1407" s="7" t="n">
        <v>27</v>
      </c>
      <c r="F1407" s="7" t="n">
        <v>5</v>
      </c>
      <c r="G1407" s="7" t="n">
        <v>6</v>
      </c>
      <c r="H1407" s="7" t="n">
        <v>1</v>
      </c>
      <c r="I1407" s="7" t="n">
        <v>0</v>
      </c>
      <c r="J1407" s="7" t="n">
        <v>1</v>
      </c>
      <c r="K1407" s="7" t="n">
        <v>2</v>
      </c>
      <c r="L1407" s="7" t="n">
        <v>10</v>
      </c>
      <c r="M1407" s="7" t="n">
        <v>2</v>
      </c>
      <c r="N1407" s="7" t="n">
        <v>2</v>
      </c>
      <c r="O1407" s="7" t="n">
        <v>2</v>
      </c>
      <c r="P1407" s="8" t="n">
        <f aca="false">IF(E1407=0,0,G1407/E1407)</f>
        <v>0.222222222222222</v>
      </c>
      <c r="Q1407" s="8" t="n">
        <f aca="false">IF(E1407+N1407=0,0,(G1407+N1407)/(E1407+N1407))</f>
        <v>0.275862068965517</v>
      </c>
      <c r="R1407" s="8" t="n">
        <f aca="false">IF(E1407=0,0,L1407/E1407)</f>
        <v>0.37037037037037</v>
      </c>
      <c r="S1407" s="8" t="n">
        <f aca="false">R1407+Q1407</f>
        <v>0.646232439335888</v>
      </c>
      <c r="T1407" s="8" t="n">
        <f aca="false">R1407-P1407</f>
        <v>0.148148148148148</v>
      </c>
    </row>
    <row r="1408" customFormat="false" ht="14.25" hidden="false" customHeight="true" outlineLevel="0" collapsed="false">
      <c r="A1408" s="6" t="n">
        <v>2018</v>
      </c>
      <c r="B1408" s="6" t="s">
        <v>192</v>
      </c>
      <c r="C1408" s="6" t="s">
        <v>195</v>
      </c>
      <c r="D1408" s="7" t="n">
        <v>8</v>
      </c>
      <c r="E1408" s="7" t="n">
        <v>26</v>
      </c>
      <c r="F1408" s="7" t="n">
        <v>8</v>
      </c>
      <c r="G1408" s="7" t="n">
        <v>6</v>
      </c>
      <c r="H1408" s="7" t="n">
        <v>0</v>
      </c>
      <c r="I1408" s="7" t="n">
        <v>1</v>
      </c>
      <c r="J1408" s="7" t="n">
        <v>2</v>
      </c>
      <c r="K1408" s="7" t="n">
        <v>3</v>
      </c>
      <c r="L1408" s="7" t="n">
        <v>14</v>
      </c>
      <c r="M1408" s="7" t="n">
        <v>7</v>
      </c>
      <c r="N1408" s="7" t="n">
        <v>2</v>
      </c>
      <c r="O1408" s="7" t="n">
        <v>0</v>
      </c>
      <c r="P1408" s="8" t="n">
        <f aca="false">IF(E1408=0,0,G1408/E1408)</f>
        <v>0.230769230769231</v>
      </c>
      <c r="Q1408" s="8" t="n">
        <f aca="false">IF(E1408+N1408=0,0,(G1408+N1408)/(E1408+N1408))</f>
        <v>0.285714285714286</v>
      </c>
      <c r="R1408" s="8" t="n">
        <f aca="false">IF(E1408=0,0,L1408/E1408)</f>
        <v>0.538461538461538</v>
      </c>
      <c r="S1408" s="8" t="n">
        <f aca="false">R1408+Q1408</f>
        <v>0.824175824175824</v>
      </c>
      <c r="T1408" s="8" t="n">
        <f aca="false">R1408-P1408</f>
        <v>0.307692307692308</v>
      </c>
    </row>
    <row r="1409" customFormat="false" ht="14.25" hidden="false" customHeight="true" outlineLevel="0" collapsed="false">
      <c r="A1409" s="6" t="n">
        <v>2018</v>
      </c>
      <c r="B1409" s="6" t="s">
        <v>192</v>
      </c>
      <c r="C1409" s="6" t="s">
        <v>309</v>
      </c>
      <c r="D1409" s="7" t="n">
        <v>6</v>
      </c>
      <c r="E1409" s="7" t="n">
        <v>18</v>
      </c>
      <c r="F1409" s="7" t="n">
        <v>2</v>
      </c>
      <c r="G1409" s="7" t="n">
        <v>6</v>
      </c>
      <c r="H1409" s="7" t="n">
        <v>2</v>
      </c>
      <c r="I1409" s="7" t="n">
        <v>0</v>
      </c>
      <c r="J1409" s="7" t="n">
        <v>0</v>
      </c>
      <c r="K1409" s="7" t="n">
        <v>2</v>
      </c>
      <c r="L1409" s="7" t="n">
        <v>8</v>
      </c>
      <c r="M1409" s="7" t="n">
        <v>3</v>
      </c>
      <c r="N1409" s="7" t="n">
        <v>2</v>
      </c>
      <c r="O1409" s="7" t="n">
        <v>3</v>
      </c>
      <c r="P1409" s="8" t="n">
        <f aca="false">IF(E1409=0,0,G1409/E1409)</f>
        <v>0.333333333333333</v>
      </c>
      <c r="Q1409" s="8" t="n">
        <f aca="false">IF(E1409+N1409=0,0,(G1409+N1409)/(E1409+N1409))</f>
        <v>0.4</v>
      </c>
      <c r="R1409" s="8" t="n">
        <f aca="false">IF(E1409=0,0,L1409/E1409)</f>
        <v>0.444444444444444</v>
      </c>
      <c r="S1409" s="8" t="n">
        <f aca="false">R1409+Q1409</f>
        <v>0.844444444444444</v>
      </c>
      <c r="T1409" s="8" t="n">
        <f aca="false">R1409-P1409</f>
        <v>0.111111111111111</v>
      </c>
    </row>
    <row r="1410" customFormat="false" ht="14.25" hidden="false" customHeight="true" outlineLevel="0" collapsed="false">
      <c r="A1410" s="6" t="n">
        <v>2018</v>
      </c>
      <c r="B1410" s="6" t="s">
        <v>192</v>
      </c>
      <c r="C1410" s="6" t="s">
        <v>197</v>
      </c>
      <c r="D1410" s="7" t="n">
        <v>6</v>
      </c>
      <c r="E1410" s="7" t="n">
        <v>19</v>
      </c>
      <c r="F1410" s="7" t="n">
        <v>4</v>
      </c>
      <c r="G1410" s="7" t="n">
        <v>6</v>
      </c>
      <c r="H1410" s="7" t="n">
        <v>0</v>
      </c>
      <c r="I1410" s="7" t="n">
        <v>0</v>
      </c>
      <c r="J1410" s="7" t="n">
        <v>2</v>
      </c>
      <c r="K1410" s="7" t="n">
        <v>2</v>
      </c>
      <c r="L1410" s="7" t="n">
        <v>12</v>
      </c>
      <c r="M1410" s="7" t="n">
        <v>7</v>
      </c>
      <c r="N1410" s="7" t="n">
        <v>1</v>
      </c>
      <c r="O1410" s="7" t="n">
        <v>0</v>
      </c>
      <c r="P1410" s="8" t="n">
        <f aca="false">IF(E1410=0,0,G1410/E1410)</f>
        <v>0.315789473684211</v>
      </c>
      <c r="Q1410" s="8" t="n">
        <f aca="false">IF(E1410+N1410=0,0,(G1410+N1410)/(E1410+N1410))</f>
        <v>0.35</v>
      </c>
      <c r="R1410" s="8" t="n">
        <f aca="false">IF(E1410=0,0,L1410/E1410)</f>
        <v>0.631578947368421</v>
      </c>
      <c r="S1410" s="8" t="n">
        <f aca="false">R1410+Q1410</f>
        <v>0.981578947368421</v>
      </c>
      <c r="T1410" s="8" t="n">
        <f aca="false">R1410-P1410</f>
        <v>0.315789473684211</v>
      </c>
    </row>
    <row r="1411" customFormat="false" ht="14.25" hidden="false" customHeight="true" outlineLevel="0" collapsed="false">
      <c r="A1411" s="6" t="n">
        <v>2018</v>
      </c>
      <c r="B1411" s="6" t="s">
        <v>192</v>
      </c>
      <c r="C1411" s="6" t="s">
        <v>202</v>
      </c>
      <c r="D1411" s="7" t="n">
        <v>7</v>
      </c>
      <c r="E1411" s="7" t="n">
        <v>16</v>
      </c>
      <c r="F1411" s="7" t="n">
        <v>2</v>
      </c>
      <c r="G1411" s="7" t="n">
        <v>5</v>
      </c>
      <c r="H1411" s="7" t="n">
        <v>1</v>
      </c>
      <c r="I1411" s="7" t="n">
        <v>0</v>
      </c>
      <c r="J1411" s="7" t="n">
        <v>0</v>
      </c>
      <c r="K1411" s="7" t="n">
        <v>1</v>
      </c>
      <c r="L1411" s="7" t="n">
        <v>6</v>
      </c>
      <c r="M1411" s="7" t="n">
        <v>2</v>
      </c>
      <c r="N1411" s="7" t="n">
        <v>4</v>
      </c>
      <c r="O1411" s="7" t="n">
        <v>0</v>
      </c>
      <c r="P1411" s="8" t="n">
        <f aca="false">IF(E1411=0,0,G1411/E1411)</f>
        <v>0.3125</v>
      </c>
      <c r="Q1411" s="8" t="n">
        <f aca="false">IF(E1411+N1411=0,0,(G1411+N1411)/(E1411+N1411))</f>
        <v>0.45</v>
      </c>
      <c r="R1411" s="8" t="n">
        <f aca="false">IF(E1411=0,0,L1411/E1411)</f>
        <v>0.375</v>
      </c>
      <c r="S1411" s="8" t="n">
        <f aca="false">R1411+Q1411</f>
        <v>0.825</v>
      </c>
      <c r="T1411" s="8" t="n">
        <f aca="false">R1411-P1411</f>
        <v>0.0625</v>
      </c>
    </row>
    <row r="1412" customFormat="false" ht="14.25" hidden="false" customHeight="true" outlineLevel="0" collapsed="false">
      <c r="A1412" s="6" t="n">
        <v>2018</v>
      </c>
      <c r="B1412" s="6" t="s">
        <v>192</v>
      </c>
      <c r="C1412" s="6" t="s">
        <v>308</v>
      </c>
      <c r="D1412" s="7" t="n">
        <v>4</v>
      </c>
      <c r="E1412" s="7" t="n">
        <v>11</v>
      </c>
      <c r="F1412" s="7" t="n">
        <v>2</v>
      </c>
      <c r="G1412" s="7" t="n">
        <v>2</v>
      </c>
      <c r="H1412" s="7" t="n">
        <v>0</v>
      </c>
      <c r="I1412" s="7" t="n">
        <v>0</v>
      </c>
      <c r="J1412" s="7" t="n">
        <v>0</v>
      </c>
      <c r="K1412" s="7" t="n">
        <v>0</v>
      </c>
      <c r="L1412" s="7" t="n">
        <v>2</v>
      </c>
      <c r="M1412" s="7" t="n">
        <v>1</v>
      </c>
      <c r="N1412" s="7" t="n">
        <v>0</v>
      </c>
      <c r="O1412" s="7" t="n">
        <v>0</v>
      </c>
      <c r="P1412" s="8" t="n">
        <f aca="false">IF(E1412=0,0,G1412/E1412)</f>
        <v>0.181818181818182</v>
      </c>
      <c r="Q1412" s="8" t="n">
        <f aca="false">IF(E1412+N1412=0,0,(G1412+N1412)/(E1412+N1412))</f>
        <v>0.181818181818182</v>
      </c>
      <c r="R1412" s="8" t="n">
        <f aca="false">IF(E1412=0,0,L1412/E1412)</f>
        <v>0.181818181818182</v>
      </c>
      <c r="S1412" s="8" t="n">
        <f aca="false">R1412+Q1412</f>
        <v>0.363636363636364</v>
      </c>
      <c r="T1412" s="8" t="n">
        <f aca="false">R1412-P1412</f>
        <v>0</v>
      </c>
    </row>
    <row r="1413" customFormat="false" ht="14.25" hidden="false" customHeight="true" outlineLevel="0" collapsed="false">
      <c r="A1413" s="6" t="n">
        <v>2018</v>
      </c>
      <c r="B1413" s="6" t="s">
        <v>192</v>
      </c>
      <c r="C1413" s="6" t="s">
        <v>521</v>
      </c>
      <c r="D1413" s="7" t="n">
        <v>1</v>
      </c>
      <c r="E1413" s="7" t="n">
        <v>3</v>
      </c>
      <c r="F1413" s="7" t="n">
        <v>1</v>
      </c>
      <c r="G1413" s="7" t="n">
        <v>2</v>
      </c>
      <c r="H1413" s="7" t="n">
        <v>0</v>
      </c>
      <c r="I1413" s="7" t="n">
        <v>0</v>
      </c>
      <c r="J1413" s="7" t="n">
        <v>0</v>
      </c>
      <c r="K1413" s="7" t="n">
        <v>0</v>
      </c>
      <c r="L1413" s="7" t="n">
        <v>2</v>
      </c>
      <c r="M1413" s="7" t="n">
        <v>0</v>
      </c>
      <c r="N1413" s="7" t="n">
        <v>0</v>
      </c>
      <c r="O1413" s="7" t="n">
        <v>0</v>
      </c>
      <c r="P1413" s="8" t="n">
        <f aca="false">IF(E1413=0,0,G1413/E1413)</f>
        <v>0.666666666666667</v>
      </c>
      <c r="Q1413" s="8" t="n">
        <f aca="false">IF(E1413+N1413=0,0,(G1413+N1413)/(E1413+N1413))</f>
        <v>0.666666666666667</v>
      </c>
      <c r="R1413" s="8" t="n">
        <f aca="false">IF(E1413=0,0,L1413/E1413)</f>
        <v>0.666666666666667</v>
      </c>
      <c r="S1413" s="8" t="n">
        <f aca="false">R1413+Q1413</f>
        <v>1.33333333333333</v>
      </c>
      <c r="T1413" s="8" t="n">
        <f aca="false">R1413-P1413</f>
        <v>0</v>
      </c>
    </row>
    <row r="1414" customFormat="false" ht="14.25" hidden="false" customHeight="true" outlineLevel="0" collapsed="false">
      <c r="A1414" s="6" t="n">
        <v>2018</v>
      </c>
      <c r="B1414" s="6" t="s">
        <v>192</v>
      </c>
      <c r="C1414" s="6" t="s">
        <v>467</v>
      </c>
      <c r="D1414" s="7" t="n">
        <v>1</v>
      </c>
      <c r="E1414" s="7" t="n">
        <v>3</v>
      </c>
      <c r="F1414" s="7" t="n">
        <v>1</v>
      </c>
      <c r="G1414" s="7" t="n">
        <v>1</v>
      </c>
      <c r="H1414" s="7" t="n">
        <v>0</v>
      </c>
      <c r="I1414" s="7" t="n">
        <v>0</v>
      </c>
      <c r="J1414" s="7" t="n">
        <v>0</v>
      </c>
      <c r="K1414" s="7" t="n">
        <v>0</v>
      </c>
      <c r="L1414" s="7" t="n">
        <v>1</v>
      </c>
      <c r="M1414" s="7" t="n">
        <v>0</v>
      </c>
      <c r="N1414" s="7" t="n">
        <v>0</v>
      </c>
      <c r="O1414" s="7" t="n">
        <v>0</v>
      </c>
      <c r="P1414" s="8" t="n">
        <f aca="false">IF(E1414=0,0,G1414/E1414)</f>
        <v>0.333333333333333</v>
      </c>
      <c r="Q1414" s="8" t="n">
        <f aca="false">IF(E1414+N1414=0,0,(G1414+N1414)/(E1414+N1414))</f>
        <v>0.333333333333333</v>
      </c>
      <c r="R1414" s="8" t="n">
        <f aca="false">IF(E1414=0,0,L1414/E1414)</f>
        <v>0.333333333333333</v>
      </c>
      <c r="S1414" s="8" t="n">
        <f aca="false">R1414+Q1414</f>
        <v>0.666666666666667</v>
      </c>
      <c r="T1414" s="8" t="n">
        <f aca="false">R1414-P1414</f>
        <v>0</v>
      </c>
    </row>
    <row r="1415" customFormat="false" ht="14.25" hidden="false" customHeight="true" outlineLevel="0" collapsed="false">
      <c r="A1415" s="6" t="n">
        <v>2018</v>
      </c>
      <c r="B1415" s="6" t="s">
        <v>192</v>
      </c>
      <c r="C1415" s="6" t="s">
        <v>447</v>
      </c>
      <c r="D1415" s="7" t="n">
        <v>6</v>
      </c>
      <c r="E1415" s="7" t="n">
        <v>17</v>
      </c>
      <c r="F1415" s="7" t="n">
        <v>1</v>
      </c>
      <c r="G1415" s="7" t="n">
        <v>0</v>
      </c>
      <c r="H1415" s="7" t="n">
        <v>0</v>
      </c>
      <c r="I1415" s="7" t="n">
        <v>0</v>
      </c>
      <c r="J1415" s="7" t="n">
        <v>0</v>
      </c>
      <c r="K1415" s="7" t="n">
        <v>0</v>
      </c>
      <c r="L1415" s="7" t="n">
        <v>0</v>
      </c>
      <c r="M1415" s="7" t="n">
        <v>0</v>
      </c>
      <c r="N1415" s="7" t="n">
        <v>0</v>
      </c>
      <c r="O1415" s="7" t="n">
        <v>3</v>
      </c>
      <c r="P1415" s="8" t="n">
        <f aca="false">IF(E1415=0,0,G1415/E1415)</f>
        <v>0</v>
      </c>
      <c r="Q1415" s="8" t="n">
        <f aca="false">IF(E1415+N1415=0,0,(G1415+N1415)/(E1415+N1415))</f>
        <v>0</v>
      </c>
      <c r="R1415" s="8" t="n">
        <f aca="false">IF(E1415=0,0,L1415/E1415)</f>
        <v>0</v>
      </c>
      <c r="S1415" s="8" t="n">
        <f aca="false">R1415+Q1415</f>
        <v>0</v>
      </c>
      <c r="T1415" s="8" t="n">
        <f aca="false">R1415-P1415</f>
        <v>0</v>
      </c>
    </row>
    <row r="1416" customFormat="false" ht="14.25" hidden="false" customHeight="true" outlineLevel="0" collapsed="false">
      <c r="A1416" s="6" t="n">
        <v>2018</v>
      </c>
      <c r="B1416" s="6" t="s">
        <v>192</v>
      </c>
      <c r="C1416" s="6" t="s">
        <v>194</v>
      </c>
      <c r="D1416" s="7" t="n">
        <v>1</v>
      </c>
      <c r="E1416" s="7" t="n">
        <v>1</v>
      </c>
      <c r="F1416" s="7" t="n">
        <v>0</v>
      </c>
      <c r="G1416" s="7" t="n">
        <v>0</v>
      </c>
      <c r="H1416" s="7" t="n">
        <v>0</v>
      </c>
      <c r="I1416" s="7" t="n">
        <v>0</v>
      </c>
      <c r="J1416" s="7" t="n">
        <v>0</v>
      </c>
      <c r="K1416" s="7" t="n">
        <v>0</v>
      </c>
      <c r="L1416" s="7" t="n">
        <v>0</v>
      </c>
      <c r="M1416" s="7" t="n">
        <v>0</v>
      </c>
      <c r="N1416" s="7" t="n">
        <v>0</v>
      </c>
      <c r="O1416" s="7" t="n">
        <v>0</v>
      </c>
      <c r="P1416" s="8" t="n">
        <f aca="false">IF(E1416=0,0,G1416/E1416)</f>
        <v>0</v>
      </c>
      <c r="Q1416" s="8" t="n">
        <f aca="false">IF(E1416+N1416=0,0,(G1416+N1416)/(E1416+N1416))</f>
        <v>0</v>
      </c>
      <c r="R1416" s="8" t="n">
        <f aca="false">IF(E1416=0,0,L1416/E1416)</f>
        <v>0</v>
      </c>
      <c r="S1416" s="8" t="n">
        <f aca="false">R1416+Q1416</f>
        <v>0</v>
      </c>
      <c r="T1416" s="8" t="n">
        <f aca="false">R1416-P1416</f>
        <v>0</v>
      </c>
    </row>
    <row r="1417" customFormat="false" ht="14.25" hidden="false" customHeight="true" outlineLevel="0" collapsed="false">
      <c r="A1417" s="6" t="n">
        <v>2018</v>
      </c>
      <c r="B1417" s="6" t="s">
        <v>192</v>
      </c>
      <c r="C1417" s="6" t="s">
        <v>522</v>
      </c>
      <c r="D1417" s="7" t="n">
        <v>1</v>
      </c>
      <c r="E1417" s="7" t="n">
        <v>1</v>
      </c>
      <c r="F1417" s="7" t="n">
        <v>0</v>
      </c>
      <c r="G1417" s="7" t="n">
        <v>0</v>
      </c>
      <c r="H1417" s="7" t="n">
        <v>0</v>
      </c>
      <c r="I1417" s="7" t="n">
        <v>0</v>
      </c>
      <c r="J1417" s="7" t="n">
        <v>0</v>
      </c>
      <c r="K1417" s="7" t="n">
        <v>0</v>
      </c>
      <c r="L1417" s="7" t="n">
        <v>0</v>
      </c>
      <c r="M1417" s="7" t="n">
        <v>0</v>
      </c>
      <c r="N1417" s="7" t="n">
        <v>0</v>
      </c>
      <c r="O1417" s="7" t="n">
        <v>0</v>
      </c>
      <c r="P1417" s="8" t="n">
        <f aca="false">IF(E1417=0,0,G1417/E1417)</f>
        <v>0</v>
      </c>
      <c r="Q1417" s="8" t="n">
        <f aca="false">IF(E1417+N1417=0,0,(G1417+N1417)/(E1417+N1417))</f>
        <v>0</v>
      </c>
      <c r="R1417" s="8" t="n">
        <f aca="false">IF(E1417=0,0,L1417/E1417)</f>
        <v>0</v>
      </c>
      <c r="S1417" s="8" t="n">
        <f aca="false">R1417+Q1417</f>
        <v>0</v>
      </c>
      <c r="T1417" s="8" t="n">
        <f aca="false">R1417-P1417</f>
        <v>0</v>
      </c>
    </row>
    <row r="1418" customFormat="false" ht="14.25" hidden="false" customHeight="true" outlineLevel="0" collapsed="false">
      <c r="A1418" s="6" t="n">
        <v>2018</v>
      </c>
      <c r="B1418" s="6" t="s">
        <v>192</v>
      </c>
      <c r="C1418" s="6" t="s">
        <v>205</v>
      </c>
      <c r="D1418" s="7" t="n">
        <v>2</v>
      </c>
      <c r="E1418" s="7" t="n">
        <v>5</v>
      </c>
      <c r="F1418" s="7" t="n">
        <v>0</v>
      </c>
      <c r="G1418" s="7" t="n">
        <v>0</v>
      </c>
      <c r="H1418" s="7" t="n">
        <v>0</v>
      </c>
      <c r="I1418" s="7" t="n">
        <v>0</v>
      </c>
      <c r="J1418" s="7" t="n">
        <v>0</v>
      </c>
      <c r="K1418" s="7" t="n">
        <v>0</v>
      </c>
      <c r="L1418" s="7" t="n">
        <v>0</v>
      </c>
      <c r="M1418" s="7" t="n">
        <v>0</v>
      </c>
      <c r="N1418" s="7" t="n">
        <v>0</v>
      </c>
      <c r="O1418" s="7" t="n">
        <v>0</v>
      </c>
      <c r="P1418" s="8" t="n">
        <f aca="false">IF(E1418=0,0,G1418/E1418)</f>
        <v>0</v>
      </c>
      <c r="Q1418" s="8" t="n">
        <f aca="false">IF(E1418+N1418=0,0,(G1418+N1418)/(E1418+N1418))</f>
        <v>0</v>
      </c>
      <c r="R1418" s="8" t="n">
        <f aca="false">IF(E1418=0,0,L1418/E1418)</f>
        <v>0</v>
      </c>
      <c r="S1418" s="8" t="n">
        <f aca="false">R1418+Q1418</f>
        <v>0</v>
      </c>
      <c r="T1418" s="8" t="n">
        <f aca="false">R1418-P1418</f>
        <v>0</v>
      </c>
    </row>
    <row r="1419" customFormat="false" ht="14.25" hidden="false" customHeight="true" outlineLevel="0" collapsed="false">
      <c r="A1419" s="6" t="n">
        <v>2018</v>
      </c>
      <c r="B1419" s="6" t="s">
        <v>192</v>
      </c>
      <c r="C1419" s="6" t="s">
        <v>402</v>
      </c>
      <c r="D1419" s="7" t="n">
        <v>1</v>
      </c>
      <c r="E1419" s="7" t="n">
        <v>0</v>
      </c>
      <c r="F1419" s="7" t="n">
        <v>0</v>
      </c>
      <c r="G1419" s="7" t="n">
        <v>0</v>
      </c>
      <c r="H1419" s="7" t="n">
        <v>0</v>
      </c>
      <c r="I1419" s="7" t="n">
        <v>0</v>
      </c>
      <c r="J1419" s="7" t="n">
        <v>0</v>
      </c>
      <c r="K1419" s="7" t="n">
        <v>0</v>
      </c>
      <c r="L1419" s="7" t="n">
        <v>0</v>
      </c>
      <c r="M1419" s="7" t="n">
        <v>0</v>
      </c>
      <c r="N1419" s="7" t="n">
        <v>0</v>
      </c>
      <c r="O1419" s="7" t="n">
        <v>0</v>
      </c>
      <c r="P1419" s="8" t="n">
        <f aca="false">IF(E1419=0,0,G1419/E1419)</f>
        <v>0</v>
      </c>
      <c r="Q1419" s="8" t="n">
        <f aca="false">IF(E1419+N1419=0,0,(G1419+N1419)/(E1419+N1419))</f>
        <v>0</v>
      </c>
      <c r="R1419" s="8" t="n">
        <f aca="false">IF(E1419=0,0,L1419/E1419)</f>
        <v>0</v>
      </c>
      <c r="S1419" s="8" t="n">
        <f aca="false">R1419+Q1419</f>
        <v>0</v>
      </c>
      <c r="T1419" s="8" t="n">
        <f aca="false">R1419-P1419</f>
        <v>0</v>
      </c>
    </row>
    <row r="1420" customFormat="false" ht="14.25" hidden="false" customHeight="true" outlineLevel="0" collapsed="false">
      <c r="A1420" s="6" t="n">
        <v>2018</v>
      </c>
      <c r="B1420" s="6" t="s">
        <v>192</v>
      </c>
      <c r="C1420" s="6" t="s">
        <v>311</v>
      </c>
      <c r="D1420" s="7" t="n">
        <v>2</v>
      </c>
      <c r="E1420" s="7" t="n">
        <v>4</v>
      </c>
      <c r="F1420" s="7" t="n">
        <v>0</v>
      </c>
      <c r="G1420" s="7" t="n">
        <v>0</v>
      </c>
      <c r="H1420" s="7" t="n">
        <v>0</v>
      </c>
      <c r="I1420" s="7" t="n">
        <v>0</v>
      </c>
      <c r="J1420" s="7" t="n">
        <v>0</v>
      </c>
      <c r="K1420" s="7" t="n">
        <v>0</v>
      </c>
      <c r="L1420" s="7" t="n">
        <v>0</v>
      </c>
      <c r="M1420" s="7" t="n">
        <v>0</v>
      </c>
      <c r="N1420" s="7" t="n">
        <v>0</v>
      </c>
      <c r="O1420" s="7" t="n">
        <v>0</v>
      </c>
      <c r="P1420" s="8" t="n">
        <f aca="false">IF(E1420=0,0,G1420/E1420)</f>
        <v>0</v>
      </c>
      <c r="Q1420" s="8" t="n">
        <f aca="false">IF(E1420+N1420=0,0,(G1420+N1420)/(E1420+N1420))</f>
        <v>0</v>
      </c>
      <c r="R1420" s="8" t="n">
        <f aca="false">IF(E1420=0,0,L1420/E1420)</f>
        <v>0</v>
      </c>
      <c r="S1420" s="8" t="n">
        <f aca="false">R1420+Q1420</f>
        <v>0</v>
      </c>
      <c r="T1420" s="8" t="n">
        <f aca="false">R1420-P1420</f>
        <v>0</v>
      </c>
    </row>
    <row r="1421" customFormat="false" ht="14.25" hidden="false" customHeight="true" outlineLevel="0" collapsed="false">
      <c r="A1421" s="6" t="n">
        <v>2018</v>
      </c>
      <c r="B1421" s="6" t="s">
        <v>192</v>
      </c>
      <c r="C1421" s="6" t="s">
        <v>523</v>
      </c>
      <c r="D1421" s="7" t="n">
        <v>1</v>
      </c>
      <c r="E1421" s="7" t="n">
        <v>2</v>
      </c>
      <c r="F1421" s="7" t="n">
        <v>0</v>
      </c>
      <c r="G1421" s="7" t="n">
        <v>0</v>
      </c>
      <c r="H1421" s="7" t="n">
        <v>0</v>
      </c>
      <c r="I1421" s="7" t="n">
        <v>0</v>
      </c>
      <c r="J1421" s="7" t="n">
        <v>0</v>
      </c>
      <c r="K1421" s="7" t="n">
        <v>0</v>
      </c>
      <c r="L1421" s="7" t="n">
        <v>0</v>
      </c>
      <c r="M1421" s="7" t="n">
        <v>0</v>
      </c>
      <c r="N1421" s="7" t="n">
        <v>0</v>
      </c>
      <c r="O1421" s="7" t="n">
        <v>0</v>
      </c>
      <c r="P1421" s="8" t="n">
        <f aca="false">IF(E1421=0,0,G1421/E1421)</f>
        <v>0</v>
      </c>
      <c r="Q1421" s="8" t="n">
        <f aca="false">IF(E1421+N1421=0,0,(G1421+N1421)/(E1421+N1421))</f>
        <v>0</v>
      </c>
      <c r="R1421" s="8" t="n">
        <f aca="false">IF(E1421=0,0,L1421/E1421)</f>
        <v>0</v>
      </c>
      <c r="S1421" s="8" t="n">
        <f aca="false">R1421+Q1421</f>
        <v>0</v>
      </c>
      <c r="T1421" s="8" t="n">
        <f aca="false">R1421-P1421</f>
        <v>0</v>
      </c>
    </row>
    <row r="1422" customFormat="false" ht="14.25" hidden="false" customHeight="true" outlineLevel="0" collapsed="false">
      <c r="A1422" s="6" t="n">
        <v>2018</v>
      </c>
      <c r="B1422" s="6" t="s">
        <v>212</v>
      </c>
      <c r="C1422" s="6" t="s">
        <v>129</v>
      </c>
      <c r="D1422" s="7" t="n">
        <v>6</v>
      </c>
      <c r="E1422" s="7" t="n">
        <v>14</v>
      </c>
      <c r="F1422" s="7" t="n">
        <v>2</v>
      </c>
      <c r="G1422" s="7" t="n">
        <v>6</v>
      </c>
      <c r="H1422" s="7" t="n">
        <v>1</v>
      </c>
      <c r="I1422" s="7" t="n">
        <v>0</v>
      </c>
      <c r="J1422" s="7" t="n">
        <v>0</v>
      </c>
      <c r="K1422" s="7" t="n">
        <v>1</v>
      </c>
      <c r="L1422" s="7" t="n">
        <v>7</v>
      </c>
      <c r="M1422" s="7" t="n">
        <v>5</v>
      </c>
      <c r="N1422" s="7" t="n">
        <v>4</v>
      </c>
      <c r="O1422" s="7" t="n">
        <v>1</v>
      </c>
      <c r="P1422" s="8" t="n">
        <f aca="false">IF(E1422=0,0,G1422/E1422)</f>
        <v>0.428571428571429</v>
      </c>
      <c r="Q1422" s="8" t="n">
        <f aca="false">IF(E1422+N1422=0,0,(G1422+N1422)/(E1422+N1422))</f>
        <v>0.555555555555556</v>
      </c>
      <c r="R1422" s="8" t="n">
        <f aca="false">IF(E1422=0,0,L1422/E1422)</f>
        <v>0.5</v>
      </c>
      <c r="S1422" s="8" t="n">
        <f aca="false">R1422+Q1422</f>
        <v>1.05555555555556</v>
      </c>
      <c r="T1422" s="8" t="n">
        <f aca="false">R1422-P1422</f>
        <v>0.0714285714285715</v>
      </c>
    </row>
    <row r="1423" customFormat="false" ht="14.25" hidden="false" customHeight="true" outlineLevel="0" collapsed="false">
      <c r="A1423" s="6" t="n">
        <v>2018</v>
      </c>
      <c r="B1423" s="6" t="s">
        <v>212</v>
      </c>
      <c r="C1423" s="6" t="s">
        <v>213</v>
      </c>
      <c r="D1423" s="7" t="n">
        <v>6</v>
      </c>
      <c r="E1423" s="7" t="n">
        <v>18</v>
      </c>
      <c r="F1423" s="7" t="n">
        <v>9</v>
      </c>
      <c r="G1423" s="7" t="n">
        <v>6</v>
      </c>
      <c r="H1423" s="7" t="n">
        <v>2</v>
      </c>
      <c r="I1423" s="7" t="n">
        <v>0</v>
      </c>
      <c r="J1423" s="7" t="n">
        <v>2</v>
      </c>
      <c r="K1423" s="7" t="n">
        <v>4</v>
      </c>
      <c r="L1423" s="7" t="n">
        <v>14</v>
      </c>
      <c r="M1423" s="7" t="n">
        <v>3</v>
      </c>
      <c r="N1423" s="7" t="n">
        <v>4</v>
      </c>
      <c r="O1423" s="7" t="n">
        <v>1</v>
      </c>
      <c r="P1423" s="8" t="n">
        <f aca="false">IF(E1423=0,0,G1423/E1423)</f>
        <v>0.333333333333333</v>
      </c>
      <c r="Q1423" s="8" t="n">
        <f aca="false">IF(E1423+N1423=0,0,(G1423+N1423)/(E1423+N1423))</f>
        <v>0.454545454545455</v>
      </c>
      <c r="R1423" s="8" t="n">
        <f aca="false">IF(E1423=0,0,L1423/E1423)</f>
        <v>0.777777777777778</v>
      </c>
      <c r="S1423" s="8" t="n">
        <f aca="false">R1423+Q1423</f>
        <v>1.23232323232323</v>
      </c>
      <c r="T1423" s="8" t="n">
        <f aca="false">R1423-P1423</f>
        <v>0.444444444444445</v>
      </c>
    </row>
    <row r="1424" customFormat="false" ht="14.25" hidden="false" customHeight="true" outlineLevel="0" collapsed="false">
      <c r="A1424" s="6" t="n">
        <v>2018</v>
      </c>
      <c r="B1424" s="6" t="s">
        <v>212</v>
      </c>
      <c r="C1424" s="6" t="s">
        <v>85</v>
      </c>
      <c r="D1424" s="7" t="n">
        <v>4</v>
      </c>
      <c r="E1424" s="7" t="n">
        <v>11</v>
      </c>
      <c r="F1424" s="7" t="n">
        <v>0</v>
      </c>
      <c r="G1424" s="7" t="n">
        <v>6</v>
      </c>
      <c r="H1424" s="7" t="n">
        <v>0</v>
      </c>
      <c r="I1424" s="7" t="n">
        <v>0</v>
      </c>
      <c r="J1424" s="7" t="n">
        <v>0</v>
      </c>
      <c r="K1424" s="7" t="n">
        <v>0</v>
      </c>
      <c r="L1424" s="7" t="n">
        <v>6</v>
      </c>
      <c r="M1424" s="7" t="n">
        <v>6</v>
      </c>
      <c r="N1424" s="7" t="n">
        <v>2</v>
      </c>
      <c r="O1424" s="7" t="n">
        <v>0</v>
      </c>
      <c r="P1424" s="8" t="n">
        <f aca="false">IF(E1424=0,0,G1424/E1424)</f>
        <v>0.545454545454545</v>
      </c>
      <c r="Q1424" s="8" t="n">
        <f aca="false">IF(E1424+N1424=0,0,(G1424+N1424)/(E1424+N1424))</f>
        <v>0.615384615384615</v>
      </c>
      <c r="R1424" s="8" t="n">
        <f aca="false">IF(E1424=0,0,L1424/E1424)</f>
        <v>0.545454545454545</v>
      </c>
      <c r="S1424" s="8" t="n">
        <f aca="false">R1424+Q1424</f>
        <v>1.16083916083916</v>
      </c>
      <c r="T1424" s="8" t="n">
        <f aca="false">R1424-P1424</f>
        <v>0</v>
      </c>
    </row>
    <row r="1425" customFormat="false" ht="14.25" hidden="false" customHeight="true" outlineLevel="0" collapsed="false">
      <c r="A1425" s="6" t="n">
        <v>2018</v>
      </c>
      <c r="B1425" s="6" t="s">
        <v>212</v>
      </c>
      <c r="C1425" s="6" t="s">
        <v>222</v>
      </c>
      <c r="D1425" s="7" t="n">
        <v>7</v>
      </c>
      <c r="E1425" s="7" t="n">
        <v>20</v>
      </c>
      <c r="F1425" s="7" t="n">
        <v>9</v>
      </c>
      <c r="G1425" s="7" t="n">
        <v>5</v>
      </c>
      <c r="H1425" s="7" t="n">
        <v>0</v>
      </c>
      <c r="I1425" s="7" t="n">
        <v>0</v>
      </c>
      <c r="J1425" s="7" t="n">
        <v>0</v>
      </c>
      <c r="K1425" s="7" t="n">
        <v>0</v>
      </c>
      <c r="L1425" s="7" t="n">
        <v>5</v>
      </c>
      <c r="M1425" s="7" t="n">
        <v>2</v>
      </c>
      <c r="N1425" s="7" t="n">
        <v>6</v>
      </c>
      <c r="O1425" s="7" t="n">
        <v>1</v>
      </c>
      <c r="P1425" s="8" t="n">
        <f aca="false">IF(E1425=0,0,G1425/E1425)</f>
        <v>0.25</v>
      </c>
      <c r="Q1425" s="8" t="n">
        <f aca="false">IF(E1425+N1425=0,0,(G1425+N1425)/(E1425+N1425))</f>
        <v>0.423076923076923</v>
      </c>
      <c r="R1425" s="8" t="n">
        <f aca="false">IF(E1425=0,0,L1425/E1425)</f>
        <v>0.25</v>
      </c>
      <c r="S1425" s="8" t="n">
        <f aca="false">R1425+Q1425</f>
        <v>0.673076923076923</v>
      </c>
      <c r="T1425" s="8" t="n">
        <f aca="false">R1425-P1425</f>
        <v>0</v>
      </c>
    </row>
    <row r="1426" customFormat="false" ht="14.25" hidden="false" customHeight="true" outlineLevel="0" collapsed="false">
      <c r="A1426" s="6" t="n">
        <v>2018</v>
      </c>
      <c r="B1426" s="6" t="s">
        <v>212</v>
      </c>
      <c r="C1426" s="6" t="s">
        <v>214</v>
      </c>
      <c r="D1426" s="7" t="n">
        <v>7</v>
      </c>
      <c r="E1426" s="7" t="n">
        <v>16</v>
      </c>
      <c r="F1426" s="7" t="n">
        <v>0</v>
      </c>
      <c r="G1426" s="7" t="n">
        <v>4</v>
      </c>
      <c r="H1426" s="7" t="n">
        <v>0</v>
      </c>
      <c r="I1426" s="7" t="n">
        <v>0</v>
      </c>
      <c r="J1426" s="7" t="n">
        <v>0</v>
      </c>
      <c r="K1426" s="7" t="n">
        <v>0</v>
      </c>
      <c r="L1426" s="7" t="n">
        <v>4</v>
      </c>
      <c r="M1426" s="7" t="n">
        <v>6</v>
      </c>
      <c r="N1426" s="7" t="n">
        <v>4</v>
      </c>
      <c r="O1426" s="7" t="n">
        <v>2</v>
      </c>
      <c r="P1426" s="8" t="n">
        <f aca="false">IF(E1426=0,0,G1426/E1426)</f>
        <v>0.25</v>
      </c>
      <c r="Q1426" s="8" t="n">
        <f aca="false">IF(E1426+N1426=0,0,(G1426+N1426)/(E1426+N1426))</f>
        <v>0.4</v>
      </c>
      <c r="R1426" s="8" t="n">
        <f aca="false">IF(E1426=0,0,L1426/E1426)</f>
        <v>0.25</v>
      </c>
      <c r="S1426" s="8" t="n">
        <f aca="false">R1426+Q1426</f>
        <v>0.65</v>
      </c>
      <c r="T1426" s="8" t="n">
        <f aca="false">R1426-P1426</f>
        <v>0</v>
      </c>
    </row>
    <row r="1427" customFormat="false" ht="14.25" hidden="false" customHeight="true" outlineLevel="0" collapsed="false">
      <c r="A1427" s="6" t="n">
        <v>2018</v>
      </c>
      <c r="B1427" s="6" t="s">
        <v>212</v>
      </c>
      <c r="C1427" s="6" t="s">
        <v>226</v>
      </c>
      <c r="D1427" s="7" t="n">
        <v>5</v>
      </c>
      <c r="E1427" s="7" t="n">
        <v>15</v>
      </c>
      <c r="F1427" s="7" t="n">
        <v>1</v>
      </c>
      <c r="G1427" s="7" t="n">
        <v>4</v>
      </c>
      <c r="H1427" s="7" t="n">
        <v>1</v>
      </c>
      <c r="I1427" s="7" t="n">
        <v>0</v>
      </c>
      <c r="J1427" s="7" t="n">
        <v>0</v>
      </c>
      <c r="K1427" s="7" t="n">
        <v>1</v>
      </c>
      <c r="L1427" s="7" t="n">
        <v>5</v>
      </c>
      <c r="M1427" s="7" t="n">
        <v>2</v>
      </c>
      <c r="N1427" s="7" t="n">
        <v>3</v>
      </c>
      <c r="O1427" s="7" t="n">
        <v>0</v>
      </c>
      <c r="P1427" s="8" t="n">
        <f aca="false">IF(E1427=0,0,G1427/E1427)</f>
        <v>0.266666666666667</v>
      </c>
      <c r="Q1427" s="8" t="n">
        <f aca="false">IF(E1427+N1427=0,0,(G1427+N1427)/(E1427+N1427))</f>
        <v>0.388888888888889</v>
      </c>
      <c r="R1427" s="8" t="n">
        <f aca="false">IF(E1427=0,0,L1427/E1427)</f>
        <v>0.333333333333333</v>
      </c>
      <c r="S1427" s="8" t="n">
        <f aca="false">R1427+Q1427</f>
        <v>0.722222222222222</v>
      </c>
      <c r="T1427" s="8" t="n">
        <f aca="false">R1427-P1427</f>
        <v>0.0666666666666667</v>
      </c>
    </row>
    <row r="1428" customFormat="false" ht="14.25" hidden="false" customHeight="true" outlineLevel="0" collapsed="false">
      <c r="A1428" s="6" t="n">
        <v>2018</v>
      </c>
      <c r="B1428" s="6" t="s">
        <v>212</v>
      </c>
      <c r="C1428" s="6" t="s">
        <v>219</v>
      </c>
      <c r="D1428" s="7" t="n">
        <v>6</v>
      </c>
      <c r="E1428" s="7" t="n">
        <v>17</v>
      </c>
      <c r="F1428" s="7" t="n">
        <v>3</v>
      </c>
      <c r="G1428" s="7" t="n">
        <v>3</v>
      </c>
      <c r="H1428" s="7" t="n">
        <v>0</v>
      </c>
      <c r="I1428" s="7" t="n">
        <v>0</v>
      </c>
      <c r="J1428" s="7" t="n">
        <v>0</v>
      </c>
      <c r="K1428" s="7" t="n">
        <v>0</v>
      </c>
      <c r="L1428" s="7" t="n">
        <v>3</v>
      </c>
      <c r="M1428" s="7" t="n">
        <v>1</v>
      </c>
      <c r="N1428" s="7" t="n">
        <v>3</v>
      </c>
      <c r="O1428" s="7" t="n">
        <v>0</v>
      </c>
      <c r="P1428" s="8" t="n">
        <f aca="false">IF(E1428=0,0,G1428/E1428)</f>
        <v>0.176470588235294</v>
      </c>
      <c r="Q1428" s="8" t="n">
        <f aca="false">IF(E1428+N1428=0,0,(G1428+N1428)/(E1428+N1428))</f>
        <v>0.3</v>
      </c>
      <c r="R1428" s="8" t="n">
        <f aca="false">IF(E1428=0,0,L1428/E1428)</f>
        <v>0.176470588235294</v>
      </c>
      <c r="S1428" s="8" t="n">
        <f aca="false">R1428+Q1428</f>
        <v>0.476470588235294</v>
      </c>
      <c r="T1428" s="8" t="n">
        <f aca="false">R1428-P1428</f>
        <v>0</v>
      </c>
    </row>
    <row r="1429" customFormat="false" ht="14.25" hidden="false" customHeight="true" outlineLevel="0" collapsed="false">
      <c r="A1429" s="6" t="n">
        <v>2018</v>
      </c>
      <c r="B1429" s="6" t="s">
        <v>212</v>
      </c>
      <c r="C1429" s="6" t="s">
        <v>457</v>
      </c>
      <c r="D1429" s="7" t="n">
        <v>4</v>
      </c>
      <c r="E1429" s="7" t="n">
        <v>12</v>
      </c>
      <c r="F1429" s="7" t="n">
        <v>0</v>
      </c>
      <c r="G1429" s="7" t="n">
        <v>3</v>
      </c>
      <c r="H1429" s="7" t="n">
        <v>0</v>
      </c>
      <c r="I1429" s="7" t="n">
        <v>0</v>
      </c>
      <c r="J1429" s="7" t="n">
        <v>0</v>
      </c>
      <c r="K1429" s="7" t="n">
        <v>0</v>
      </c>
      <c r="L1429" s="7" t="n">
        <v>3</v>
      </c>
      <c r="M1429" s="7" t="n">
        <v>1</v>
      </c>
      <c r="N1429" s="7" t="n">
        <v>0</v>
      </c>
      <c r="O1429" s="7" t="n">
        <v>0</v>
      </c>
      <c r="P1429" s="8" t="n">
        <f aca="false">IF(E1429=0,0,G1429/E1429)</f>
        <v>0.25</v>
      </c>
      <c r="Q1429" s="8" t="n">
        <f aca="false">IF(E1429+N1429=0,0,(G1429+N1429)/(E1429+N1429))</f>
        <v>0.25</v>
      </c>
      <c r="R1429" s="8" t="n">
        <f aca="false">IF(E1429=0,0,L1429/E1429)</f>
        <v>0.25</v>
      </c>
      <c r="S1429" s="8" t="n">
        <f aca="false">R1429+Q1429</f>
        <v>0.5</v>
      </c>
      <c r="T1429" s="8" t="n">
        <f aca="false">R1429-P1429</f>
        <v>0</v>
      </c>
    </row>
    <row r="1430" customFormat="false" ht="14.25" hidden="false" customHeight="true" outlineLevel="0" collapsed="false">
      <c r="A1430" s="6" t="n">
        <v>2018</v>
      </c>
      <c r="B1430" s="6" t="s">
        <v>212</v>
      </c>
      <c r="C1430" s="6" t="s">
        <v>524</v>
      </c>
      <c r="D1430" s="7" t="n">
        <v>3</v>
      </c>
      <c r="E1430" s="7" t="n">
        <v>8</v>
      </c>
      <c r="F1430" s="7" t="n">
        <v>2</v>
      </c>
      <c r="G1430" s="7" t="n">
        <v>3</v>
      </c>
      <c r="H1430" s="7" t="n">
        <v>0</v>
      </c>
      <c r="I1430" s="7" t="n">
        <v>0</v>
      </c>
      <c r="J1430" s="7" t="n">
        <v>0</v>
      </c>
      <c r="K1430" s="7" t="n">
        <v>0</v>
      </c>
      <c r="L1430" s="7" t="n">
        <v>3</v>
      </c>
      <c r="M1430" s="7" t="n">
        <v>0</v>
      </c>
      <c r="N1430" s="7" t="n">
        <v>0</v>
      </c>
      <c r="O1430" s="7" t="n">
        <v>1</v>
      </c>
      <c r="P1430" s="8" t="n">
        <f aca="false">IF(E1430=0,0,G1430/E1430)</f>
        <v>0.375</v>
      </c>
      <c r="Q1430" s="8" t="n">
        <f aca="false">IF(E1430+N1430=0,0,(G1430+N1430)/(E1430+N1430))</f>
        <v>0.375</v>
      </c>
      <c r="R1430" s="8" t="n">
        <f aca="false">IF(E1430=0,0,L1430/E1430)</f>
        <v>0.375</v>
      </c>
      <c r="S1430" s="8" t="n">
        <f aca="false">R1430+Q1430</f>
        <v>0.75</v>
      </c>
      <c r="T1430" s="8" t="n">
        <f aca="false">R1430-P1430</f>
        <v>0</v>
      </c>
    </row>
    <row r="1431" customFormat="false" ht="14.25" hidden="false" customHeight="true" outlineLevel="0" collapsed="false">
      <c r="A1431" s="6" t="n">
        <v>2018</v>
      </c>
      <c r="B1431" s="6" t="s">
        <v>212</v>
      </c>
      <c r="C1431" s="6" t="s">
        <v>500</v>
      </c>
      <c r="D1431" s="7" t="n">
        <v>4</v>
      </c>
      <c r="E1431" s="7" t="n">
        <v>7</v>
      </c>
      <c r="F1431" s="7" t="n">
        <v>0</v>
      </c>
      <c r="G1431" s="7" t="n">
        <v>2</v>
      </c>
      <c r="H1431" s="7" t="n">
        <v>0</v>
      </c>
      <c r="I1431" s="7" t="n">
        <v>0</v>
      </c>
      <c r="J1431" s="7" t="n">
        <v>0</v>
      </c>
      <c r="K1431" s="7" t="n">
        <v>0</v>
      </c>
      <c r="L1431" s="7" t="n">
        <v>2</v>
      </c>
      <c r="M1431" s="7" t="n">
        <v>1</v>
      </c>
      <c r="N1431" s="7" t="n">
        <v>0</v>
      </c>
      <c r="O1431" s="7" t="n">
        <v>0</v>
      </c>
      <c r="P1431" s="8" t="n">
        <f aca="false">IF(E1431=0,0,G1431/E1431)</f>
        <v>0.285714285714286</v>
      </c>
      <c r="Q1431" s="8" t="n">
        <f aca="false">IF(E1431+N1431=0,0,(G1431+N1431)/(E1431+N1431))</f>
        <v>0.285714285714286</v>
      </c>
      <c r="R1431" s="8" t="n">
        <f aca="false">IF(E1431=0,0,L1431/E1431)</f>
        <v>0.285714285714286</v>
      </c>
      <c r="S1431" s="8" t="n">
        <f aca="false">R1431+Q1431</f>
        <v>0.571428571428571</v>
      </c>
      <c r="T1431" s="8" t="n">
        <f aca="false">R1431-P1431</f>
        <v>0</v>
      </c>
    </row>
    <row r="1432" customFormat="false" ht="14.25" hidden="false" customHeight="true" outlineLevel="0" collapsed="false">
      <c r="A1432" s="6" t="n">
        <v>2018</v>
      </c>
      <c r="B1432" s="6" t="s">
        <v>212</v>
      </c>
      <c r="C1432" s="6" t="s">
        <v>328</v>
      </c>
      <c r="D1432" s="7" t="n">
        <v>3</v>
      </c>
      <c r="E1432" s="7" t="n">
        <v>7</v>
      </c>
      <c r="F1432" s="7" t="n">
        <v>0</v>
      </c>
      <c r="G1432" s="7" t="n">
        <v>2</v>
      </c>
      <c r="H1432" s="7" t="n">
        <v>1</v>
      </c>
      <c r="I1432" s="7" t="n">
        <v>0</v>
      </c>
      <c r="J1432" s="7" t="n">
        <v>0</v>
      </c>
      <c r="K1432" s="7" t="n">
        <v>1</v>
      </c>
      <c r="L1432" s="7" t="n">
        <v>3</v>
      </c>
      <c r="M1432" s="7" t="n">
        <v>2</v>
      </c>
      <c r="N1432" s="7" t="n">
        <v>1</v>
      </c>
      <c r="O1432" s="7" t="n">
        <v>0</v>
      </c>
      <c r="P1432" s="8" t="n">
        <f aca="false">IF(E1432=0,0,G1432/E1432)</f>
        <v>0.285714285714286</v>
      </c>
      <c r="Q1432" s="8" t="n">
        <f aca="false">IF(E1432+N1432=0,0,(G1432+N1432)/(E1432+N1432))</f>
        <v>0.375</v>
      </c>
      <c r="R1432" s="8" t="n">
        <f aca="false">IF(E1432=0,0,L1432/E1432)</f>
        <v>0.428571428571429</v>
      </c>
      <c r="S1432" s="8" t="n">
        <f aca="false">R1432+Q1432</f>
        <v>0.803571428571429</v>
      </c>
      <c r="T1432" s="8" t="n">
        <f aca="false">R1432-P1432</f>
        <v>0.142857142857143</v>
      </c>
    </row>
    <row r="1433" customFormat="false" ht="14.25" hidden="false" customHeight="true" outlineLevel="0" collapsed="false">
      <c r="A1433" s="6" t="n">
        <v>2018</v>
      </c>
      <c r="B1433" s="6" t="s">
        <v>212</v>
      </c>
      <c r="C1433" s="6" t="s">
        <v>525</v>
      </c>
      <c r="D1433" s="7" t="n">
        <v>7</v>
      </c>
      <c r="E1433" s="7" t="n">
        <v>10</v>
      </c>
      <c r="F1433" s="7" t="n">
        <v>1</v>
      </c>
      <c r="G1433" s="7" t="n">
        <v>2</v>
      </c>
      <c r="H1433" s="7" t="n">
        <v>0</v>
      </c>
      <c r="I1433" s="7" t="n">
        <v>0</v>
      </c>
      <c r="J1433" s="7" t="n">
        <v>0</v>
      </c>
      <c r="K1433" s="7" t="n">
        <v>0</v>
      </c>
      <c r="L1433" s="7" t="n">
        <v>2</v>
      </c>
      <c r="M1433" s="7" t="n">
        <v>1</v>
      </c>
      <c r="N1433" s="7" t="n">
        <v>1</v>
      </c>
      <c r="O1433" s="7" t="n">
        <v>0</v>
      </c>
      <c r="P1433" s="8" t="n">
        <f aca="false">IF(E1433=0,0,G1433/E1433)</f>
        <v>0.2</v>
      </c>
      <c r="Q1433" s="8" t="n">
        <f aca="false">IF(E1433+N1433=0,0,(G1433+N1433)/(E1433+N1433))</f>
        <v>0.272727272727273</v>
      </c>
      <c r="R1433" s="8" t="n">
        <f aca="false">IF(E1433=0,0,L1433/E1433)</f>
        <v>0.2</v>
      </c>
      <c r="S1433" s="8" t="n">
        <f aca="false">R1433+Q1433</f>
        <v>0.472727272727273</v>
      </c>
      <c r="T1433" s="8" t="n">
        <f aca="false">R1433-P1433</f>
        <v>0</v>
      </c>
    </row>
    <row r="1434" customFormat="false" ht="14.25" hidden="false" customHeight="true" outlineLevel="0" collapsed="false">
      <c r="A1434" s="6" t="n">
        <v>2018</v>
      </c>
      <c r="B1434" s="6" t="s">
        <v>212</v>
      </c>
      <c r="C1434" s="6" t="s">
        <v>526</v>
      </c>
      <c r="D1434" s="7" t="n">
        <v>5</v>
      </c>
      <c r="E1434" s="7" t="n">
        <v>11</v>
      </c>
      <c r="F1434" s="7" t="n">
        <v>1</v>
      </c>
      <c r="G1434" s="7" t="n">
        <v>2</v>
      </c>
      <c r="H1434" s="7" t="n">
        <v>0</v>
      </c>
      <c r="I1434" s="7" t="n">
        <v>0</v>
      </c>
      <c r="J1434" s="7" t="n">
        <v>0</v>
      </c>
      <c r="K1434" s="7" t="n">
        <v>0</v>
      </c>
      <c r="L1434" s="7" t="n">
        <v>2</v>
      </c>
      <c r="M1434" s="7" t="n">
        <v>0</v>
      </c>
      <c r="N1434" s="7" t="n">
        <v>0</v>
      </c>
      <c r="O1434" s="7" t="n">
        <v>1</v>
      </c>
      <c r="P1434" s="8" t="n">
        <f aca="false">IF(E1434=0,0,G1434/E1434)</f>
        <v>0.181818181818182</v>
      </c>
      <c r="Q1434" s="8" t="n">
        <f aca="false">IF(E1434+N1434=0,0,(G1434+N1434)/(E1434+N1434))</f>
        <v>0.181818181818182</v>
      </c>
      <c r="R1434" s="8" t="n">
        <f aca="false">IF(E1434=0,0,L1434/E1434)</f>
        <v>0.181818181818182</v>
      </c>
      <c r="S1434" s="8" t="n">
        <f aca="false">R1434+Q1434</f>
        <v>0.363636363636364</v>
      </c>
      <c r="T1434" s="8" t="n">
        <f aca="false">R1434-P1434</f>
        <v>0</v>
      </c>
    </row>
    <row r="1435" customFormat="false" ht="14.25" hidden="false" customHeight="true" outlineLevel="0" collapsed="false">
      <c r="A1435" s="6" t="n">
        <v>2018</v>
      </c>
      <c r="B1435" s="6" t="s">
        <v>212</v>
      </c>
      <c r="C1435" s="6" t="s">
        <v>501</v>
      </c>
      <c r="D1435" s="7" t="n">
        <v>2</v>
      </c>
      <c r="E1435" s="7" t="n">
        <v>5</v>
      </c>
      <c r="F1435" s="7" t="n">
        <v>2</v>
      </c>
      <c r="G1435" s="7" t="n">
        <v>2</v>
      </c>
      <c r="H1435" s="7" t="n">
        <v>1</v>
      </c>
      <c r="I1435" s="7" t="n">
        <v>0</v>
      </c>
      <c r="J1435" s="7" t="n">
        <v>0</v>
      </c>
      <c r="K1435" s="7" t="n">
        <v>1</v>
      </c>
      <c r="L1435" s="7" t="n">
        <v>3</v>
      </c>
      <c r="M1435" s="7" t="n">
        <v>0</v>
      </c>
      <c r="N1435" s="7" t="n">
        <v>1</v>
      </c>
      <c r="O1435" s="7" t="n">
        <v>0</v>
      </c>
      <c r="P1435" s="8" t="n">
        <f aca="false">IF(E1435=0,0,G1435/E1435)</f>
        <v>0.4</v>
      </c>
      <c r="Q1435" s="8" t="n">
        <f aca="false">IF(E1435+N1435=0,0,(G1435+N1435)/(E1435+N1435))</f>
        <v>0.5</v>
      </c>
      <c r="R1435" s="8" t="n">
        <f aca="false">IF(E1435=0,0,L1435/E1435)</f>
        <v>0.6</v>
      </c>
      <c r="S1435" s="8" t="n">
        <f aca="false">R1435+Q1435</f>
        <v>1.1</v>
      </c>
      <c r="T1435" s="8" t="n">
        <f aca="false">R1435-P1435</f>
        <v>0.2</v>
      </c>
    </row>
    <row r="1436" customFormat="false" ht="14.25" hidden="false" customHeight="true" outlineLevel="0" collapsed="false">
      <c r="A1436" s="6" t="n">
        <v>2018</v>
      </c>
      <c r="B1436" s="6" t="s">
        <v>212</v>
      </c>
      <c r="C1436" s="6" t="s">
        <v>287</v>
      </c>
      <c r="D1436" s="7" t="n">
        <v>1</v>
      </c>
      <c r="E1436" s="7" t="n">
        <v>3</v>
      </c>
      <c r="F1436" s="7" t="n">
        <v>3</v>
      </c>
      <c r="G1436" s="7" t="n">
        <v>2</v>
      </c>
      <c r="H1436" s="7" t="n">
        <v>1</v>
      </c>
      <c r="I1436" s="7" t="n">
        <v>0</v>
      </c>
      <c r="J1436" s="7" t="n">
        <v>1</v>
      </c>
      <c r="K1436" s="7" t="n">
        <v>2</v>
      </c>
      <c r="L1436" s="7" t="n">
        <v>6</v>
      </c>
      <c r="M1436" s="7" t="n">
        <v>3</v>
      </c>
      <c r="N1436" s="7" t="n">
        <v>0</v>
      </c>
      <c r="O1436" s="7" t="n">
        <v>0</v>
      </c>
      <c r="P1436" s="8" t="n">
        <f aca="false">IF(E1436=0,0,G1436/E1436)</f>
        <v>0.666666666666667</v>
      </c>
      <c r="Q1436" s="8" t="n">
        <f aca="false">IF(E1436+N1436=0,0,(G1436+N1436)/(E1436+N1436))</f>
        <v>0.666666666666667</v>
      </c>
      <c r="R1436" s="8" t="n">
        <f aca="false">IF(E1436=0,0,L1436/E1436)</f>
        <v>2</v>
      </c>
      <c r="S1436" s="8" t="n">
        <f aca="false">R1436+Q1436</f>
        <v>2.66666666666667</v>
      </c>
      <c r="T1436" s="8" t="n">
        <f aca="false">R1436-P1436</f>
        <v>1.33333333333333</v>
      </c>
    </row>
    <row r="1437" customFormat="false" ht="14.25" hidden="false" customHeight="true" outlineLevel="0" collapsed="false">
      <c r="A1437" s="6" t="n">
        <v>2018</v>
      </c>
      <c r="B1437" s="6" t="s">
        <v>212</v>
      </c>
      <c r="C1437" s="6" t="s">
        <v>339</v>
      </c>
      <c r="D1437" s="7" t="n">
        <v>2</v>
      </c>
      <c r="E1437" s="7" t="n">
        <v>6</v>
      </c>
      <c r="F1437" s="7" t="n">
        <v>2</v>
      </c>
      <c r="G1437" s="7" t="n">
        <v>1</v>
      </c>
      <c r="H1437" s="7" t="n">
        <v>0</v>
      </c>
      <c r="I1437" s="7" t="n">
        <v>0</v>
      </c>
      <c r="J1437" s="7" t="n">
        <v>0</v>
      </c>
      <c r="K1437" s="7" t="n">
        <v>0</v>
      </c>
      <c r="L1437" s="7" t="n">
        <v>1</v>
      </c>
      <c r="M1437" s="7" t="n">
        <v>0</v>
      </c>
      <c r="N1437" s="7" t="n">
        <v>1</v>
      </c>
      <c r="O1437" s="7" t="n">
        <v>0</v>
      </c>
      <c r="P1437" s="8" t="n">
        <f aca="false">IF(E1437=0,0,G1437/E1437)</f>
        <v>0.166666666666667</v>
      </c>
      <c r="Q1437" s="8" t="n">
        <f aca="false">IF(E1437+N1437=0,0,(G1437+N1437)/(E1437+N1437))</f>
        <v>0.285714285714286</v>
      </c>
      <c r="R1437" s="8" t="n">
        <f aca="false">IF(E1437=0,0,L1437/E1437)</f>
        <v>0.166666666666667</v>
      </c>
      <c r="S1437" s="8" t="n">
        <f aca="false">R1437+Q1437</f>
        <v>0.452380952380952</v>
      </c>
      <c r="T1437" s="8" t="n">
        <f aca="false">R1437-P1437</f>
        <v>0</v>
      </c>
    </row>
    <row r="1438" customFormat="false" ht="14.25" hidden="false" customHeight="true" outlineLevel="0" collapsed="false">
      <c r="A1438" s="6" t="n">
        <v>2018</v>
      </c>
      <c r="B1438" s="6" t="s">
        <v>212</v>
      </c>
      <c r="C1438" s="6" t="s">
        <v>527</v>
      </c>
      <c r="D1438" s="7" t="n">
        <v>4</v>
      </c>
      <c r="E1438" s="7" t="n">
        <v>8</v>
      </c>
      <c r="F1438" s="7" t="n">
        <v>0</v>
      </c>
      <c r="G1438" s="7" t="n">
        <v>1</v>
      </c>
      <c r="H1438" s="7" t="n">
        <v>0</v>
      </c>
      <c r="I1438" s="7" t="n">
        <v>0</v>
      </c>
      <c r="J1438" s="7" t="n">
        <v>0</v>
      </c>
      <c r="K1438" s="7" t="n">
        <v>0</v>
      </c>
      <c r="L1438" s="7" t="n">
        <v>1</v>
      </c>
      <c r="M1438" s="7" t="n">
        <v>0</v>
      </c>
      <c r="N1438" s="7" t="n">
        <v>1</v>
      </c>
      <c r="O1438" s="7" t="n">
        <v>0</v>
      </c>
      <c r="P1438" s="8" t="n">
        <f aca="false">IF(E1438=0,0,G1438/E1438)</f>
        <v>0.125</v>
      </c>
      <c r="Q1438" s="8" t="n">
        <f aca="false">IF(E1438+N1438=0,0,(G1438+N1438)/(E1438+N1438))</f>
        <v>0.222222222222222</v>
      </c>
      <c r="R1438" s="8" t="n">
        <f aca="false">IF(E1438=0,0,L1438/E1438)</f>
        <v>0.125</v>
      </c>
      <c r="S1438" s="8" t="n">
        <f aca="false">R1438+Q1438</f>
        <v>0.347222222222222</v>
      </c>
      <c r="T1438" s="8" t="n">
        <f aca="false">R1438-P1438</f>
        <v>0</v>
      </c>
    </row>
    <row r="1439" customFormat="false" ht="14.25" hidden="false" customHeight="true" outlineLevel="0" collapsed="false">
      <c r="A1439" s="6" t="n">
        <v>2018</v>
      </c>
      <c r="B1439" s="6" t="s">
        <v>212</v>
      </c>
      <c r="C1439" s="6" t="s">
        <v>301</v>
      </c>
      <c r="D1439" s="7" t="n">
        <v>3</v>
      </c>
      <c r="E1439" s="7" t="n">
        <v>6</v>
      </c>
      <c r="F1439" s="7" t="n">
        <v>1</v>
      </c>
      <c r="G1439" s="7" t="n">
        <v>1</v>
      </c>
      <c r="H1439" s="7" t="n">
        <v>0</v>
      </c>
      <c r="I1439" s="7" t="n">
        <v>0</v>
      </c>
      <c r="J1439" s="7" t="n">
        <v>0</v>
      </c>
      <c r="K1439" s="7" t="n">
        <v>0</v>
      </c>
      <c r="L1439" s="7" t="n">
        <v>1</v>
      </c>
      <c r="M1439" s="7" t="n">
        <v>0</v>
      </c>
      <c r="N1439" s="7" t="n">
        <v>1</v>
      </c>
      <c r="O1439" s="7" t="n">
        <v>0</v>
      </c>
      <c r="P1439" s="8" t="n">
        <f aca="false">IF(E1439=0,0,G1439/E1439)</f>
        <v>0.166666666666667</v>
      </c>
      <c r="Q1439" s="8" t="n">
        <f aca="false">IF(E1439+N1439=0,0,(G1439+N1439)/(E1439+N1439))</f>
        <v>0.285714285714286</v>
      </c>
      <c r="R1439" s="8" t="n">
        <f aca="false">IF(E1439=0,0,L1439/E1439)</f>
        <v>0.166666666666667</v>
      </c>
      <c r="S1439" s="8" t="n">
        <f aca="false">R1439+Q1439</f>
        <v>0.452380952380952</v>
      </c>
      <c r="T1439" s="8" t="n">
        <f aca="false">R1439-P1439</f>
        <v>0</v>
      </c>
    </row>
    <row r="1440" customFormat="false" ht="14.25" hidden="false" customHeight="true" outlineLevel="0" collapsed="false">
      <c r="A1440" s="6" t="n">
        <v>2018</v>
      </c>
      <c r="B1440" s="6" t="s">
        <v>212</v>
      </c>
      <c r="C1440" s="6" t="s">
        <v>279</v>
      </c>
      <c r="D1440" s="7" t="n">
        <v>1</v>
      </c>
      <c r="E1440" s="7" t="n">
        <v>3</v>
      </c>
      <c r="F1440" s="7" t="n">
        <v>0</v>
      </c>
      <c r="G1440" s="7" t="n">
        <v>0</v>
      </c>
      <c r="H1440" s="7" t="n">
        <v>0</v>
      </c>
      <c r="I1440" s="7" t="n">
        <v>0</v>
      </c>
      <c r="J1440" s="7" t="n">
        <v>0</v>
      </c>
      <c r="K1440" s="7" t="n">
        <v>0</v>
      </c>
      <c r="L1440" s="7" t="n">
        <v>0</v>
      </c>
      <c r="M1440" s="7" t="n">
        <v>0</v>
      </c>
      <c r="N1440" s="7" t="n">
        <v>0</v>
      </c>
      <c r="O1440" s="7" t="n">
        <v>0</v>
      </c>
      <c r="P1440" s="8" t="n">
        <f aca="false">IF(E1440=0,0,G1440/E1440)</f>
        <v>0</v>
      </c>
      <c r="Q1440" s="8" t="n">
        <f aca="false">IF(E1440+N1440=0,0,(G1440+N1440)/(E1440+N1440))</f>
        <v>0</v>
      </c>
      <c r="R1440" s="8" t="n">
        <f aca="false">IF(E1440=0,0,L1440/E1440)</f>
        <v>0</v>
      </c>
      <c r="S1440" s="8" t="n">
        <f aca="false">R1440+Q1440</f>
        <v>0</v>
      </c>
      <c r="T1440" s="8" t="n">
        <f aca="false">R1440-P1440</f>
        <v>0</v>
      </c>
    </row>
    <row r="1441" customFormat="false" ht="14.25" hidden="false" customHeight="true" outlineLevel="0" collapsed="false">
      <c r="A1441" s="6" t="n">
        <v>2018</v>
      </c>
      <c r="B1441" s="6" t="s">
        <v>212</v>
      </c>
      <c r="C1441" s="6" t="s">
        <v>404</v>
      </c>
      <c r="D1441" s="7" t="n">
        <v>1</v>
      </c>
      <c r="E1441" s="7" t="n">
        <v>3</v>
      </c>
      <c r="F1441" s="7" t="n">
        <v>0</v>
      </c>
      <c r="G1441" s="7" t="n">
        <v>0</v>
      </c>
      <c r="H1441" s="7" t="n">
        <v>0</v>
      </c>
      <c r="I1441" s="7" t="n">
        <v>0</v>
      </c>
      <c r="J1441" s="7" t="n">
        <v>0</v>
      </c>
      <c r="K1441" s="7" t="n">
        <v>0</v>
      </c>
      <c r="L1441" s="7" t="n">
        <v>0</v>
      </c>
      <c r="M1441" s="7" t="n">
        <v>0</v>
      </c>
      <c r="N1441" s="7" t="n">
        <v>0</v>
      </c>
      <c r="O1441" s="7" t="n">
        <v>0</v>
      </c>
      <c r="P1441" s="8" t="n">
        <f aca="false">IF(E1441=0,0,G1441/E1441)</f>
        <v>0</v>
      </c>
      <c r="Q1441" s="8" t="n">
        <f aca="false">IF(E1441+N1441=0,0,(G1441+N1441)/(E1441+N1441))</f>
        <v>0</v>
      </c>
      <c r="R1441" s="8" t="n">
        <f aca="false">IF(E1441=0,0,L1441/E1441)</f>
        <v>0</v>
      </c>
      <c r="S1441" s="8" t="n">
        <f aca="false">R1441+Q1441</f>
        <v>0</v>
      </c>
      <c r="T1441" s="8" t="n">
        <f aca="false">R1441-P1441</f>
        <v>0</v>
      </c>
    </row>
    <row r="1442" customFormat="false" ht="14.25" hidden="false" customHeight="true" outlineLevel="0" collapsed="false">
      <c r="A1442" s="6" t="n">
        <v>2018</v>
      </c>
      <c r="B1442" s="6" t="s">
        <v>212</v>
      </c>
      <c r="C1442" s="6" t="s">
        <v>408</v>
      </c>
      <c r="D1442" s="7" t="n">
        <v>1</v>
      </c>
      <c r="E1442" s="7" t="n">
        <v>2</v>
      </c>
      <c r="F1442" s="7" t="n">
        <v>0</v>
      </c>
      <c r="G1442" s="7" t="n">
        <v>0</v>
      </c>
      <c r="H1442" s="7" t="n">
        <v>0</v>
      </c>
      <c r="I1442" s="7" t="n">
        <v>0</v>
      </c>
      <c r="J1442" s="7" t="n">
        <v>0</v>
      </c>
      <c r="K1442" s="7" t="n">
        <v>0</v>
      </c>
      <c r="L1442" s="7" t="n">
        <v>0</v>
      </c>
      <c r="M1442" s="7" t="n">
        <v>0</v>
      </c>
      <c r="N1442" s="7" t="n">
        <v>1</v>
      </c>
      <c r="O1442" s="7" t="n">
        <v>0</v>
      </c>
      <c r="P1442" s="8" t="n">
        <f aca="false">IF(E1442=0,0,G1442/E1442)</f>
        <v>0</v>
      </c>
      <c r="Q1442" s="8" t="n">
        <f aca="false">IF(E1442+N1442=0,0,(G1442+N1442)/(E1442+N1442))</f>
        <v>0.333333333333333</v>
      </c>
      <c r="R1442" s="8" t="n">
        <f aca="false">IF(E1442=0,0,L1442/E1442)</f>
        <v>0</v>
      </c>
      <c r="S1442" s="8" t="n">
        <f aca="false">R1442+Q1442</f>
        <v>0.333333333333333</v>
      </c>
      <c r="T1442" s="8" t="n">
        <f aca="false">R1442-P1442</f>
        <v>0</v>
      </c>
    </row>
    <row r="1443" customFormat="false" ht="14.25" hidden="false" customHeight="true" outlineLevel="0" collapsed="false">
      <c r="A1443" s="6" t="n">
        <v>2018</v>
      </c>
      <c r="B1443" s="6" t="s">
        <v>212</v>
      </c>
      <c r="C1443" s="6" t="s">
        <v>450</v>
      </c>
      <c r="D1443" s="7" t="n">
        <v>3</v>
      </c>
      <c r="E1443" s="7" t="n">
        <v>3</v>
      </c>
      <c r="F1443" s="7" t="n">
        <v>1</v>
      </c>
      <c r="G1443" s="7" t="n">
        <v>0</v>
      </c>
      <c r="H1443" s="7" t="n">
        <v>0</v>
      </c>
      <c r="I1443" s="7" t="n">
        <v>0</v>
      </c>
      <c r="J1443" s="7" t="n">
        <v>0</v>
      </c>
      <c r="K1443" s="7" t="n">
        <v>0</v>
      </c>
      <c r="L1443" s="7" t="n">
        <v>0</v>
      </c>
      <c r="M1443" s="7" t="n">
        <v>1</v>
      </c>
      <c r="N1443" s="7" t="n">
        <v>2</v>
      </c>
      <c r="O1443" s="7" t="n">
        <v>0</v>
      </c>
      <c r="P1443" s="8" t="n">
        <f aca="false">IF(E1443=0,0,G1443/E1443)</f>
        <v>0</v>
      </c>
      <c r="Q1443" s="8" t="n">
        <f aca="false">IF(E1443+N1443=0,0,(G1443+N1443)/(E1443+N1443))</f>
        <v>0.4</v>
      </c>
      <c r="R1443" s="8" t="n">
        <f aca="false">IF(E1443=0,0,L1443/E1443)</f>
        <v>0</v>
      </c>
      <c r="S1443" s="8" t="n">
        <f aca="false">R1443+Q1443</f>
        <v>0.4</v>
      </c>
      <c r="T1443" s="8" t="n">
        <f aca="false">R1443-P1443</f>
        <v>0</v>
      </c>
    </row>
    <row r="1444" customFormat="false" ht="14.25" hidden="false" customHeight="true" outlineLevel="0" collapsed="false">
      <c r="A1444" s="6" t="n">
        <v>2018</v>
      </c>
      <c r="B1444" s="6" t="s">
        <v>212</v>
      </c>
      <c r="C1444" s="6" t="s">
        <v>528</v>
      </c>
      <c r="D1444" s="7" t="n">
        <v>1</v>
      </c>
      <c r="E1444" s="7" t="n">
        <v>0</v>
      </c>
      <c r="F1444" s="7" t="n">
        <v>0</v>
      </c>
      <c r="G1444" s="7" t="n">
        <v>0</v>
      </c>
      <c r="H1444" s="7" t="n">
        <v>0</v>
      </c>
      <c r="I1444" s="7" t="n">
        <v>0</v>
      </c>
      <c r="J1444" s="7" t="n">
        <v>0</v>
      </c>
      <c r="K1444" s="7" t="n">
        <v>0</v>
      </c>
      <c r="L1444" s="7" t="n">
        <v>0</v>
      </c>
      <c r="M1444" s="7" t="n">
        <v>0</v>
      </c>
      <c r="N1444" s="7" t="n">
        <v>0</v>
      </c>
      <c r="O1444" s="7" t="n">
        <v>0</v>
      </c>
      <c r="P1444" s="8" t="n">
        <f aca="false">IF(E1444=0,0,G1444/E1444)</f>
        <v>0</v>
      </c>
      <c r="Q1444" s="8" t="n">
        <f aca="false">IF(E1444+N1444=0,0,(G1444+N1444)/(E1444+N1444))</f>
        <v>0</v>
      </c>
      <c r="R1444" s="8" t="n">
        <f aca="false">IF(E1444=0,0,L1444/E1444)</f>
        <v>0</v>
      </c>
      <c r="S1444" s="8" t="n">
        <f aca="false">R1444+Q1444</f>
        <v>0</v>
      </c>
      <c r="T1444" s="8" t="n">
        <f aca="false">R1444-P1444</f>
        <v>0</v>
      </c>
    </row>
    <row r="1445" customFormat="false" ht="14.25" hidden="false" customHeight="true" outlineLevel="0" collapsed="false">
      <c r="A1445" s="6" t="n">
        <v>2018</v>
      </c>
      <c r="B1445" s="6" t="s">
        <v>212</v>
      </c>
      <c r="C1445" s="6" t="s">
        <v>529</v>
      </c>
      <c r="D1445" s="7" t="n">
        <v>1</v>
      </c>
      <c r="E1445" s="7" t="n">
        <v>1</v>
      </c>
      <c r="F1445" s="7" t="n">
        <v>0</v>
      </c>
      <c r="G1445" s="7" t="n">
        <v>0</v>
      </c>
      <c r="H1445" s="7" t="n">
        <v>0</v>
      </c>
      <c r="I1445" s="7" t="n">
        <v>0</v>
      </c>
      <c r="J1445" s="7" t="n">
        <v>0</v>
      </c>
      <c r="K1445" s="7" t="n">
        <v>0</v>
      </c>
      <c r="L1445" s="7" t="n">
        <v>0</v>
      </c>
      <c r="M1445" s="7" t="n">
        <v>0</v>
      </c>
      <c r="N1445" s="7" t="n">
        <v>0</v>
      </c>
      <c r="O1445" s="7" t="n">
        <v>0</v>
      </c>
      <c r="P1445" s="8" t="n">
        <f aca="false">IF(E1445=0,0,G1445/E1445)</f>
        <v>0</v>
      </c>
      <c r="Q1445" s="8" t="n">
        <f aca="false">IF(E1445+N1445=0,0,(G1445+N1445)/(E1445+N1445))</f>
        <v>0</v>
      </c>
      <c r="R1445" s="8" t="n">
        <f aca="false">IF(E1445=0,0,L1445/E1445)</f>
        <v>0</v>
      </c>
      <c r="S1445" s="8" t="n">
        <f aca="false">R1445+Q1445</f>
        <v>0</v>
      </c>
      <c r="T1445" s="8" t="n">
        <f aca="false">R1445-P1445</f>
        <v>0</v>
      </c>
    </row>
    <row r="1446" customFormat="false" ht="14.25" hidden="false" customHeight="true" outlineLevel="0" collapsed="false">
      <c r="A1446" s="6" t="n">
        <v>2018</v>
      </c>
      <c r="B1446" s="6" t="s">
        <v>212</v>
      </c>
      <c r="C1446" s="6" t="s">
        <v>504</v>
      </c>
      <c r="D1446" s="7" t="n">
        <v>1</v>
      </c>
      <c r="E1446" s="7" t="n">
        <v>1</v>
      </c>
      <c r="F1446" s="7" t="n">
        <v>0</v>
      </c>
      <c r="G1446" s="7" t="n">
        <v>0</v>
      </c>
      <c r="H1446" s="7" t="n">
        <v>0</v>
      </c>
      <c r="I1446" s="7" t="n">
        <v>0</v>
      </c>
      <c r="J1446" s="7" t="n">
        <v>0</v>
      </c>
      <c r="K1446" s="7" t="n">
        <v>0</v>
      </c>
      <c r="L1446" s="7" t="n">
        <v>0</v>
      </c>
      <c r="M1446" s="7" t="n">
        <v>0</v>
      </c>
      <c r="N1446" s="7" t="n">
        <v>0</v>
      </c>
      <c r="O1446" s="7" t="n">
        <v>1</v>
      </c>
      <c r="P1446" s="8" t="n">
        <f aca="false">IF(E1446=0,0,G1446/E1446)</f>
        <v>0</v>
      </c>
      <c r="Q1446" s="8" t="n">
        <f aca="false">IF(E1446+N1446=0,0,(G1446+N1446)/(E1446+N1446))</f>
        <v>0</v>
      </c>
      <c r="R1446" s="8" t="n">
        <f aca="false">IF(E1446=0,0,L1446/E1446)</f>
        <v>0</v>
      </c>
      <c r="S1446" s="8" t="n">
        <f aca="false">R1446+Q1446</f>
        <v>0</v>
      </c>
      <c r="T1446" s="8" t="n">
        <f aca="false">R1446-P1446</f>
        <v>0</v>
      </c>
    </row>
    <row r="1447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9"/>
    <col collapsed="false" customWidth="true" hidden="false" outlineLevel="0" max="4" min="4" style="1" width="24.54"/>
    <col collapsed="false" customWidth="true" hidden="false" outlineLevel="0" max="16" min="5" style="1" width="6"/>
    <col collapsed="false" customWidth="true" hidden="false" outlineLevel="0" max="21" min="17" style="1" width="7"/>
  </cols>
  <sheetData>
    <row r="1" customFormat="false" ht="14.25" hidden="false" customHeight="true" outlineLevel="0" collapsed="false">
      <c r="A1" s="5" t="s">
        <v>32</v>
      </c>
      <c r="B1" s="5" t="s">
        <v>31</v>
      </c>
      <c r="C1" s="5" t="s">
        <v>530</v>
      </c>
      <c r="D1" s="5" t="s">
        <v>531</v>
      </c>
      <c r="E1" s="5" t="s">
        <v>33</v>
      </c>
      <c r="F1" s="5" t="s">
        <v>34</v>
      </c>
      <c r="G1" s="5" t="s">
        <v>35</v>
      </c>
      <c r="H1" s="5" t="s">
        <v>36</v>
      </c>
      <c r="I1" s="5" t="s">
        <v>37</v>
      </c>
      <c r="J1" s="5" t="s">
        <v>38</v>
      </c>
      <c r="K1" s="5" t="s">
        <v>39</v>
      </c>
      <c r="L1" s="5" t="s">
        <v>40</v>
      </c>
      <c r="M1" s="5" t="s">
        <v>41</v>
      </c>
      <c r="N1" s="5" t="s">
        <v>42</v>
      </c>
      <c r="O1" s="5" t="s">
        <v>43</v>
      </c>
      <c r="P1" s="5" t="s">
        <v>44</v>
      </c>
      <c r="Q1" s="5" t="s">
        <v>45</v>
      </c>
      <c r="R1" s="5" t="s">
        <v>46</v>
      </c>
      <c r="S1" s="5" t="s">
        <v>47</v>
      </c>
      <c r="T1" s="5" t="s">
        <v>48</v>
      </c>
      <c r="U1" s="5" t="s">
        <v>49</v>
      </c>
    </row>
    <row r="2" customFormat="false" ht="14.25" hidden="false" customHeight="true" outlineLevel="0" collapsed="false">
      <c r="A2" s="6" t="s">
        <v>72</v>
      </c>
      <c r="B2" s="6" t="s">
        <v>532</v>
      </c>
      <c r="C2" s="7" t="n">
        <v>5</v>
      </c>
      <c r="D2" s="9" t="s">
        <v>533</v>
      </c>
      <c r="E2" s="7" t="n">
        <v>57</v>
      </c>
      <c r="F2" s="7" t="n">
        <v>187</v>
      </c>
      <c r="G2" s="7" t="n">
        <v>87</v>
      </c>
      <c r="H2" s="7" t="n">
        <v>92</v>
      </c>
      <c r="I2" s="7" t="n">
        <v>10</v>
      </c>
      <c r="J2" s="7" t="n">
        <v>0</v>
      </c>
      <c r="K2" s="7" t="n">
        <v>43</v>
      </c>
      <c r="L2" s="7" t="n">
        <v>53</v>
      </c>
      <c r="M2" s="7" t="n">
        <v>231</v>
      </c>
      <c r="N2" s="7" t="n">
        <v>97</v>
      </c>
      <c r="O2" s="7" t="n">
        <v>22</v>
      </c>
      <c r="P2" s="7" t="n">
        <v>6</v>
      </c>
      <c r="Q2" s="8" t="n">
        <f aca="false">IF(F2=0,0,H2/F2)</f>
        <v>0.491978609625669</v>
      </c>
      <c r="R2" s="8" t="n">
        <f aca="false">IF(F2+O2=0,0,(H2+O2)/(F2+O2))</f>
        <v>0.545454545454545</v>
      </c>
      <c r="S2" s="8" t="n">
        <f aca="false">IF(F2=0,0,M2/F2)</f>
        <v>1.23529411764706</v>
      </c>
      <c r="T2" s="8" t="n">
        <f aca="false">S2+R2</f>
        <v>1.7807486631016</v>
      </c>
      <c r="U2" s="8" t="n">
        <f aca="false">S2-Q2</f>
        <v>0.743315508021391</v>
      </c>
    </row>
    <row r="3" customFormat="false" ht="14.25" hidden="false" customHeight="true" outlineLevel="0" collapsed="false">
      <c r="A3" s="6" t="s">
        <v>148</v>
      </c>
      <c r="B3" s="6" t="s">
        <v>147</v>
      </c>
      <c r="C3" s="7" t="n">
        <v>8</v>
      </c>
      <c r="D3" s="7" t="s">
        <v>534</v>
      </c>
      <c r="E3" s="7" t="n">
        <v>91</v>
      </c>
      <c r="F3" s="7" t="n">
        <v>257</v>
      </c>
      <c r="G3" s="7" t="n">
        <v>101</v>
      </c>
      <c r="H3" s="7" t="n">
        <v>101</v>
      </c>
      <c r="I3" s="7" t="n">
        <v>11</v>
      </c>
      <c r="J3" s="7" t="n">
        <v>1</v>
      </c>
      <c r="K3" s="7" t="n">
        <v>42</v>
      </c>
      <c r="L3" s="7" t="n">
        <v>54</v>
      </c>
      <c r="M3" s="7" t="n">
        <v>240</v>
      </c>
      <c r="N3" s="7" t="n">
        <v>104</v>
      </c>
      <c r="O3" s="7" t="n">
        <v>59</v>
      </c>
      <c r="P3" s="7" t="n">
        <v>17</v>
      </c>
      <c r="Q3" s="8" t="n">
        <f aca="false">IF(F3=0,0,H3/F3)</f>
        <v>0.392996108949416</v>
      </c>
      <c r="R3" s="8" t="n">
        <f aca="false">IF(F3+O3=0,0,(H3+O3)/(F3+O3))</f>
        <v>0.506329113924051</v>
      </c>
      <c r="S3" s="8" t="n">
        <f aca="false">IF(F3=0,0,M3/F3)</f>
        <v>0.933852140077821</v>
      </c>
      <c r="T3" s="8" t="n">
        <f aca="false">S3+R3</f>
        <v>1.44018125400187</v>
      </c>
      <c r="U3" s="8" t="n">
        <f aca="false">S3-Q3</f>
        <v>0.540856031128405</v>
      </c>
    </row>
    <row r="4" customFormat="false" ht="14.25" hidden="false" customHeight="true" outlineLevel="0" collapsed="false">
      <c r="A4" s="6" t="s">
        <v>151</v>
      </c>
      <c r="B4" s="6" t="s">
        <v>147</v>
      </c>
      <c r="C4" s="7" t="n">
        <v>8</v>
      </c>
      <c r="D4" s="7" t="s">
        <v>534</v>
      </c>
      <c r="E4" s="7" t="n">
        <v>92</v>
      </c>
      <c r="F4" s="7" t="n">
        <v>234</v>
      </c>
      <c r="G4" s="7" t="n">
        <v>116</v>
      </c>
      <c r="H4" s="7" t="n">
        <v>94</v>
      </c>
      <c r="I4" s="7" t="n">
        <v>17</v>
      </c>
      <c r="J4" s="7" t="n">
        <v>0</v>
      </c>
      <c r="K4" s="7" t="n">
        <v>35</v>
      </c>
      <c r="L4" s="7" t="n">
        <v>52</v>
      </c>
      <c r="M4" s="7" t="n">
        <v>216</v>
      </c>
      <c r="N4" s="7" t="n">
        <v>89</v>
      </c>
      <c r="O4" s="7" t="n">
        <v>90</v>
      </c>
      <c r="P4" s="7" t="n">
        <v>11</v>
      </c>
      <c r="Q4" s="8" t="n">
        <f aca="false">IF(F4=0,0,H4/F4)</f>
        <v>0.401709401709402</v>
      </c>
      <c r="R4" s="8" t="n">
        <f aca="false">IF(F4+O4=0,0,(H4+O4)/(F4+O4))</f>
        <v>0.567901234567901</v>
      </c>
      <c r="S4" s="8" t="n">
        <f aca="false">IF(F4=0,0,M4/F4)</f>
        <v>0.923076923076923</v>
      </c>
      <c r="T4" s="8" t="n">
        <f aca="false">S4+R4</f>
        <v>1.49097815764482</v>
      </c>
      <c r="U4" s="8" t="n">
        <f aca="false">S4-Q4</f>
        <v>0.521367521367521</v>
      </c>
    </row>
    <row r="5" customFormat="false" ht="14.25" hidden="false" customHeight="true" outlineLevel="0" collapsed="false">
      <c r="A5" s="6" t="s">
        <v>178</v>
      </c>
      <c r="B5" s="6" t="s">
        <v>535</v>
      </c>
      <c r="C5" s="7" t="n">
        <v>8</v>
      </c>
      <c r="D5" s="7" t="s">
        <v>534</v>
      </c>
      <c r="E5" s="7" t="n">
        <v>87</v>
      </c>
      <c r="F5" s="7" t="n">
        <v>246</v>
      </c>
      <c r="G5" s="7" t="n">
        <v>85</v>
      </c>
      <c r="H5" s="7" t="n">
        <v>85</v>
      </c>
      <c r="I5" s="7" t="n">
        <v>10</v>
      </c>
      <c r="J5" s="7" t="n">
        <v>1</v>
      </c>
      <c r="K5" s="7" t="n">
        <v>34</v>
      </c>
      <c r="L5" s="7" t="n">
        <v>45</v>
      </c>
      <c r="M5" s="7" t="n">
        <v>199</v>
      </c>
      <c r="N5" s="7" t="n">
        <v>70</v>
      </c>
      <c r="O5" s="7" t="n">
        <v>68</v>
      </c>
      <c r="P5" s="7" t="n">
        <v>6</v>
      </c>
      <c r="Q5" s="8" t="n">
        <f aca="false">IF(F5=0,0,H5/F5)</f>
        <v>0.345528455284553</v>
      </c>
      <c r="R5" s="8" t="n">
        <f aca="false">IF(F5+O5=0,0,(H5+O5)/(F5+O5))</f>
        <v>0.487261146496815</v>
      </c>
      <c r="S5" s="8" t="n">
        <f aca="false">IF(F5=0,0,M5/F5)</f>
        <v>0.808943089430894</v>
      </c>
      <c r="T5" s="8" t="n">
        <f aca="false">S5+R5</f>
        <v>1.29620423592771</v>
      </c>
      <c r="U5" s="8" t="n">
        <f aca="false">S5-Q5</f>
        <v>0.463414634146342</v>
      </c>
    </row>
    <row r="6" customFormat="false" ht="14.25" hidden="false" customHeight="true" outlineLevel="0" collapsed="false">
      <c r="A6" s="6" t="s">
        <v>51</v>
      </c>
      <c r="B6" s="6" t="s">
        <v>50</v>
      </c>
      <c r="C6" s="7" t="n">
        <v>8</v>
      </c>
      <c r="D6" s="7" t="s">
        <v>534</v>
      </c>
      <c r="E6" s="7" t="n">
        <v>72</v>
      </c>
      <c r="F6" s="7" t="n">
        <v>214</v>
      </c>
      <c r="G6" s="7" t="n">
        <v>83</v>
      </c>
      <c r="H6" s="7" t="n">
        <v>93</v>
      </c>
      <c r="I6" s="7" t="n">
        <v>13</v>
      </c>
      <c r="J6" s="7" t="n">
        <v>0</v>
      </c>
      <c r="K6" s="7" t="n">
        <v>36</v>
      </c>
      <c r="L6" s="7" t="n">
        <v>49</v>
      </c>
      <c r="M6" s="7" t="n">
        <v>214</v>
      </c>
      <c r="N6" s="7" t="n">
        <v>89</v>
      </c>
      <c r="O6" s="7" t="n">
        <v>39</v>
      </c>
      <c r="P6" s="7" t="n">
        <v>2</v>
      </c>
      <c r="Q6" s="8" t="n">
        <f aca="false">IF(F6=0,0,H6/F6)</f>
        <v>0.434579439252336</v>
      </c>
      <c r="R6" s="8" t="n">
        <f aca="false">IF(F6+O6=0,0,(H6+O6)/(F6+O6))</f>
        <v>0.521739130434783</v>
      </c>
      <c r="S6" s="8" t="n">
        <f aca="false">IF(F6=0,0,M6/F6)</f>
        <v>1</v>
      </c>
      <c r="T6" s="8" t="n">
        <f aca="false">S6+R6</f>
        <v>1.52173913043478</v>
      </c>
      <c r="U6" s="8" t="n">
        <f aca="false">S6-Q6</f>
        <v>0.565420560747664</v>
      </c>
    </row>
    <row r="7" customFormat="false" ht="14.25" hidden="false" customHeight="true" outlineLevel="0" collapsed="false">
      <c r="A7" s="6" t="s">
        <v>73</v>
      </c>
      <c r="B7" s="6" t="s">
        <v>71</v>
      </c>
      <c r="C7" s="7" t="n">
        <v>8</v>
      </c>
      <c r="D7" s="7" t="s">
        <v>534</v>
      </c>
      <c r="E7" s="7" t="n">
        <v>78</v>
      </c>
      <c r="F7" s="7" t="n">
        <v>228</v>
      </c>
      <c r="G7" s="7" t="n">
        <v>97</v>
      </c>
      <c r="H7" s="7" t="n">
        <v>101</v>
      </c>
      <c r="I7" s="7" t="n">
        <v>25</v>
      </c>
      <c r="J7" s="7" t="n">
        <v>2</v>
      </c>
      <c r="K7" s="7" t="n">
        <v>28</v>
      </c>
      <c r="L7" s="7" t="n">
        <v>55</v>
      </c>
      <c r="M7" s="7" t="n">
        <v>214</v>
      </c>
      <c r="N7" s="7" t="n">
        <v>83</v>
      </c>
      <c r="O7" s="7" t="n">
        <v>51</v>
      </c>
      <c r="P7" s="7" t="n">
        <v>4</v>
      </c>
      <c r="Q7" s="8" t="n">
        <f aca="false">IF(F7=0,0,H7/F7)</f>
        <v>0.442982456140351</v>
      </c>
      <c r="R7" s="8" t="n">
        <f aca="false">IF(F7+O7=0,0,(H7+O7)/(F7+O7))</f>
        <v>0.544802867383513</v>
      </c>
      <c r="S7" s="8" t="n">
        <f aca="false">IF(F7=0,0,M7/F7)</f>
        <v>0.93859649122807</v>
      </c>
      <c r="T7" s="8" t="n">
        <f aca="false">S7+R7</f>
        <v>1.48339935861158</v>
      </c>
      <c r="U7" s="8" t="n">
        <f aca="false">S7-Q7</f>
        <v>0.495614035087719</v>
      </c>
    </row>
    <row r="8" customFormat="false" ht="14.25" hidden="false" customHeight="true" outlineLevel="0" collapsed="false">
      <c r="A8" s="6" t="s">
        <v>149</v>
      </c>
      <c r="B8" s="6" t="s">
        <v>147</v>
      </c>
      <c r="C8" s="7" t="n">
        <v>8</v>
      </c>
      <c r="D8" s="7" t="s">
        <v>534</v>
      </c>
      <c r="E8" s="7" t="n">
        <v>84</v>
      </c>
      <c r="F8" s="7" t="n">
        <v>280</v>
      </c>
      <c r="G8" s="7" t="n">
        <v>77</v>
      </c>
      <c r="H8" s="7" t="n">
        <v>99</v>
      </c>
      <c r="I8" s="7" t="n">
        <v>8</v>
      </c>
      <c r="J8" s="7" t="n">
        <v>0</v>
      </c>
      <c r="K8" s="7" t="n">
        <v>24</v>
      </c>
      <c r="L8" s="7" t="n">
        <v>32</v>
      </c>
      <c r="M8" s="7" t="n">
        <v>179</v>
      </c>
      <c r="N8" s="7" t="n">
        <v>80</v>
      </c>
      <c r="O8" s="7" t="n">
        <v>14</v>
      </c>
      <c r="P8" s="7" t="n">
        <v>11</v>
      </c>
      <c r="Q8" s="8" t="n">
        <f aca="false">IF(F8=0,0,H8/F8)</f>
        <v>0.353571428571429</v>
      </c>
      <c r="R8" s="8" t="n">
        <f aca="false">IF(F8+O8=0,0,(H8+O8)/(F8+O8))</f>
        <v>0.384353741496599</v>
      </c>
      <c r="S8" s="8" t="n">
        <f aca="false">IF(F8=0,0,M8/F8)</f>
        <v>0.639285714285714</v>
      </c>
      <c r="T8" s="8" t="n">
        <f aca="false">S8+R8</f>
        <v>1.02363945578231</v>
      </c>
      <c r="U8" s="8" t="n">
        <f aca="false">S8-Q8</f>
        <v>0.285714285714286</v>
      </c>
    </row>
    <row r="9" customFormat="false" ht="14.25" hidden="false" customHeight="true" outlineLevel="0" collapsed="false">
      <c r="A9" s="6" t="s">
        <v>196</v>
      </c>
      <c r="B9" s="6" t="s">
        <v>192</v>
      </c>
      <c r="C9" s="7" t="n">
        <v>8</v>
      </c>
      <c r="D9" s="7" t="s">
        <v>534</v>
      </c>
      <c r="E9" s="7" t="n">
        <v>79</v>
      </c>
      <c r="F9" s="7" t="n">
        <v>228</v>
      </c>
      <c r="G9" s="7" t="n">
        <v>69</v>
      </c>
      <c r="H9" s="7" t="n">
        <v>82</v>
      </c>
      <c r="I9" s="7" t="n">
        <v>5</v>
      </c>
      <c r="J9" s="7" t="n">
        <v>0</v>
      </c>
      <c r="K9" s="7" t="n">
        <v>26</v>
      </c>
      <c r="L9" s="7" t="n">
        <v>31</v>
      </c>
      <c r="M9" s="7" t="n">
        <v>165</v>
      </c>
      <c r="N9" s="7" t="n">
        <v>70</v>
      </c>
      <c r="O9" s="7" t="n">
        <v>51</v>
      </c>
      <c r="P9" s="7" t="n">
        <v>10</v>
      </c>
      <c r="Q9" s="8" t="n">
        <f aca="false">IF(F9=0,0,H9/F9)</f>
        <v>0.359649122807018</v>
      </c>
      <c r="R9" s="8" t="n">
        <f aca="false">IF(F9+O9=0,0,(H9+O9)/(F9+O9))</f>
        <v>0.476702508960574</v>
      </c>
      <c r="S9" s="8" t="n">
        <f aca="false">IF(F9=0,0,M9/F9)</f>
        <v>0.723684210526316</v>
      </c>
      <c r="T9" s="8" t="n">
        <f aca="false">S9+R9</f>
        <v>1.20038671948689</v>
      </c>
      <c r="U9" s="8" t="n">
        <f aca="false">S9-Q9</f>
        <v>0.364035087719298</v>
      </c>
    </row>
    <row r="10" customFormat="false" ht="14.25" hidden="false" customHeight="true" outlineLevel="0" collapsed="false">
      <c r="A10" s="6" t="s">
        <v>175</v>
      </c>
      <c r="B10" s="6" t="s">
        <v>166</v>
      </c>
      <c r="C10" s="7" t="n">
        <v>8</v>
      </c>
      <c r="D10" s="7" t="s">
        <v>534</v>
      </c>
      <c r="E10" s="7" t="n">
        <v>60</v>
      </c>
      <c r="F10" s="7" t="n">
        <v>186</v>
      </c>
      <c r="G10" s="7" t="n">
        <v>50</v>
      </c>
      <c r="H10" s="7" t="n">
        <v>65</v>
      </c>
      <c r="I10" s="7" t="n">
        <v>3</v>
      </c>
      <c r="J10" s="7" t="n">
        <v>0</v>
      </c>
      <c r="K10" s="7" t="n">
        <v>23</v>
      </c>
      <c r="L10" s="7" t="n">
        <v>26</v>
      </c>
      <c r="M10" s="7" t="n">
        <v>137</v>
      </c>
      <c r="N10" s="7" t="n">
        <v>56</v>
      </c>
      <c r="O10" s="7" t="n">
        <v>15</v>
      </c>
      <c r="P10" s="7" t="n">
        <v>7</v>
      </c>
      <c r="Q10" s="8" t="n">
        <f aca="false">IF(F10=0,0,H10/F10)</f>
        <v>0.349462365591398</v>
      </c>
      <c r="R10" s="8" t="n">
        <f aca="false">IF(F10+O10=0,0,(H10+O10)/(F10+O10))</f>
        <v>0.398009950248756</v>
      </c>
      <c r="S10" s="8" t="n">
        <f aca="false">IF(F10=0,0,M10/F10)</f>
        <v>0.736559139784946</v>
      </c>
      <c r="T10" s="8" t="n">
        <f aca="false">S10+R10</f>
        <v>1.1345690900337</v>
      </c>
      <c r="U10" s="8" t="n">
        <f aca="false">S10-Q10</f>
        <v>0.387096774193548</v>
      </c>
    </row>
    <row r="11" customFormat="false" ht="14.25" hidden="false" customHeight="true" outlineLevel="0" collapsed="false">
      <c r="A11" s="6" t="s">
        <v>81</v>
      </c>
      <c r="B11" s="6" t="s">
        <v>71</v>
      </c>
      <c r="C11" s="7" t="n">
        <v>8</v>
      </c>
      <c r="D11" s="7" t="s">
        <v>534</v>
      </c>
      <c r="E11" s="7" t="n">
        <v>62</v>
      </c>
      <c r="F11" s="7" t="n">
        <v>189</v>
      </c>
      <c r="G11" s="7" t="n">
        <v>52</v>
      </c>
      <c r="H11" s="7" t="n">
        <v>74</v>
      </c>
      <c r="I11" s="7" t="n">
        <v>3</v>
      </c>
      <c r="J11" s="7" t="n">
        <v>0</v>
      </c>
      <c r="K11" s="7" t="n">
        <v>23</v>
      </c>
      <c r="L11" s="7" t="n">
        <v>26</v>
      </c>
      <c r="M11" s="7" t="n">
        <v>146</v>
      </c>
      <c r="N11" s="7" t="n">
        <v>72</v>
      </c>
      <c r="O11" s="7" t="n">
        <v>24</v>
      </c>
      <c r="P11" s="7" t="n">
        <v>3</v>
      </c>
      <c r="Q11" s="8" t="n">
        <f aca="false">IF(F11=0,0,H11/F11)</f>
        <v>0.391534391534392</v>
      </c>
      <c r="R11" s="8" t="n">
        <f aca="false">IF(F11+O11=0,0,(H11+O11)/(F11+O11))</f>
        <v>0.460093896713615</v>
      </c>
      <c r="S11" s="8" t="n">
        <f aca="false">IF(F11=0,0,M11/F11)</f>
        <v>0.772486772486772</v>
      </c>
      <c r="T11" s="8" t="n">
        <f aca="false">S11+R11</f>
        <v>1.23258066920039</v>
      </c>
      <c r="U11" s="8" t="n">
        <f aca="false">S11-Q11</f>
        <v>0.380952380952381</v>
      </c>
    </row>
    <row r="12" customFormat="false" ht="14.25" hidden="false" customHeight="true" outlineLevel="0" collapsed="false">
      <c r="A12" s="6" t="s">
        <v>155</v>
      </c>
      <c r="B12" s="6" t="s">
        <v>147</v>
      </c>
      <c r="C12" s="7" t="n">
        <v>8</v>
      </c>
      <c r="D12" s="7" t="s">
        <v>534</v>
      </c>
      <c r="E12" s="7" t="n">
        <v>97</v>
      </c>
      <c r="F12" s="7" t="n">
        <v>264</v>
      </c>
      <c r="G12" s="7" t="n">
        <v>75</v>
      </c>
      <c r="H12" s="7" t="n">
        <v>67</v>
      </c>
      <c r="I12" s="7" t="n">
        <v>7</v>
      </c>
      <c r="J12" s="7" t="n">
        <v>0</v>
      </c>
      <c r="K12" s="7" t="n">
        <v>22</v>
      </c>
      <c r="L12" s="7" t="n">
        <v>29</v>
      </c>
      <c r="M12" s="7" t="n">
        <v>140</v>
      </c>
      <c r="N12" s="7" t="n">
        <v>76</v>
      </c>
      <c r="O12" s="7" t="n">
        <v>61</v>
      </c>
      <c r="P12" s="7" t="n">
        <v>21</v>
      </c>
      <c r="Q12" s="8" t="n">
        <f aca="false">IF(F12=0,0,H12/F12)</f>
        <v>0.253787878787879</v>
      </c>
      <c r="R12" s="8" t="n">
        <f aca="false">IF(F12+O12=0,0,(H12+O12)/(F12+O12))</f>
        <v>0.393846153846154</v>
      </c>
      <c r="S12" s="8" t="n">
        <f aca="false">IF(F12=0,0,M12/F12)</f>
        <v>0.53030303030303</v>
      </c>
      <c r="T12" s="8" t="n">
        <f aca="false">S12+R12</f>
        <v>0.924149184149184</v>
      </c>
      <c r="U12" s="8" t="n">
        <f aca="false">S12-Q12</f>
        <v>0.276515151515152</v>
      </c>
    </row>
    <row r="13" customFormat="false" ht="14.25" hidden="false" customHeight="true" outlineLevel="0" collapsed="false">
      <c r="A13" s="6" t="s">
        <v>52</v>
      </c>
      <c r="B13" s="6" t="s">
        <v>50</v>
      </c>
      <c r="C13" s="7" t="n">
        <v>8</v>
      </c>
      <c r="D13" s="7" t="s">
        <v>534</v>
      </c>
      <c r="E13" s="7" t="n">
        <v>87</v>
      </c>
      <c r="F13" s="7" t="n">
        <v>251</v>
      </c>
      <c r="G13" s="7" t="n">
        <v>59</v>
      </c>
      <c r="H13" s="7" t="n">
        <v>87</v>
      </c>
      <c r="I13" s="7" t="n">
        <v>9</v>
      </c>
      <c r="J13" s="7" t="n">
        <v>0</v>
      </c>
      <c r="K13" s="7" t="n">
        <v>21</v>
      </c>
      <c r="L13" s="7" t="n">
        <v>30</v>
      </c>
      <c r="M13" s="7" t="n">
        <v>159</v>
      </c>
      <c r="N13" s="7" t="n">
        <v>76</v>
      </c>
      <c r="O13" s="7" t="n">
        <v>36</v>
      </c>
      <c r="P13" s="7" t="n">
        <v>11</v>
      </c>
      <c r="Q13" s="8" t="n">
        <f aca="false">IF(F13=0,0,H13/F13)</f>
        <v>0.346613545816733</v>
      </c>
      <c r="R13" s="8" t="n">
        <f aca="false">IF(F13+O13=0,0,(H13+O13)/(F13+O13))</f>
        <v>0.428571428571429</v>
      </c>
      <c r="S13" s="8" t="n">
        <f aca="false">IF(F13=0,0,M13/F13)</f>
        <v>0.633466135458167</v>
      </c>
      <c r="T13" s="8" t="n">
        <f aca="false">S13+R13</f>
        <v>1.0620375640296</v>
      </c>
      <c r="U13" s="8" t="n">
        <f aca="false">S13-Q13</f>
        <v>0.286852589641434</v>
      </c>
    </row>
    <row r="14" customFormat="false" ht="14.25" hidden="false" customHeight="true" outlineLevel="0" collapsed="false">
      <c r="A14" s="6" t="s">
        <v>64</v>
      </c>
      <c r="B14" s="6" t="s">
        <v>50</v>
      </c>
      <c r="C14" s="7" t="n">
        <v>8</v>
      </c>
      <c r="D14" s="7" t="s">
        <v>534</v>
      </c>
      <c r="E14" s="7" t="n">
        <v>73</v>
      </c>
      <c r="F14" s="7" t="n">
        <v>188</v>
      </c>
      <c r="G14" s="7" t="n">
        <v>48</v>
      </c>
      <c r="H14" s="7" t="n">
        <v>61</v>
      </c>
      <c r="I14" s="7" t="n">
        <v>5</v>
      </c>
      <c r="J14" s="7" t="n">
        <v>0</v>
      </c>
      <c r="K14" s="7" t="n">
        <v>18</v>
      </c>
      <c r="L14" s="7" t="n">
        <v>23</v>
      </c>
      <c r="M14" s="7" t="n">
        <v>120</v>
      </c>
      <c r="N14" s="7" t="n">
        <v>62</v>
      </c>
      <c r="O14" s="7" t="n">
        <v>39</v>
      </c>
      <c r="P14" s="7" t="n">
        <v>7</v>
      </c>
      <c r="Q14" s="8" t="n">
        <f aca="false">IF(F14=0,0,H14/F14)</f>
        <v>0.324468085106383</v>
      </c>
      <c r="R14" s="8" t="n">
        <f aca="false">IF(F14+O14=0,0,(H14+O14)/(F14+O14))</f>
        <v>0.440528634361233</v>
      </c>
      <c r="S14" s="8" t="n">
        <f aca="false">IF(F14=0,0,M14/F14)</f>
        <v>0.638297872340426</v>
      </c>
      <c r="T14" s="8" t="n">
        <f aca="false">S14+R14</f>
        <v>1.07882650670166</v>
      </c>
      <c r="U14" s="8" t="n">
        <f aca="false">S14-Q14</f>
        <v>0.313829787234043</v>
      </c>
    </row>
    <row r="15" customFormat="false" ht="14.25" hidden="false" customHeight="true" outlineLevel="0" collapsed="false">
      <c r="A15" s="6" t="s">
        <v>172</v>
      </c>
      <c r="B15" s="6" t="s">
        <v>535</v>
      </c>
      <c r="C15" s="7" t="n">
        <v>8</v>
      </c>
      <c r="D15" s="7" t="s">
        <v>534</v>
      </c>
      <c r="E15" s="7" t="n">
        <v>80</v>
      </c>
      <c r="F15" s="7" t="n">
        <v>244</v>
      </c>
      <c r="G15" s="7" t="n">
        <v>65</v>
      </c>
      <c r="H15" s="7" t="n">
        <v>89</v>
      </c>
      <c r="I15" s="7" t="n">
        <v>27</v>
      </c>
      <c r="J15" s="7" t="n">
        <v>0</v>
      </c>
      <c r="K15" s="7" t="n">
        <v>18</v>
      </c>
      <c r="L15" s="7" t="n">
        <v>45</v>
      </c>
      <c r="M15" s="7" t="n">
        <v>170</v>
      </c>
      <c r="N15" s="7" t="n">
        <v>53</v>
      </c>
      <c r="O15" s="7" t="n">
        <v>30</v>
      </c>
      <c r="P15" s="7" t="n">
        <v>7</v>
      </c>
      <c r="Q15" s="8" t="n">
        <f aca="false">IF(F15=0,0,H15/F15)</f>
        <v>0.364754098360656</v>
      </c>
      <c r="R15" s="8" t="n">
        <f aca="false">IF(F15+O15=0,0,(H15+O15)/(F15+O15))</f>
        <v>0.434306569343066</v>
      </c>
      <c r="S15" s="8" t="n">
        <f aca="false">IF(F15=0,0,M15/F15)</f>
        <v>0.69672131147541</v>
      </c>
      <c r="T15" s="8" t="n">
        <f aca="false">S15+R15</f>
        <v>1.13102788081848</v>
      </c>
      <c r="U15" s="8" t="n">
        <f aca="false">S15-Q15</f>
        <v>0.331967213114754</v>
      </c>
    </row>
    <row r="16" customFormat="false" ht="14.25" hidden="false" customHeight="true" outlineLevel="0" collapsed="false">
      <c r="A16" s="6" t="s">
        <v>215</v>
      </c>
      <c r="B16" s="6" t="s">
        <v>212</v>
      </c>
      <c r="C16" s="7" t="n">
        <v>7</v>
      </c>
      <c r="D16" s="7" t="s">
        <v>536</v>
      </c>
      <c r="E16" s="7" t="n">
        <v>49</v>
      </c>
      <c r="F16" s="7" t="n">
        <v>142</v>
      </c>
      <c r="G16" s="7" t="n">
        <v>26</v>
      </c>
      <c r="H16" s="7" t="n">
        <v>45</v>
      </c>
      <c r="I16" s="7" t="n">
        <v>4</v>
      </c>
      <c r="J16" s="7" t="n">
        <v>0</v>
      </c>
      <c r="K16" s="7" t="n">
        <v>17</v>
      </c>
      <c r="L16" s="7" t="n">
        <v>21</v>
      </c>
      <c r="M16" s="7" t="n">
        <v>100</v>
      </c>
      <c r="N16" s="7" t="n">
        <v>42</v>
      </c>
      <c r="O16" s="7" t="n">
        <v>13</v>
      </c>
      <c r="P16" s="7" t="n">
        <v>13</v>
      </c>
      <c r="Q16" s="8" t="n">
        <f aca="false">IF(F16=0,0,H16/F16)</f>
        <v>0.316901408450704</v>
      </c>
      <c r="R16" s="8" t="n">
        <f aca="false">IF(F16+O16=0,0,(H16+O16)/(F16+O16))</f>
        <v>0.374193548387097</v>
      </c>
      <c r="S16" s="8" t="n">
        <f aca="false">IF(F16=0,0,M16/F16)</f>
        <v>0.704225352112676</v>
      </c>
      <c r="T16" s="8" t="n">
        <f aca="false">S16+R16</f>
        <v>1.07841890049977</v>
      </c>
      <c r="U16" s="8" t="n">
        <f aca="false">S16-Q16</f>
        <v>0.387323943661972</v>
      </c>
    </row>
    <row r="17" customFormat="false" ht="14.25" hidden="false" customHeight="true" outlineLevel="0" collapsed="false">
      <c r="A17" s="6" t="s">
        <v>168</v>
      </c>
      <c r="B17" s="6" t="s">
        <v>166</v>
      </c>
      <c r="C17" s="7" t="n">
        <v>4</v>
      </c>
      <c r="D17" s="7" t="s">
        <v>537</v>
      </c>
      <c r="E17" s="7" t="n">
        <v>48</v>
      </c>
      <c r="F17" s="7" t="n">
        <v>138</v>
      </c>
      <c r="G17" s="7" t="n">
        <v>46</v>
      </c>
      <c r="H17" s="7" t="n">
        <v>54</v>
      </c>
      <c r="I17" s="7" t="n">
        <v>8</v>
      </c>
      <c r="J17" s="7" t="n">
        <v>0</v>
      </c>
      <c r="K17" s="7" t="n">
        <v>21</v>
      </c>
      <c r="L17" s="7" t="n">
        <v>29</v>
      </c>
      <c r="M17" s="7" t="n">
        <v>125</v>
      </c>
      <c r="N17" s="7" t="n">
        <v>57</v>
      </c>
      <c r="O17" s="7" t="n">
        <v>24</v>
      </c>
      <c r="P17" s="7" t="n">
        <v>1</v>
      </c>
      <c r="Q17" s="8" t="n">
        <f aca="false">IF(F17=0,0,H17/F17)</f>
        <v>0.391304347826087</v>
      </c>
      <c r="R17" s="8" t="n">
        <f aca="false">IF(F17+O17=0,0,(H17+O17)/(F17+O17))</f>
        <v>0.481481481481481</v>
      </c>
      <c r="S17" s="8" t="n">
        <f aca="false">IF(F17=0,0,M17/F17)</f>
        <v>0.905797101449275</v>
      </c>
      <c r="T17" s="8" t="n">
        <f aca="false">S17+R17</f>
        <v>1.38727858293076</v>
      </c>
      <c r="U17" s="8" t="n">
        <f aca="false">S17-Q17</f>
        <v>0.514492753623189</v>
      </c>
    </row>
    <row r="18" customFormat="false" ht="14.25" hidden="false" customHeight="true" outlineLevel="0" collapsed="false">
      <c r="A18" s="6" t="s">
        <v>86</v>
      </c>
      <c r="B18" s="6" t="s">
        <v>538</v>
      </c>
      <c r="C18" s="7" t="n">
        <v>5</v>
      </c>
      <c r="D18" s="9" t="s">
        <v>539</v>
      </c>
      <c r="E18" s="7" t="n">
        <v>33</v>
      </c>
      <c r="F18" s="7" t="n">
        <v>95</v>
      </c>
      <c r="G18" s="7" t="n">
        <v>40</v>
      </c>
      <c r="H18" s="7" t="n">
        <v>42</v>
      </c>
      <c r="I18" s="7" t="n">
        <v>9</v>
      </c>
      <c r="J18" s="7" t="n">
        <v>0</v>
      </c>
      <c r="K18" s="7" t="n">
        <v>16</v>
      </c>
      <c r="L18" s="7" t="n">
        <v>25</v>
      </c>
      <c r="M18" s="7" t="n">
        <v>99</v>
      </c>
      <c r="N18" s="7" t="n">
        <v>39</v>
      </c>
      <c r="O18" s="7" t="n">
        <v>18</v>
      </c>
      <c r="P18" s="7" t="n">
        <v>4</v>
      </c>
      <c r="Q18" s="8" t="n">
        <f aca="false">IF(F18=0,0,H18/F18)</f>
        <v>0.442105263157895</v>
      </c>
      <c r="R18" s="8" t="n">
        <f aca="false">IF(F18+O18=0,0,(H18+O18)/(F18+O18))</f>
        <v>0.530973451327434</v>
      </c>
      <c r="S18" s="8" t="n">
        <f aca="false">IF(F18=0,0,M18/F18)</f>
        <v>1.04210526315789</v>
      </c>
      <c r="T18" s="8" t="n">
        <f aca="false">S18+R18</f>
        <v>1.57307871448533</v>
      </c>
      <c r="U18" s="8" t="n">
        <f aca="false">S18-Q18</f>
        <v>0.6</v>
      </c>
    </row>
    <row r="19" customFormat="false" ht="14.25" hidden="false" customHeight="true" outlineLevel="0" collapsed="false">
      <c r="A19" s="6" t="s">
        <v>75</v>
      </c>
      <c r="B19" s="6" t="s">
        <v>540</v>
      </c>
      <c r="C19" s="7" t="n">
        <v>5</v>
      </c>
      <c r="D19" s="9" t="s">
        <v>533</v>
      </c>
      <c r="E19" s="7" t="n">
        <v>34</v>
      </c>
      <c r="F19" s="7" t="n">
        <v>111</v>
      </c>
      <c r="G19" s="7" t="n">
        <v>43</v>
      </c>
      <c r="H19" s="7" t="n">
        <v>49</v>
      </c>
      <c r="I19" s="7" t="n">
        <v>10</v>
      </c>
      <c r="J19" s="7" t="n">
        <v>0</v>
      </c>
      <c r="K19" s="7" t="n">
        <v>17</v>
      </c>
      <c r="L19" s="7" t="n">
        <v>27</v>
      </c>
      <c r="M19" s="7" t="n">
        <v>110</v>
      </c>
      <c r="N19" s="7" t="n">
        <v>41</v>
      </c>
      <c r="O19" s="7" t="n">
        <v>14</v>
      </c>
      <c r="P19" s="7" t="n">
        <v>2</v>
      </c>
      <c r="Q19" s="8" t="n">
        <f aca="false">IF(F19=0,0,H19/F19)</f>
        <v>0.441441441441441</v>
      </c>
      <c r="R19" s="8" t="n">
        <f aca="false">IF(F19+O19=0,0,(H19+O19)/(F19+O19))</f>
        <v>0.504</v>
      </c>
      <c r="S19" s="8" t="n">
        <f aca="false">IF(F19=0,0,M19/F19)</f>
        <v>0.990990990990991</v>
      </c>
      <c r="T19" s="8" t="n">
        <f aca="false">S19+R19</f>
        <v>1.49499099099099</v>
      </c>
      <c r="U19" s="8" t="n">
        <f aca="false">S19-Q19</f>
        <v>0.54954954954955</v>
      </c>
    </row>
    <row r="20" customFormat="false" ht="14.25" hidden="false" customHeight="true" outlineLevel="0" collapsed="false">
      <c r="A20" s="6" t="s">
        <v>123</v>
      </c>
      <c r="B20" s="6" t="s">
        <v>121</v>
      </c>
      <c r="C20" s="7" t="n">
        <v>7</v>
      </c>
      <c r="D20" s="7" t="s">
        <v>536</v>
      </c>
      <c r="E20" s="7" t="n">
        <v>58</v>
      </c>
      <c r="F20" s="7" t="n">
        <v>198</v>
      </c>
      <c r="G20" s="7" t="n">
        <v>55</v>
      </c>
      <c r="H20" s="7" t="n">
        <v>77</v>
      </c>
      <c r="I20" s="7" t="n">
        <v>13</v>
      </c>
      <c r="J20" s="7" t="n">
        <v>0</v>
      </c>
      <c r="K20" s="7" t="n">
        <v>18</v>
      </c>
      <c r="L20" s="7" t="n">
        <v>31</v>
      </c>
      <c r="M20" s="7" t="n">
        <v>144</v>
      </c>
      <c r="N20" s="7" t="n">
        <v>55</v>
      </c>
      <c r="O20" s="7" t="n">
        <v>14</v>
      </c>
      <c r="P20" s="7" t="n">
        <v>6</v>
      </c>
      <c r="Q20" s="8" t="n">
        <f aca="false">IF(F20=0,0,H20/F20)</f>
        <v>0.388888888888889</v>
      </c>
      <c r="R20" s="8" t="n">
        <f aca="false">IF(F20+O20=0,0,(H20+O20)/(F20+O20))</f>
        <v>0.429245283018868</v>
      </c>
      <c r="S20" s="8" t="n">
        <f aca="false">IF(F20=0,0,M20/F20)</f>
        <v>0.727272727272727</v>
      </c>
      <c r="T20" s="8" t="n">
        <f aca="false">S20+R20</f>
        <v>1.1565180102916</v>
      </c>
      <c r="U20" s="8" t="n">
        <f aca="false">S20-Q20</f>
        <v>0.338383838383838</v>
      </c>
    </row>
    <row r="21" customFormat="false" ht="14.25" hidden="false" customHeight="true" outlineLevel="0" collapsed="false">
      <c r="A21" s="6" t="s">
        <v>80</v>
      </c>
      <c r="B21" s="6" t="s">
        <v>71</v>
      </c>
      <c r="C21" s="7" t="n">
        <v>8</v>
      </c>
      <c r="D21" s="7" t="s">
        <v>534</v>
      </c>
      <c r="E21" s="7" t="n">
        <v>58</v>
      </c>
      <c r="F21" s="7" t="n">
        <v>184</v>
      </c>
      <c r="G21" s="7" t="n">
        <v>52</v>
      </c>
      <c r="H21" s="7" t="n">
        <v>55</v>
      </c>
      <c r="I21" s="7" t="n">
        <v>7</v>
      </c>
      <c r="J21" s="7" t="n">
        <v>0</v>
      </c>
      <c r="K21" s="7" t="n">
        <v>15</v>
      </c>
      <c r="L21" s="7" t="n">
        <v>22</v>
      </c>
      <c r="M21" s="7" t="n">
        <v>107</v>
      </c>
      <c r="N21" s="7" t="n">
        <v>38</v>
      </c>
      <c r="O21" s="7" t="n">
        <v>20</v>
      </c>
      <c r="P21" s="7" t="n">
        <v>5</v>
      </c>
      <c r="Q21" s="8" t="n">
        <f aca="false">IF(F21=0,0,H21/F21)</f>
        <v>0.298913043478261</v>
      </c>
      <c r="R21" s="8" t="n">
        <f aca="false">IF(F21+O21=0,0,(H21+O21)/(F21+O21))</f>
        <v>0.367647058823529</v>
      </c>
      <c r="S21" s="8" t="n">
        <f aca="false">IF(F21=0,0,M21/F21)</f>
        <v>0.581521739130435</v>
      </c>
      <c r="T21" s="8" t="n">
        <f aca="false">S21+R21</f>
        <v>0.949168797953964</v>
      </c>
      <c r="U21" s="8" t="n">
        <f aca="false">S21-Q21</f>
        <v>0.282608695652174</v>
      </c>
    </row>
    <row r="22" customFormat="false" ht="14.25" hidden="false" customHeight="true" outlineLevel="0" collapsed="false">
      <c r="A22" s="6" t="s">
        <v>77</v>
      </c>
      <c r="B22" s="6" t="s">
        <v>71</v>
      </c>
      <c r="C22" s="7" t="n">
        <v>8</v>
      </c>
      <c r="D22" s="7" t="s">
        <v>534</v>
      </c>
      <c r="E22" s="7" t="n">
        <v>72</v>
      </c>
      <c r="F22" s="7" t="n">
        <v>219</v>
      </c>
      <c r="G22" s="7" t="n">
        <v>47</v>
      </c>
      <c r="H22" s="7" t="n">
        <v>71</v>
      </c>
      <c r="I22" s="7" t="n">
        <v>7</v>
      </c>
      <c r="J22" s="7" t="n">
        <v>0</v>
      </c>
      <c r="K22" s="7" t="n">
        <v>14</v>
      </c>
      <c r="L22" s="7" t="n">
        <v>21</v>
      </c>
      <c r="M22" s="7" t="n">
        <v>120</v>
      </c>
      <c r="N22" s="7" t="n">
        <v>56</v>
      </c>
      <c r="O22" s="7" t="n">
        <v>21</v>
      </c>
      <c r="P22" s="7" t="n">
        <v>6</v>
      </c>
      <c r="Q22" s="8" t="n">
        <f aca="false">IF(F22=0,0,H22/F22)</f>
        <v>0.324200913242009</v>
      </c>
      <c r="R22" s="8" t="n">
        <f aca="false">IF(F22+O22=0,0,(H22+O22)/(F22+O22))</f>
        <v>0.383333333333333</v>
      </c>
      <c r="S22" s="8" t="n">
        <f aca="false">IF(F22=0,0,M22/F22)</f>
        <v>0.547945205479452</v>
      </c>
      <c r="T22" s="8" t="n">
        <f aca="false">S22+R22</f>
        <v>0.931278538812785</v>
      </c>
      <c r="U22" s="8" t="n">
        <f aca="false">S22-Q22</f>
        <v>0.223744292237443</v>
      </c>
    </row>
    <row r="23" customFormat="false" ht="14.25" hidden="false" customHeight="true" outlineLevel="0" collapsed="false">
      <c r="A23" s="6" t="s">
        <v>56</v>
      </c>
      <c r="B23" s="6" t="s">
        <v>50</v>
      </c>
      <c r="C23" s="7" t="n">
        <v>8</v>
      </c>
      <c r="D23" s="7" t="s">
        <v>534</v>
      </c>
      <c r="E23" s="7" t="n">
        <v>95</v>
      </c>
      <c r="F23" s="7" t="n">
        <v>263</v>
      </c>
      <c r="G23" s="7" t="n">
        <v>61</v>
      </c>
      <c r="H23" s="7" t="n">
        <v>68</v>
      </c>
      <c r="I23" s="7" t="n">
        <v>11</v>
      </c>
      <c r="J23" s="7" t="n">
        <v>0</v>
      </c>
      <c r="K23" s="7" t="n">
        <v>14</v>
      </c>
      <c r="L23" s="7" t="n">
        <v>25</v>
      </c>
      <c r="M23" s="7" t="n">
        <v>121</v>
      </c>
      <c r="N23" s="7" t="n">
        <v>59</v>
      </c>
      <c r="O23" s="7" t="n">
        <v>45</v>
      </c>
      <c r="P23" s="7" t="n">
        <v>9</v>
      </c>
      <c r="Q23" s="8" t="n">
        <f aca="false">IF(F23=0,0,H23/F23)</f>
        <v>0.258555133079848</v>
      </c>
      <c r="R23" s="8" t="n">
        <f aca="false">IF(F23+O23=0,0,(H23+O23)/(F23+O23))</f>
        <v>0.366883116883117</v>
      </c>
      <c r="S23" s="8" t="n">
        <f aca="false">IF(F23=0,0,M23/F23)</f>
        <v>0.460076045627376</v>
      </c>
      <c r="T23" s="8" t="n">
        <f aca="false">S23+R23</f>
        <v>0.826959162510493</v>
      </c>
      <c r="U23" s="8" t="n">
        <f aca="false">S23-Q23</f>
        <v>0.201520912547529</v>
      </c>
    </row>
    <row r="24" customFormat="false" ht="14.25" hidden="false" customHeight="true" outlineLevel="0" collapsed="false">
      <c r="A24" s="6" t="s">
        <v>198</v>
      </c>
      <c r="B24" s="6" t="s">
        <v>192</v>
      </c>
      <c r="C24" s="7" t="n">
        <v>8</v>
      </c>
      <c r="D24" s="7" t="s">
        <v>534</v>
      </c>
      <c r="E24" s="7" t="n">
        <v>76</v>
      </c>
      <c r="F24" s="7" t="n">
        <v>227</v>
      </c>
      <c r="G24" s="7" t="n">
        <v>59</v>
      </c>
      <c r="H24" s="7" t="n">
        <v>76</v>
      </c>
      <c r="I24" s="7" t="n">
        <v>9</v>
      </c>
      <c r="J24" s="7" t="n">
        <v>0</v>
      </c>
      <c r="K24" s="7" t="n">
        <v>16</v>
      </c>
      <c r="L24" s="7" t="n">
        <v>25</v>
      </c>
      <c r="M24" s="7" t="n">
        <v>133</v>
      </c>
      <c r="N24" s="7" t="n">
        <v>56</v>
      </c>
      <c r="O24" s="7" t="n">
        <v>29</v>
      </c>
      <c r="P24" s="7" t="n">
        <v>14</v>
      </c>
      <c r="Q24" s="8" t="n">
        <f aca="false">IF(F24=0,0,H24/F24)</f>
        <v>0.334801762114537</v>
      </c>
      <c r="R24" s="8" t="n">
        <f aca="false">IF(F24+O24=0,0,(H24+O24)/(F24+O24))</f>
        <v>0.41015625</v>
      </c>
      <c r="S24" s="8" t="n">
        <f aca="false">IF(F24=0,0,M24/F24)</f>
        <v>0.585903083700441</v>
      </c>
      <c r="T24" s="8" t="n">
        <f aca="false">S24+R24</f>
        <v>0.996059333700441</v>
      </c>
      <c r="U24" s="8" t="n">
        <f aca="false">S24-Q24</f>
        <v>0.251101321585903</v>
      </c>
    </row>
    <row r="25" customFormat="false" ht="14.25" hidden="false" customHeight="true" outlineLevel="0" collapsed="false">
      <c r="A25" s="6" t="s">
        <v>167</v>
      </c>
      <c r="B25" s="6" t="s">
        <v>166</v>
      </c>
      <c r="C25" s="7" t="n">
        <v>8</v>
      </c>
      <c r="D25" s="7" t="s">
        <v>534</v>
      </c>
      <c r="E25" s="7" t="n">
        <v>77</v>
      </c>
      <c r="F25" s="7" t="n">
        <v>220</v>
      </c>
      <c r="G25" s="7" t="n">
        <v>30</v>
      </c>
      <c r="H25" s="7" t="n">
        <v>65</v>
      </c>
      <c r="I25" s="7" t="n">
        <v>4</v>
      </c>
      <c r="J25" s="7" t="n">
        <v>0</v>
      </c>
      <c r="K25" s="7" t="n">
        <v>12</v>
      </c>
      <c r="L25" s="7" t="n">
        <v>16</v>
      </c>
      <c r="M25" s="7" t="n">
        <v>105</v>
      </c>
      <c r="N25" s="7" t="n">
        <v>56</v>
      </c>
      <c r="O25" s="7" t="n">
        <v>21</v>
      </c>
      <c r="P25" s="7" t="n">
        <v>5</v>
      </c>
      <c r="Q25" s="8" t="n">
        <f aca="false">IF(F25=0,0,H25/F25)</f>
        <v>0.295454545454545</v>
      </c>
      <c r="R25" s="8" t="n">
        <f aca="false">IF(F25+O25=0,0,(H25+O25)/(F25+O25))</f>
        <v>0.356846473029046</v>
      </c>
      <c r="S25" s="8" t="n">
        <f aca="false">IF(F25=0,0,M25/F25)</f>
        <v>0.477272727272727</v>
      </c>
      <c r="T25" s="8" t="n">
        <f aca="false">S25+R25</f>
        <v>0.834119200301773</v>
      </c>
      <c r="U25" s="8" t="n">
        <f aca="false">S25-Q25</f>
        <v>0.181818181818182</v>
      </c>
    </row>
    <row r="26" customFormat="false" ht="14.25" hidden="false" customHeight="true" outlineLevel="0" collapsed="false">
      <c r="A26" s="6" t="s">
        <v>69</v>
      </c>
      <c r="B26" s="6" t="s">
        <v>50</v>
      </c>
      <c r="C26" s="7" t="n">
        <v>8</v>
      </c>
      <c r="D26" s="7" t="s">
        <v>534</v>
      </c>
      <c r="E26" s="7" t="n">
        <v>52</v>
      </c>
      <c r="F26" s="7" t="n">
        <v>140</v>
      </c>
      <c r="G26" s="7" t="n">
        <v>32</v>
      </c>
      <c r="H26" s="7" t="n">
        <v>41</v>
      </c>
      <c r="I26" s="7" t="n">
        <v>1</v>
      </c>
      <c r="J26" s="7" t="n">
        <v>0</v>
      </c>
      <c r="K26" s="7" t="n">
        <v>13</v>
      </c>
      <c r="L26" s="7" t="n">
        <v>14</v>
      </c>
      <c r="M26" s="7" t="n">
        <v>81</v>
      </c>
      <c r="N26" s="7" t="n">
        <v>35</v>
      </c>
      <c r="O26" s="7" t="n">
        <v>26</v>
      </c>
      <c r="P26" s="7" t="n">
        <v>7</v>
      </c>
      <c r="Q26" s="8" t="n">
        <f aca="false">IF(F26=0,0,H26/F26)</f>
        <v>0.292857142857143</v>
      </c>
      <c r="R26" s="8" t="n">
        <f aca="false">IF(F26+O26=0,0,(H26+O26)/(F26+O26))</f>
        <v>0.403614457831325</v>
      </c>
      <c r="S26" s="8" t="n">
        <f aca="false">IF(F26=0,0,M26/F26)</f>
        <v>0.578571428571429</v>
      </c>
      <c r="T26" s="8" t="n">
        <f aca="false">S26+R26</f>
        <v>0.982185886402754</v>
      </c>
      <c r="U26" s="8" t="n">
        <f aca="false">S26-Q26</f>
        <v>0.285714285714286</v>
      </c>
    </row>
    <row r="27" customFormat="false" ht="14.25" hidden="false" customHeight="true" outlineLevel="0" collapsed="false">
      <c r="A27" s="6" t="s">
        <v>55</v>
      </c>
      <c r="B27" s="6" t="s">
        <v>50</v>
      </c>
      <c r="C27" s="7" t="n">
        <v>6</v>
      </c>
      <c r="D27" s="7" t="s">
        <v>541</v>
      </c>
      <c r="E27" s="7" t="n">
        <v>52</v>
      </c>
      <c r="F27" s="7" t="n">
        <v>179</v>
      </c>
      <c r="G27" s="7" t="n">
        <v>56</v>
      </c>
      <c r="H27" s="7" t="n">
        <v>77</v>
      </c>
      <c r="I27" s="7" t="n">
        <v>21</v>
      </c>
      <c r="J27" s="7" t="n">
        <v>0</v>
      </c>
      <c r="K27" s="7" t="n">
        <v>11</v>
      </c>
      <c r="L27" s="7" t="n">
        <v>32</v>
      </c>
      <c r="M27" s="7" t="n">
        <v>131</v>
      </c>
      <c r="N27" s="7" t="n">
        <v>67</v>
      </c>
      <c r="O27" s="7" t="n">
        <v>13</v>
      </c>
      <c r="P27" s="7" t="n">
        <v>6</v>
      </c>
      <c r="Q27" s="8" t="n">
        <f aca="false">IF(F27=0,0,H27/F27)</f>
        <v>0.430167597765363</v>
      </c>
      <c r="R27" s="8" t="n">
        <f aca="false">IF(F27+O27=0,0,(H27+O27)/(F27+O27))</f>
        <v>0.46875</v>
      </c>
      <c r="S27" s="8" t="n">
        <f aca="false">IF(F27=0,0,M27/F27)</f>
        <v>0.731843575418994</v>
      </c>
      <c r="T27" s="8" t="n">
        <f aca="false">S27+R27</f>
        <v>1.20059357541899</v>
      </c>
      <c r="U27" s="8" t="n">
        <f aca="false">S27-Q27</f>
        <v>0.301675977653631</v>
      </c>
    </row>
    <row r="28" customFormat="false" ht="14.25" hidden="false" customHeight="true" outlineLevel="0" collapsed="false">
      <c r="A28" s="6" t="s">
        <v>197</v>
      </c>
      <c r="B28" s="6" t="s">
        <v>192</v>
      </c>
      <c r="C28" s="7" t="n">
        <v>8</v>
      </c>
      <c r="D28" s="7" t="s">
        <v>534</v>
      </c>
      <c r="E28" s="7" t="n">
        <v>61</v>
      </c>
      <c r="F28" s="7" t="n">
        <v>191</v>
      </c>
      <c r="G28" s="7" t="n">
        <v>40</v>
      </c>
      <c r="H28" s="7" t="n">
        <v>71</v>
      </c>
      <c r="I28" s="7" t="n">
        <v>6</v>
      </c>
      <c r="J28" s="7" t="n">
        <v>0</v>
      </c>
      <c r="K28" s="7" t="n">
        <v>12</v>
      </c>
      <c r="L28" s="7" t="n">
        <v>18</v>
      </c>
      <c r="M28" s="7" t="n">
        <v>113</v>
      </c>
      <c r="N28" s="7" t="n">
        <v>59</v>
      </c>
      <c r="O28" s="7" t="n">
        <v>10</v>
      </c>
      <c r="P28" s="7" t="n">
        <v>1</v>
      </c>
      <c r="Q28" s="8" t="n">
        <f aca="false">IF(F28=0,0,H28/F28)</f>
        <v>0.3717277486911</v>
      </c>
      <c r="R28" s="8" t="n">
        <f aca="false">IF(F28+O28=0,0,(H28+O28)/(F28+O28))</f>
        <v>0.402985074626866</v>
      </c>
      <c r="S28" s="8" t="n">
        <f aca="false">IF(F28=0,0,M28/F28)</f>
        <v>0.591623036649215</v>
      </c>
      <c r="T28" s="8" t="n">
        <f aca="false">S28+R28</f>
        <v>0.99460811127608</v>
      </c>
      <c r="U28" s="8" t="n">
        <f aca="false">S28-Q28</f>
        <v>0.219895287958115</v>
      </c>
    </row>
    <row r="29" customFormat="false" ht="14.25" hidden="false" customHeight="true" outlineLevel="0" collapsed="false">
      <c r="A29" s="6" t="s">
        <v>126</v>
      </c>
      <c r="B29" s="6" t="s">
        <v>121</v>
      </c>
      <c r="C29" s="7" t="n">
        <v>8</v>
      </c>
      <c r="D29" s="7" t="s">
        <v>534</v>
      </c>
      <c r="E29" s="7" t="n">
        <v>37</v>
      </c>
      <c r="F29" s="7" t="n">
        <v>118</v>
      </c>
      <c r="G29" s="7" t="n">
        <v>27</v>
      </c>
      <c r="H29" s="7" t="n">
        <v>45</v>
      </c>
      <c r="I29" s="7" t="n">
        <v>6</v>
      </c>
      <c r="J29" s="7" t="n">
        <v>0</v>
      </c>
      <c r="K29" s="7" t="n">
        <v>11</v>
      </c>
      <c r="L29" s="7" t="n">
        <v>17</v>
      </c>
      <c r="M29" s="7" t="n">
        <v>84</v>
      </c>
      <c r="N29" s="7" t="n">
        <v>41</v>
      </c>
      <c r="O29" s="7" t="n">
        <v>9</v>
      </c>
      <c r="P29" s="7" t="n">
        <v>0</v>
      </c>
      <c r="Q29" s="8" t="n">
        <f aca="false">IF(F29=0,0,H29/F29)</f>
        <v>0.38135593220339</v>
      </c>
      <c r="R29" s="8" t="n">
        <f aca="false">IF(F29+O29=0,0,(H29+O29)/(F29+O29))</f>
        <v>0.425196850393701</v>
      </c>
      <c r="S29" s="8" t="n">
        <f aca="false">IF(F29=0,0,M29/F29)</f>
        <v>0.711864406779661</v>
      </c>
      <c r="T29" s="8" t="n">
        <f aca="false">S29+R29</f>
        <v>1.13706125717336</v>
      </c>
      <c r="U29" s="8" t="n">
        <f aca="false">S29-Q29</f>
        <v>0.330508474576271</v>
      </c>
    </row>
    <row r="30" customFormat="false" ht="14.25" hidden="false" customHeight="true" outlineLevel="0" collapsed="false">
      <c r="A30" s="6" t="s">
        <v>243</v>
      </c>
      <c r="B30" s="6" t="s">
        <v>71</v>
      </c>
      <c r="C30" s="7" t="n">
        <v>6</v>
      </c>
      <c r="D30" s="7" t="s">
        <v>542</v>
      </c>
      <c r="E30" s="7" t="n">
        <v>30</v>
      </c>
      <c r="F30" s="7" t="n">
        <v>91</v>
      </c>
      <c r="G30" s="7" t="n">
        <v>22</v>
      </c>
      <c r="H30" s="7" t="n">
        <v>37</v>
      </c>
      <c r="I30" s="7" t="n">
        <v>4</v>
      </c>
      <c r="J30" s="7" t="n">
        <v>1</v>
      </c>
      <c r="K30" s="7" t="n">
        <v>10</v>
      </c>
      <c r="L30" s="7" t="n">
        <v>15</v>
      </c>
      <c r="M30" s="7" t="n">
        <v>73</v>
      </c>
      <c r="N30" s="7" t="n">
        <v>26</v>
      </c>
      <c r="O30" s="7" t="n">
        <v>11</v>
      </c>
      <c r="P30" s="7" t="n">
        <v>9</v>
      </c>
      <c r="Q30" s="8" t="n">
        <f aca="false">IF(F30=0,0,H30/F30)</f>
        <v>0.406593406593407</v>
      </c>
      <c r="R30" s="8" t="n">
        <f aca="false">IF(F30+O30=0,0,(H30+O30)/(F30+O30))</f>
        <v>0.470588235294118</v>
      </c>
      <c r="S30" s="8" t="n">
        <f aca="false">IF(F30=0,0,M30/F30)</f>
        <v>0.802197802197802</v>
      </c>
      <c r="T30" s="8" t="n">
        <f aca="false">S30+R30</f>
        <v>1.27278603749192</v>
      </c>
      <c r="U30" s="8" t="n">
        <f aca="false">S30-Q30</f>
        <v>0.395604395604396</v>
      </c>
    </row>
    <row r="31" customFormat="false" ht="14.25" hidden="false" customHeight="true" outlineLevel="0" collapsed="false">
      <c r="A31" s="6" t="s">
        <v>187</v>
      </c>
      <c r="B31" s="6" t="s">
        <v>535</v>
      </c>
      <c r="C31" s="7" t="n">
        <v>8</v>
      </c>
      <c r="D31" s="7" t="s">
        <v>543</v>
      </c>
      <c r="E31" s="7" t="n">
        <v>50</v>
      </c>
      <c r="F31" s="7" t="n">
        <v>143</v>
      </c>
      <c r="G31" s="7" t="n">
        <v>48</v>
      </c>
      <c r="H31" s="7" t="n">
        <v>50</v>
      </c>
      <c r="I31" s="7" t="n">
        <v>6</v>
      </c>
      <c r="J31" s="7" t="n">
        <v>4</v>
      </c>
      <c r="K31" s="7" t="n">
        <v>17</v>
      </c>
      <c r="L31" s="7" t="n">
        <v>27</v>
      </c>
      <c r="M31" s="7" t="n">
        <v>115</v>
      </c>
      <c r="N31" s="7" t="n">
        <v>58</v>
      </c>
      <c r="O31" s="7" t="n">
        <v>30</v>
      </c>
      <c r="P31" s="7" t="n">
        <v>7</v>
      </c>
      <c r="Q31" s="8" t="n">
        <f aca="false">IF(F31=0,0,H31/F31)</f>
        <v>0.34965034965035</v>
      </c>
      <c r="R31" s="8" t="n">
        <f aca="false">IF(F31+O31=0,0,(H31+O31)/(F31+O31))</f>
        <v>0.46242774566474</v>
      </c>
      <c r="S31" s="8" t="n">
        <f aca="false">IF(F31=0,0,M31/F31)</f>
        <v>0.804195804195804</v>
      </c>
      <c r="T31" s="8" t="n">
        <f aca="false">S31+R31</f>
        <v>1.26662354986054</v>
      </c>
      <c r="U31" s="8" t="n">
        <f aca="false">S31-Q31</f>
        <v>0.454545454545455</v>
      </c>
    </row>
    <row r="32" customFormat="false" ht="14.25" hidden="false" customHeight="true" outlineLevel="0" collapsed="false">
      <c r="A32" s="6" t="s">
        <v>325</v>
      </c>
      <c r="B32" s="6" t="s">
        <v>97</v>
      </c>
      <c r="C32" s="7" t="n">
        <v>4</v>
      </c>
      <c r="D32" s="7" t="s">
        <v>544</v>
      </c>
      <c r="E32" s="7" t="n">
        <v>38</v>
      </c>
      <c r="F32" s="7" t="n">
        <v>121</v>
      </c>
      <c r="G32" s="7" t="n">
        <v>34</v>
      </c>
      <c r="H32" s="7" t="n">
        <v>53</v>
      </c>
      <c r="I32" s="7" t="n">
        <v>9</v>
      </c>
      <c r="J32" s="7" t="n">
        <v>1</v>
      </c>
      <c r="K32" s="7" t="n">
        <v>9</v>
      </c>
      <c r="L32" s="7" t="n">
        <v>19</v>
      </c>
      <c r="M32" s="7" t="n">
        <v>91</v>
      </c>
      <c r="N32" s="7" t="n">
        <v>30</v>
      </c>
      <c r="O32" s="7" t="n">
        <v>11</v>
      </c>
      <c r="P32" s="7" t="n">
        <v>2</v>
      </c>
      <c r="Q32" s="8" t="n">
        <f aca="false">IF(F32=0,0,H32/F32)</f>
        <v>0.43801652892562</v>
      </c>
      <c r="R32" s="8" t="n">
        <f aca="false">IF(F32+O32=0,0,(H32+O32)/(F32+O32))</f>
        <v>0.484848484848485</v>
      </c>
      <c r="S32" s="8" t="n">
        <f aca="false">IF(F32=0,0,M32/F32)</f>
        <v>0.752066115702479</v>
      </c>
      <c r="T32" s="8" t="n">
        <f aca="false">S32+R32</f>
        <v>1.23691460055096</v>
      </c>
      <c r="U32" s="8" t="n">
        <f aca="false">S32-Q32</f>
        <v>0.31404958677686</v>
      </c>
    </row>
    <row r="33" customFormat="false" ht="14.25" hidden="false" customHeight="true" outlineLevel="0" collapsed="false">
      <c r="A33" s="6" t="s">
        <v>253</v>
      </c>
      <c r="B33" s="6" t="s">
        <v>97</v>
      </c>
      <c r="C33" s="7" t="n">
        <v>5</v>
      </c>
      <c r="D33" s="7" t="s">
        <v>545</v>
      </c>
      <c r="E33" s="7" t="n">
        <v>25</v>
      </c>
      <c r="F33" s="7" t="n">
        <v>80</v>
      </c>
      <c r="G33" s="7" t="n">
        <v>15</v>
      </c>
      <c r="H33" s="7" t="n">
        <v>23</v>
      </c>
      <c r="I33" s="7" t="n">
        <v>1</v>
      </c>
      <c r="J33" s="7" t="n">
        <v>0</v>
      </c>
      <c r="K33" s="7" t="n">
        <v>9</v>
      </c>
      <c r="L33" s="7" t="n">
        <v>10</v>
      </c>
      <c r="M33" s="7" t="n">
        <v>51</v>
      </c>
      <c r="N33" s="7" t="n">
        <v>22</v>
      </c>
      <c r="O33" s="7" t="n">
        <v>6</v>
      </c>
      <c r="P33" s="7" t="n">
        <v>2</v>
      </c>
      <c r="Q33" s="8" t="n">
        <f aca="false">IF(F33=0,0,H33/F33)</f>
        <v>0.2875</v>
      </c>
      <c r="R33" s="8" t="n">
        <f aca="false">IF(F33+O33=0,0,(H33+O33)/(F33+O33))</f>
        <v>0.337209302325581</v>
      </c>
      <c r="S33" s="8" t="n">
        <f aca="false">IF(F33=0,0,M33/F33)</f>
        <v>0.6375</v>
      </c>
      <c r="T33" s="8" t="n">
        <f aca="false">S33+R33</f>
        <v>0.974709302325581</v>
      </c>
      <c r="U33" s="8" t="n">
        <f aca="false">S33-Q33</f>
        <v>0.35</v>
      </c>
    </row>
    <row r="34" customFormat="false" ht="14.25" hidden="false" customHeight="true" outlineLevel="0" collapsed="false">
      <c r="A34" s="6" t="s">
        <v>154</v>
      </c>
      <c r="B34" s="6" t="s">
        <v>147</v>
      </c>
      <c r="C34" s="7" t="n">
        <v>8</v>
      </c>
      <c r="D34" s="7" t="s">
        <v>534</v>
      </c>
      <c r="E34" s="7" t="n">
        <v>92</v>
      </c>
      <c r="F34" s="7" t="n">
        <v>283</v>
      </c>
      <c r="G34" s="7" t="n">
        <v>77</v>
      </c>
      <c r="H34" s="7" t="n">
        <v>91</v>
      </c>
      <c r="I34" s="7" t="n">
        <v>25</v>
      </c>
      <c r="J34" s="7" t="n">
        <v>0</v>
      </c>
      <c r="K34" s="7" t="n">
        <v>8</v>
      </c>
      <c r="L34" s="7" t="n">
        <v>33</v>
      </c>
      <c r="M34" s="7" t="n">
        <v>140</v>
      </c>
      <c r="N34" s="7" t="n">
        <v>46</v>
      </c>
      <c r="O34" s="7" t="n">
        <v>38</v>
      </c>
      <c r="P34" s="7" t="n">
        <v>11</v>
      </c>
      <c r="Q34" s="8" t="n">
        <f aca="false">IF(F34=0,0,H34/F34)</f>
        <v>0.321554770318021</v>
      </c>
      <c r="R34" s="8" t="n">
        <f aca="false">IF(F34+O34=0,0,(H34+O34)/(F34+O34))</f>
        <v>0.401869158878505</v>
      </c>
      <c r="S34" s="8" t="n">
        <f aca="false">IF(F34=0,0,M34/F34)</f>
        <v>0.49469964664311</v>
      </c>
      <c r="T34" s="8" t="n">
        <f aca="false">S34+R34</f>
        <v>0.896568805521614</v>
      </c>
      <c r="U34" s="8" t="n">
        <f aca="false">S34-Q34</f>
        <v>0.173144876325088</v>
      </c>
    </row>
    <row r="35" customFormat="false" ht="14.25" hidden="false" customHeight="true" outlineLevel="0" collapsed="false">
      <c r="A35" s="6" t="s">
        <v>85</v>
      </c>
      <c r="B35" s="6" t="s">
        <v>212</v>
      </c>
      <c r="C35" s="7" t="n">
        <v>8</v>
      </c>
      <c r="D35" s="7" t="s">
        <v>534</v>
      </c>
      <c r="E35" s="7" t="n">
        <v>66</v>
      </c>
      <c r="F35" s="7" t="n">
        <v>207</v>
      </c>
      <c r="G35" s="7" t="n">
        <v>51</v>
      </c>
      <c r="H35" s="7" t="n">
        <v>78</v>
      </c>
      <c r="I35" s="7" t="n">
        <v>13</v>
      </c>
      <c r="J35" s="7" t="n">
        <v>2</v>
      </c>
      <c r="K35" s="7" t="n">
        <v>11</v>
      </c>
      <c r="L35" s="7" t="n">
        <v>26</v>
      </c>
      <c r="M35" s="7" t="n">
        <v>128</v>
      </c>
      <c r="N35" s="7" t="n">
        <v>51</v>
      </c>
      <c r="O35" s="7" t="n">
        <v>6</v>
      </c>
      <c r="P35" s="7" t="n">
        <v>4</v>
      </c>
      <c r="Q35" s="8" t="n">
        <f aca="false">IF(F35=0,0,H35/F35)</f>
        <v>0.376811594202899</v>
      </c>
      <c r="R35" s="8" t="n">
        <f aca="false">IF(F35+O35=0,0,(H35+O35)/(F35+O35))</f>
        <v>0.394366197183099</v>
      </c>
      <c r="S35" s="8" t="n">
        <f aca="false">IF(F35=0,0,M35/F35)</f>
        <v>0.618357487922705</v>
      </c>
      <c r="T35" s="8" t="n">
        <f aca="false">S35+R35</f>
        <v>1.0127236851058</v>
      </c>
      <c r="U35" s="8" t="n">
        <f aca="false">S35-Q35</f>
        <v>0.241545893719807</v>
      </c>
    </row>
    <row r="36" customFormat="false" ht="14.25" hidden="false" customHeight="true" outlineLevel="0" collapsed="false">
      <c r="A36" s="6" t="s">
        <v>195</v>
      </c>
      <c r="B36" s="6" t="s">
        <v>192</v>
      </c>
      <c r="C36" s="7" t="n">
        <v>8</v>
      </c>
      <c r="D36" s="7" t="s">
        <v>534</v>
      </c>
      <c r="E36" s="7" t="n">
        <v>79</v>
      </c>
      <c r="F36" s="7" t="n">
        <v>249</v>
      </c>
      <c r="G36" s="7" t="n">
        <v>50</v>
      </c>
      <c r="H36" s="7" t="n">
        <v>80</v>
      </c>
      <c r="I36" s="7" t="n">
        <v>15</v>
      </c>
      <c r="J36" s="7" t="n">
        <v>1</v>
      </c>
      <c r="K36" s="7" t="n">
        <v>7</v>
      </c>
      <c r="L36" s="7" t="n">
        <v>23</v>
      </c>
      <c r="M36" s="7" t="n">
        <v>118</v>
      </c>
      <c r="N36" s="7" t="n">
        <v>49</v>
      </c>
      <c r="O36" s="7" t="n">
        <v>26</v>
      </c>
      <c r="P36" s="7" t="n">
        <v>4</v>
      </c>
      <c r="Q36" s="8" t="n">
        <f aca="false">IF(F36=0,0,H36/F36)</f>
        <v>0.321285140562249</v>
      </c>
      <c r="R36" s="8" t="n">
        <f aca="false">IF(F36+O36=0,0,(H36+O36)/(F36+O36))</f>
        <v>0.385454545454545</v>
      </c>
      <c r="S36" s="8" t="n">
        <f aca="false">IF(F36=0,0,M36/F36)</f>
        <v>0.473895582329317</v>
      </c>
      <c r="T36" s="8" t="n">
        <f aca="false">S36+R36</f>
        <v>0.859350127783863</v>
      </c>
      <c r="U36" s="8" t="n">
        <f aca="false">S36-Q36</f>
        <v>0.152610441767068</v>
      </c>
    </row>
    <row r="37" customFormat="false" ht="14.25" hidden="false" customHeight="true" outlineLevel="0" collapsed="false">
      <c r="A37" s="6" t="s">
        <v>214</v>
      </c>
      <c r="B37" s="6" t="s">
        <v>212</v>
      </c>
      <c r="C37" s="7" t="n">
        <v>8</v>
      </c>
      <c r="D37" s="7" t="s">
        <v>534</v>
      </c>
      <c r="E37" s="7" t="n">
        <v>63</v>
      </c>
      <c r="F37" s="7" t="n">
        <v>174</v>
      </c>
      <c r="G37" s="7" t="n">
        <v>40</v>
      </c>
      <c r="H37" s="7" t="n">
        <v>61</v>
      </c>
      <c r="I37" s="7" t="n">
        <v>17</v>
      </c>
      <c r="J37" s="7" t="n">
        <v>0</v>
      </c>
      <c r="K37" s="7" t="n">
        <v>7</v>
      </c>
      <c r="L37" s="7" t="n">
        <v>24</v>
      </c>
      <c r="M37" s="7" t="n">
        <v>99</v>
      </c>
      <c r="N37" s="7" t="n">
        <v>38</v>
      </c>
      <c r="O37" s="7" t="n">
        <v>32</v>
      </c>
      <c r="P37" s="7" t="n">
        <v>25</v>
      </c>
      <c r="Q37" s="8" t="n">
        <f aca="false">IF(F37=0,0,H37/F37)</f>
        <v>0.350574712643678</v>
      </c>
      <c r="R37" s="8" t="n">
        <f aca="false">IF(F37+O37=0,0,(H37+O37)/(F37+O37))</f>
        <v>0.451456310679612</v>
      </c>
      <c r="S37" s="8" t="n">
        <f aca="false">IF(F37=0,0,M37/F37)</f>
        <v>0.568965517241379</v>
      </c>
      <c r="T37" s="8" t="n">
        <f aca="false">S37+R37</f>
        <v>1.02042182792099</v>
      </c>
      <c r="U37" s="8" t="n">
        <f aca="false">S37-Q37</f>
        <v>0.218390804597701</v>
      </c>
    </row>
    <row r="38" customFormat="false" ht="14.25" hidden="false" customHeight="true" outlineLevel="0" collapsed="false">
      <c r="A38" s="6" t="s">
        <v>137</v>
      </c>
      <c r="B38" s="6" t="s">
        <v>121</v>
      </c>
      <c r="C38" s="7" t="n">
        <v>7</v>
      </c>
      <c r="D38" s="7" t="s">
        <v>546</v>
      </c>
      <c r="E38" s="7" t="n">
        <v>50</v>
      </c>
      <c r="F38" s="7" t="n">
        <v>163</v>
      </c>
      <c r="G38" s="7" t="n">
        <v>50</v>
      </c>
      <c r="H38" s="7" t="n">
        <v>61</v>
      </c>
      <c r="I38" s="7" t="n">
        <v>11</v>
      </c>
      <c r="J38" s="7" t="n">
        <v>0</v>
      </c>
      <c r="K38" s="7" t="n">
        <v>9</v>
      </c>
      <c r="L38" s="7" t="n">
        <v>20</v>
      </c>
      <c r="M38" s="7" t="n">
        <v>99</v>
      </c>
      <c r="N38" s="7" t="n">
        <v>37</v>
      </c>
      <c r="O38" s="7" t="n">
        <v>11</v>
      </c>
      <c r="P38" s="7" t="n">
        <v>3</v>
      </c>
      <c r="Q38" s="8" t="n">
        <f aca="false">IF(F38=0,0,H38/F38)</f>
        <v>0.374233128834356</v>
      </c>
      <c r="R38" s="8" t="n">
        <f aca="false">IF(F38+O38=0,0,(H38+O38)/(F38+O38))</f>
        <v>0.413793103448276</v>
      </c>
      <c r="S38" s="8" t="n">
        <f aca="false">IF(F38=0,0,M38/F38)</f>
        <v>0.607361963190184</v>
      </c>
      <c r="T38" s="8" t="n">
        <f aca="false">S38+R38</f>
        <v>1.02115506663846</v>
      </c>
      <c r="U38" s="8" t="n">
        <f aca="false">S38-Q38</f>
        <v>0.233128834355828</v>
      </c>
    </row>
    <row r="39" customFormat="false" ht="14.25" hidden="false" customHeight="true" outlineLevel="0" collapsed="false">
      <c r="A39" s="6" t="s">
        <v>194</v>
      </c>
      <c r="B39" s="6" t="s">
        <v>192</v>
      </c>
      <c r="C39" s="7" t="n">
        <v>5</v>
      </c>
      <c r="D39" s="7" t="s">
        <v>547</v>
      </c>
      <c r="E39" s="7" t="n">
        <v>25</v>
      </c>
      <c r="F39" s="7" t="n">
        <v>73</v>
      </c>
      <c r="G39" s="7" t="n">
        <v>35</v>
      </c>
      <c r="H39" s="7" t="n">
        <v>39</v>
      </c>
      <c r="I39" s="7" t="n">
        <v>14</v>
      </c>
      <c r="J39" s="7" t="n">
        <v>2</v>
      </c>
      <c r="K39" s="7" t="n">
        <v>10</v>
      </c>
      <c r="L39" s="7" t="n">
        <v>26</v>
      </c>
      <c r="M39" s="7" t="n">
        <v>87</v>
      </c>
      <c r="N39" s="7" t="n">
        <v>30</v>
      </c>
      <c r="O39" s="7" t="n">
        <v>6</v>
      </c>
      <c r="P39" s="7" t="n">
        <v>1</v>
      </c>
      <c r="Q39" s="8" t="n">
        <f aca="false">IF(F39=0,0,H39/F39)</f>
        <v>0.534246575342466</v>
      </c>
      <c r="R39" s="8" t="n">
        <f aca="false">IF(F39+O39=0,0,(H39+O39)/(F39+O39))</f>
        <v>0.569620253164557</v>
      </c>
      <c r="S39" s="8" t="n">
        <f aca="false">IF(F39=0,0,M39/F39)</f>
        <v>1.19178082191781</v>
      </c>
      <c r="T39" s="8" t="n">
        <f aca="false">S39+R39</f>
        <v>1.76140107508237</v>
      </c>
      <c r="U39" s="8" t="n">
        <f aca="false">S39-Q39</f>
        <v>0.657534246575343</v>
      </c>
    </row>
    <row r="40" customFormat="false" ht="14.25" hidden="false" customHeight="true" outlineLevel="0" collapsed="false">
      <c r="A40" s="6" t="s">
        <v>170</v>
      </c>
      <c r="B40" s="6" t="s">
        <v>548</v>
      </c>
      <c r="C40" s="7" t="n">
        <v>8</v>
      </c>
      <c r="D40" s="9" t="s">
        <v>543</v>
      </c>
      <c r="E40" s="7" t="n">
        <v>93</v>
      </c>
      <c r="F40" s="7" t="n">
        <v>248</v>
      </c>
      <c r="G40" s="7" t="n">
        <v>55</v>
      </c>
      <c r="H40" s="7" t="n">
        <v>76</v>
      </c>
      <c r="I40" s="7" t="n">
        <v>5</v>
      </c>
      <c r="J40" s="7" t="n">
        <v>0</v>
      </c>
      <c r="K40" s="7" t="n">
        <v>6</v>
      </c>
      <c r="L40" s="7" t="n">
        <v>11</v>
      </c>
      <c r="M40" s="7" t="n">
        <v>99</v>
      </c>
      <c r="N40" s="7" t="n">
        <v>34</v>
      </c>
      <c r="O40" s="7" t="n">
        <v>62</v>
      </c>
      <c r="P40" s="7" t="n">
        <v>15</v>
      </c>
      <c r="Q40" s="8" t="n">
        <f aca="false">IF(F40=0,0,H40/F40)</f>
        <v>0.306451612903226</v>
      </c>
      <c r="R40" s="8" t="n">
        <f aca="false">IF(F40+O40=0,0,(H40+O40)/(F40+O40))</f>
        <v>0.445161290322581</v>
      </c>
      <c r="S40" s="8" t="n">
        <f aca="false">IF(F40=0,0,M40/F40)</f>
        <v>0.399193548387097</v>
      </c>
      <c r="T40" s="8" t="n">
        <f aca="false">S40+R40</f>
        <v>0.844354838709677</v>
      </c>
      <c r="U40" s="8" t="n">
        <f aca="false">S40-Q40</f>
        <v>0.0927419354838709</v>
      </c>
    </row>
    <row r="41" customFormat="false" ht="14.25" hidden="false" customHeight="true" outlineLevel="0" collapsed="false">
      <c r="A41" s="6" t="s">
        <v>232</v>
      </c>
      <c r="B41" s="6" t="s">
        <v>212</v>
      </c>
      <c r="C41" s="7" t="n">
        <v>6</v>
      </c>
      <c r="D41" s="7" t="s">
        <v>541</v>
      </c>
      <c r="E41" s="7" t="n">
        <v>33</v>
      </c>
      <c r="F41" s="7" t="n">
        <v>98</v>
      </c>
      <c r="G41" s="7" t="n">
        <v>27</v>
      </c>
      <c r="H41" s="7" t="n">
        <v>33</v>
      </c>
      <c r="I41" s="7" t="n">
        <v>8</v>
      </c>
      <c r="J41" s="7" t="n">
        <v>2</v>
      </c>
      <c r="K41" s="7" t="n">
        <v>6</v>
      </c>
      <c r="L41" s="7" t="n">
        <v>16</v>
      </c>
      <c r="M41" s="7" t="n">
        <v>63</v>
      </c>
      <c r="N41" s="7" t="n">
        <v>20</v>
      </c>
      <c r="O41" s="7" t="n">
        <v>17</v>
      </c>
      <c r="P41" s="7" t="n">
        <v>14</v>
      </c>
      <c r="Q41" s="8" t="n">
        <f aca="false">IF(F41=0,0,H41/F41)</f>
        <v>0.336734693877551</v>
      </c>
      <c r="R41" s="8" t="n">
        <f aca="false">IF(F41+O41=0,0,(H41+O41)/(F41+O41))</f>
        <v>0.434782608695652</v>
      </c>
      <c r="S41" s="8" t="n">
        <f aca="false">IF(F41=0,0,M41/F41)</f>
        <v>0.642857142857143</v>
      </c>
      <c r="T41" s="8" t="n">
        <f aca="false">S41+R41</f>
        <v>1.0776397515528</v>
      </c>
      <c r="U41" s="8" t="n">
        <f aca="false">S41-Q41</f>
        <v>0.306122448979592</v>
      </c>
    </row>
    <row r="42" customFormat="false" ht="14.25" hidden="false" customHeight="true" outlineLevel="0" collapsed="false">
      <c r="A42" s="6" t="s">
        <v>302</v>
      </c>
      <c r="B42" s="6" t="s">
        <v>147</v>
      </c>
      <c r="C42" s="7" t="n">
        <v>6</v>
      </c>
      <c r="D42" s="7" t="s">
        <v>549</v>
      </c>
      <c r="E42" s="7" t="n">
        <v>36</v>
      </c>
      <c r="F42" s="7" t="n">
        <v>109</v>
      </c>
      <c r="G42" s="7" t="n">
        <v>39</v>
      </c>
      <c r="H42" s="7" t="n">
        <v>29</v>
      </c>
      <c r="I42" s="7" t="n">
        <v>0</v>
      </c>
      <c r="J42" s="7" t="n">
        <v>0</v>
      </c>
      <c r="K42" s="7" t="n">
        <v>6</v>
      </c>
      <c r="L42" s="7" t="n">
        <v>6</v>
      </c>
      <c r="M42" s="7" t="n">
        <v>47</v>
      </c>
      <c r="N42" s="7" t="n">
        <v>24</v>
      </c>
      <c r="O42" s="7" t="n">
        <v>22</v>
      </c>
      <c r="P42" s="7" t="n">
        <v>3</v>
      </c>
      <c r="Q42" s="8" t="n">
        <f aca="false">IF(F42=0,0,H42/F42)</f>
        <v>0.26605504587156</v>
      </c>
      <c r="R42" s="8" t="n">
        <f aca="false">IF(F42+O42=0,0,(H42+O42)/(F42+O42))</f>
        <v>0.389312977099237</v>
      </c>
      <c r="S42" s="8" t="n">
        <f aca="false">IF(F42=0,0,M42/F42)</f>
        <v>0.431192660550459</v>
      </c>
      <c r="T42" s="8" t="n">
        <f aca="false">S42+R42</f>
        <v>0.820505637649695</v>
      </c>
      <c r="U42" s="8" t="n">
        <f aca="false">S42-Q42</f>
        <v>0.165137614678899</v>
      </c>
    </row>
    <row r="43" customFormat="false" ht="14.25" hidden="false" customHeight="true" outlineLevel="0" collapsed="false">
      <c r="A43" s="6" t="s">
        <v>185</v>
      </c>
      <c r="B43" s="6" t="s">
        <v>166</v>
      </c>
      <c r="C43" s="7" t="n">
        <v>6</v>
      </c>
      <c r="D43" s="9" t="s">
        <v>550</v>
      </c>
      <c r="E43" s="7" t="n">
        <v>25</v>
      </c>
      <c r="F43" s="7" t="n">
        <v>75</v>
      </c>
      <c r="G43" s="7" t="n">
        <v>15</v>
      </c>
      <c r="H43" s="7" t="n">
        <v>26</v>
      </c>
      <c r="I43" s="7" t="n">
        <v>2</v>
      </c>
      <c r="J43" s="7" t="n">
        <v>0</v>
      </c>
      <c r="K43" s="7" t="n">
        <v>6</v>
      </c>
      <c r="L43" s="7" t="n">
        <v>8</v>
      </c>
      <c r="M43" s="7" t="n">
        <v>46</v>
      </c>
      <c r="N43" s="7" t="n">
        <v>19</v>
      </c>
      <c r="O43" s="7" t="n">
        <v>5</v>
      </c>
      <c r="P43" s="7" t="n">
        <v>3</v>
      </c>
      <c r="Q43" s="8" t="n">
        <f aca="false">IF(F43=0,0,H43/F43)</f>
        <v>0.346666666666667</v>
      </c>
      <c r="R43" s="8" t="n">
        <f aca="false">IF(F43+O43=0,0,(H43+O43)/(F43+O43))</f>
        <v>0.3875</v>
      </c>
      <c r="S43" s="8" t="n">
        <f aca="false">IF(F43=0,0,M43/F43)</f>
        <v>0.613333333333333</v>
      </c>
      <c r="T43" s="8" t="n">
        <f aca="false">S43+R43</f>
        <v>1.00083333333333</v>
      </c>
      <c r="U43" s="8" t="n">
        <f aca="false">S43-Q43</f>
        <v>0.266666666666667</v>
      </c>
    </row>
    <row r="44" customFormat="false" ht="14.25" hidden="false" customHeight="true" outlineLevel="0" collapsed="false">
      <c r="A44" s="6" t="s">
        <v>213</v>
      </c>
      <c r="B44" s="6" t="s">
        <v>212</v>
      </c>
      <c r="C44" s="7" t="n">
        <v>8</v>
      </c>
      <c r="D44" s="7" t="s">
        <v>534</v>
      </c>
      <c r="E44" s="7" t="n">
        <v>71</v>
      </c>
      <c r="F44" s="7" t="n">
        <v>209</v>
      </c>
      <c r="G44" s="7" t="n">
        <v>62</v>
      </c>
      <c r="H44" s="7" t="n">
        <v>80</v>
      </c>
      <c r="I44" s="7" t="n">
        <v>26</v>
      </c>
      <c r="J44" s="7" t="n">
        <v>2</v>
      </c>
      <c r="K44" s="7" t="n">
        <v>6</v>
      </c>
      <c r="L44" s="7" t="n">
        <v>34</v>
      </c>
      <c r="M44" s="7" t="n">
        <v>128</v>
      </c>
      <c r="N44" s="7" t="n">
        <v>35</v>
      </c>
      <c r="O44" s="7" t="n">
        <v>28</v>
      </c>
      <c r="P44" s="7" t="n">
        <v>19</v>
      </c>
      <c r="Q44" s="8" t="n">
        <f aca="false">IF(F44=0,0,H44/F44)</f>
        <v>0.382775119617225</v>
      </c>
      <c r="R44" s="8" t="n">
        <f aca="false">IF(F44+O44=0,0,(H44+O44)/(F44+O44))</f>
        <v>0.455696202531646</v>
      </c>
      <c r="S44" s="8" t="n">
        <f aca="false">IF(F44=0,0,M44/F44)</f>
        <v>0.61244019138756</v>
      </c>
      <c r="T44" s="8" t="n">
        <f aca="false">S44+R44</f>
        <v>1.06813639391921</v>
      </c>
      <c r="U44" s="8" t="n">
        <f aca="false">S44-Q44</f>
        <v>0.229665071770335</v>
      </c>
    </row>
    <row r="45" customFormat="false" ht="14.25" hidden="false" customHeight="true" outlineLevel="0" collapsed="false">
      <c r="A45" s="6" t="s">
        <v>347</v>
      </c>
      <c r="B45" s="6" t="s">
        <v>147</v>
      </c>
      <c r="C45" s="7" t="n">
        <v>4</v>
      </c>
      <c r="D45" s="7" t="s">
        <v>551</v>
      </c>
      <c r="E45" s="7" t="n">
        <v>17</v>
      </c>
      <c r="F45" s="7" t="n">
        <v>55</v>
      </c>
      <c r="G45" s="7" t="n">
        <v>21</v>
      </c>
      <c r="H45" s="7" t="n">
        <v>24</v>
      </c>
      <c r="I45" s="7" t="n">
        <v>6</v>
      </c>
      <c r="J45" s="7" t="n">
        <v>0</v>
      </c>
      <c r="K45" s="7" t="n">
        <v>5</v>
      </c>
      <c r="L45" s="7" t="n">
        <v>11</v>
      </c>
      <c r="M45" s="7" t="n">
        <v>45</v>
      </c>
      <c r="N45" s="7" t="n">
        <v>20</v>
      </c>
      <c r="O45" s="7" t="n">
        <v>7</v>
      </c>
      <c r="P45" s="7" t="n">
        <v>2</v>
      </c>
      <c r="Q45" s="8" t="n">
        <f aca="false">IF(F45=0,0,H45/F45)</f>
        <v>0.436363636363636</v>
      </c>
      <c r="R45" s="8" t="n">
        <f aca="false">IF(F45+O45=0,0,(H45+O45)/(F45+O45))</f>
        <v>0.5</v>
      </c>
      <c r="S45" s="8" t="n">
        <f aca="false">IF(F45=0,0,M45/F45)</f>
        <v>0.818181818181818</v>
      </c>
      <c r="T45" s="8" t="n">
        <f aca="false">S45+R45</f>
        <v>1.31818181818182</v>
      </c>
      <c r="U45" s="8" t="n">
        <f aca="false">S45-Q45</f>
        <v>0.381818181818182</v>
      </c>
    </row>
    <row r="46" customFormat="false" ht="14.25" hidden="false" customHeight="true" outlineLevel="0" collapsed="false">
      <c r="A46" s="6" t="s">
        <v>98</v>
      </c>
      <c r="B46" s="6" t="s">
        <v>97</v>
      </c>
      <c r="C46" s="7" t="n">
        <v>3</v>
      </c>
      <c r="D46" s="7" t="s">
        <v>552</v>
      </c>
      <c r="E46" s="7" t="n">
        <v>29</v>
      </c>
      <c r="F46" s="7" t="n">
        <v>86</v>
      </c>
      <c r="G46" s="7" t="n">
        <v>19</v>
      </c>
      <c r="H46" s="7" t="n">
        <v>30</v>
      </c>
      <c r="I46" s="7" t="n">
        <v>0</v>
      </c>
      <c r="J46" s="7" t="n">
        <v>1</v>
      </c>
      <c r="K46" s="7" t="n">
        <v>7</v>
      </c>
      <c r="L46" s="7" t="n">
        <v>8</v>
      </c>
      <c r="M46" s="7" t="n">
        <v>53</v>
      </c>
      <c r="N46" s="7" t="n">
        <v>19</v>
      </c>
      <c r="O46" s="7" t="n">
        <v>9</v>
      </c>
      <c r="P46" s="7" t="n">
        <v>1</v>
      </c>
      <c r="Q46" s="8" t="n">
        <f aca="false">IF(F46=0,0,H46/F46)</f>
        <v>0.348837209302326</v>
      </c>
      <c r="R46" s="8" t="n">
        <f aca="false">IF(F46+O46=0,0,(H46+O46)/(F46+O46))</f>
        <v>0.410526315789474</v>
      </c>
      <c r="S46" s="8" t="n">
        <f aca="false">IF(F46=0,0,M46/F46)</f>
        <v>0.616279069767442</v>
      </c>
      <c r="T46" s="8" t="n">
        <f aca="false">S46+R46</f>
        <v>1.02680538555692</v>
      </c>
      <c r="U46" s="8" t="n">
        <f aca="false">S46-Q46</f>
        <v>0.267441860465116</v>
      </c>
    </row>
    <row r="47" customFormat="false" ht="14.25" hidden="false" customHeight="true" outlineLevel="0" collapsed="false">
      <c r="A47" s="6" t="s">
        <v>53</v>
      </c>
      <c r="B47" s="6" t="s">
        <v>50</v>
      </c>
      <c r="C47" s="7" t="n">
        <v>8</v>
      </c>
      <c r="D47" s="7" t="s">
        <v>534</v>
      </c>
      <c r="E47" s="7" t="n">
        <v>70</v>
      </c>
      <c r="F47" s="7" t="n">
        <v>202</v>
      </c>
      <c r="G47" s="7" t="n">
        <v>54</v>
      </c>
      <c r="H47" s="7" t="n">
        <v>77</v>
      </c>
      <c r="I47" s="7" t="n">
        <v>32</v>
      </c>
      <c r="J47" s="7" t="n">
        <v>0</v>
      </c>
      <c r="K47" s="7" t="n">
        <v>4</v>
      </c>
      <c r="L47" s="7" t="n">
        <v>36</v>
      </c>
      <c r="M47" s="7" t="n">
        <v>121</v>
      </c>
      <c r="N47" s="7" t="n">
        <v>37</v>
      </c>
      <c r="O47" s="7" t="n">
        <v>35</v>
      </c>
      <c r="P47" s="7" t="n">
        <v>3</v>
      </c>
      <c r="Q47" s="8" t="n">
        <f aca="false">IF(F47=0,0,H47/F47)</f>
        <v>0.381188118811881</v>
      </c>
      <c r="R47" s="8" t="n">
        <f aca="false">IF(F47+O47=0,0,(H47+O47)/(F47+O47))</f>
        <v>0.472573839662447</v>
      </c>
      <c r="S47" s="8" t="n">
        <f aca="false">IF(F47=0,0,M47/F47)</f>
        <v>0.599009900990099</v>
      </c>
      <c r="T47" s="8" t="n">
        <f aca="false">S47+R47</f>
        <v>1.07158374065255</v>
      </c>
      <c r="U47" s="8" t="n">
        <f aca="false">S47-Q47</f>
        <v>0.217821782178218</v>
      </c>
    </row>
    <row r="48" customFormat="false" ht="14.25" hidden="false" customHeight="true" outlineLevel="0" collapsed="false">
      <c r="A48" s="6" t="s">
        <v>254</v>
      </c>
      <c r="B48" s="6" t="s">
        <v>97</v>
      </c>
      <c r="C48" s="7" t="n">
        <v>5</v>
      </c>
      <c r="D48" s="7" t="s">
        <v>553</v>
      </c>
      <c r="E48" s="7" t="n">
        <v>45</v>
      </c>
      <c r="F48" s="7" t="n">
        <v>134</v>
      </c>
      <c r="G48" s="7" t="n">
        <v>17</v>
      </c>
      <c r="H48" s="7" t="n">
        <v>30</v>
      </c>
      <c r="I48" s="7" t="n">
        <v>5</v>
      </c>
      <c r="J48" s="7" t="n">
        <v>1</v>
      </c>
      <c r="K48" s="7" t="n">
        <v>4</v>
      </c>
      <c r="L48" s="7" t="n">
        <v>10</v>
      </c>
      <c r="M48" s="7" t="n">
        <v>49</v>
      </c>
      <c r="N48" s="7" t="n">
        <v>22</v>
      </c>
      <c r="O48" s="7" t="n">
        <v>6</v>
      </c>
      <c r="P48" s="7" t="n">
        <v>15</v>
      </c>
      <c r="Q48" s="8" t="n">
        <f aca="false">IF(F48=0,0,H48/F48)</f>
        <v>0.223880597014925</v>
      </c>
      <c r="R48" s="8" t="n">
        <f aca="false">IF(F48+O48=0,0,(H48+O48)/(F48+O48))</f>
        <v>0.257142857142857</v>
      </c>
      <c r="S48" s="8" t="n">
        <f aca="false">IF(F48=0,0,M48/F48)</f>
        <v>0.365671641791045</v>
      </c>
      <c r="T48" s="8" t="n">
        <f aca="false">S48+R48</f>
        <v>0.622814498933902</v>
      </c>
      <c r="U48" s="8" t="n">
        <f aca="false">S48-Q48</f>
        <v>0.141791044776119</v>
      </c>
    </row>
    <row r="49" customFormat="false" ht="14.25" hidden="false" customHeight="true" outlineLevel="0" collapsed="false">
      <c r="A49" s="6" t="s">
        <v>476</v>
      </c>
      <c r="B49" s="6" t="s">
        <v>121</v>
      </c>
      <c r="C49" s="7" t="n">
        <v>2</v>
      </c>
      <c r="D49" s="7" t="s">
        <v>554</v>
      </c>
      <c r="E49" s="7" t="n">
        <v>12</v>
      </c>
      <c r="F49" s="7" t="n">
        <v>37</v>
      </c>
      <c r="G49" s="7" t="n">
        <v>9</v>
      </c>
      <c r="H49" s="7" t="n">
        <v>14</v>
      </c>
      <c r="I49" s="7" t="n">
        <v>3</v>
      </c>
      <c r="J49" s="7" t="n">
        <v>0</v>
      </c>
      <c r="K49" s="7" t="n">
        <v>4</v>
      </c>
      <c r="L49" s="7" t="n">
        <v>7</v>
      </c>
      <c r="M49" s="7" t="n">
        <v>29</v>
      </c>
      <c r="N49" s="7" t="n">
        <v>14</v>
      </c>
      <c r="O49" s="7" t="n">
        <v>5</v>
      </c>
      <c r="P49" s="7" t="n">
        <v>1</v>
      </c>
      <c r="Q49" s="8" t="n">
        <f aca="false">IF(F49=0,0,H49/F49)</f>
        <v>0.378378378378378</v>
      </c>
      <c r="R49" s="8" t="n">
        <f aca="false">IF(F49+O49=0,0,(H49+O49)/(F49+O49))</f>
        <v>0.452380952380952</v>
      </c>
      <c r="S49" s="8" t="n">
        <f aca="false">IF(F49=0,0,M49/F49)</f>
        <v>0.783783783783784</v>
      </c>
      <c r="T49" s="8" t="n">
        <f aca="false">S49+R49</f>
        <v>1.23616473616474</v>
      </c>
      <c r="U49" s="8" t="n">
        <f aca="false">S49-Q49</f>
        <v>0.405405405405405</v>
      </c>
    </row>
    <row r="50" customFormat="false" ht="14.25" hidden="false" customHeight="true" outlineLevel="0" collapsed="false">
      <c r="A50" s="6" t="s">
        <v>74</v>
      </c>
      <c r="B50" s="6" t="s">
        <v>71</v>
      </c>
      <c r="C50" s="7" t="n">
        <v>1</v>
      </c>
      <c r="D50" s="7" t="s">
        <v>555</v>
      </c>
      <c r="E50" s="7" t="n">
        <v>10</v>
      </c>
      <c r="F50" s="7" t="n">
        <v>35</v>
      </c>
      <c r="G50" s="7" t="n">
        <v>17</v>
      </c>
      <c r="H50" s="7" t="n">
        <v>17</v>
      </c>
      <c r="I50" s="7" t="n">
        <v>3</v>
      </c>
      <c r="J50" s="7" t="n">
        <v>0</v>
      </c>
      <c r="K50" s="7" t="n">
        <v>8</v>
      </c>
      <c r="L50" s="7" t="n">
        <v>11</v>
      </c>
      <c r="M50" s="7" t="n">
        <v>44</v>
      </c>
      <c r="N50" s="7" t="n">
        <v>16</v>
      </c>
      <c r="O50" s="7" t="n">
        <v>4</v>
      </c>
      <c r="P50" s="7" t="n">
        <v>1</v>
      </c>
      <c r="Q50" s="8" t="n">
        <f aca="false">IF(F50=0,0,H50/F50)</f>
        <v>0.485714285714286</v>
      </c>
      <c r="R50" s="8" t="n">
        <f aca="false">IF(F50+O50=0,0,(H50+O50)/(F50+O50))</f>
        <v>0.538461538461538</v>
      </c>
      <c r="S50" s="8" t="n">
        <f aca="false">IF(F50=0,0,M50/F50)</f>
        <v>1.25714285714286</v>
      </c>
      <c r="T50" s="8" t="n">
        <f aca="false">S50+R50</f>
        <v>1.7956043956044</v>
      </c>
      <c r="U50" s="8" t="n">
        <f aca="false">S50-Q50</f>
        <v>0.771428571428571</v>
      </c>
    </row>
    <row r="51" customFormat="false" ht="14.25" hidden="false" customHeight="true" outlineLevel="0" collapsed="false">
      <c r="A51" s="6" t="s">
        <v>125</v>
      </c>
      <c r="B51" s="6" t="s">
        <v>121</v>
      </c>
      <c r="C51" s="7" t="n">
        <v>6</v>
      </c>
      <c r="D51" s="7" t="s">
        <v>541</v>
      </c>
      <c r="E51" s="7" t="n">
        <v>71</v>
      </c>
      <c r="F51" s="7" t="n">
        <v>210</v>
      </c>
      <c r="G51" s="7" t="n">
        <v>38</v>
      </c>
      <c r="H51" s="7" t="n">
        <v>66</v>
      </c>
      <c r="I51" s="7" t="n">
        <v>9</v>
      </c>
      <c r="J51" s="7" t="n">
        <v>0</v>
      </c>
      <c r="K51" s="7" t="n">
        <v>4</v>
      </c>
      <c r="L51" s="7" t="n">
        <v>13</v>
      </c>
      <c r="M51" s="7" t="n">
        <v>87</v>
      </c>
      <c r="N51" s="7" t="n">
        <v>42</v>
      </c>
      <c r="O51" s="7" t="n">
        <v>15</v>
      </c>
      <c r="P51" s="7" t="n">
        <v>6</v>
      </c>
      <c r="Q51" s="8" t="n">
        <f aca="false">IF(F51=0,0,H51/F51)</f>
        <v>0.314285714285714</v>
      </c>
      <c r="R51" s="8" t="n">
        <f aca="false">IF(F51+O51=0,0,(H51+O51)/(F51+O51))</f>
        <v>0.36</v>
      </c>
      <c r="S51" s="8" t="n">
        <f aca="false">IF(F51=0,0,M51/F51)</f>
        <v>0.414285714285714</v>
      </c>
      <c r="T51" s="8" t="n">
        <f aca="false">S51+R51</f>
        <v>0.774285714285714</v>
      </c>
      <c r="U51" s="8" t="n">
        <f aca="false">S51-Q51</f>
        <v>0.1</v>
      </c>
    </row>
    <row r="52" customFormat="false" ht="14.25" hidden="false" customHeight="true" outlineLevel="0" collapsed="false">
      <c r="A52" s="6" t="s">
        <v>62</v>
      </c>
      <c r="B52" s="6" t="s">
        <v>50</v>
      </c>
      <c r="C52" s="7" t="n">
        <v>8</v>
      </c>
      <c r="D52" s="7" t="s">
        <v>534</v>
      </c>
      <c r="E52" s="7" t="n">
        <v>80</v>
      </c>
      <c r="F52" s="7" t="n">
        <v>196</v>
      </c>
      <c r="G52" s="7" t="n">
        <v>29</v>
      </c>
      <c r="H52" s="7" t="n">
        <v>46</v>
      </c>
      <c r="I52" s="7" t="n">
        <v>4</v>
      </c>
      <c r="J52" s="7" t="n">
        <v>0</v>
      </c>
      <c r="K52" s="7" t="n">
        <v>3</v>
      </c>
      <c r="L52" s="7" t="n">
        <v>7</v>
      </c>
      <c r="M52" s="7" t="n">
        <v>59</v>
      </c>
      <c r="N52" s="7" t="n">
        <v>37</v>
      </c>
      <c r="O52" s="7" t="n">
        <v>29</v>
      </c>
      <c r="P52" s="7" t="n">
        <v>18</v>
      </c>
      <c r="Q52" s="8" t="n">
        <f aca="false">IF(F52=0,0,H52/F52)</f>
        <v>0.23469387755102</v>
      </c>
      <c r="R52" s="8" t="n">
        <f aca="false">IF(F52+O52=0,0,(H52+O52)/(F52+O52))</f>
        <v>0.333333333333333</v>
      </c>
      <c r="S52" s="8" t="n">
        <f aca="false">IF(F52=0,0,M52/F52)</f>
        <v>0.301020408163265</v>
      </c>
      <c r="T52" s="8" t="n">
        <f aca="false">S52+R52</f>
        <v>0.634353741496599</v>
      </c>
      <c r="U52" s="8" t="n">
        <f aca="false">S52-Q52</f>
        <v>0.0663265306122449</v>
      </c>
    </row>
    <row r="53" customFormat="false" ht="14.25" hidden="false" customHeight="true" outlineLevel="0" collapsed="false">
      <c r="A53" s="6" t="s">
        <v>138</v>
      </c>
      <c r="B53" s="6" t="s">
        <v>121</v>
      </c>
      <c r="C53" s="7" t="n">
        <v>8</v>
      </c>
      <c r="D53" s="7" t="s">
        <v>534</v>
      </c>
      <c r="E53" s="7" t="n">
        <v>55</v>
      </c>
      <c r="F53" s="7" t="n">
        <v>141</v>
      </c>
      <c r="G53" s="7" t="n">
        <v>22</v>
      </c>
      <c r="H53" s="7" t="n">
        <v>38</v>
      </c>
      <c r="I53" s="7" t="n">
        <v>10</v>
      </c>
      <c r="J53" s="7" t="n">
        <v>3</v>
      </c>
      <c r="K53" s="7" t="n">
        <v>4</v>
      </c>
      <c r="L53" s="7" t="n">
        <v>17</v>
      </c>
      <c r="M53" s="7" t="n">
        <v>66</v>
      </c>
      <c r="N53" s="7" t="n">
        <v>34</v>
      </c>
      <c r="O53" s="7" t="n">
        <v>17</v>
      </c>
      <c r="P53" s="7" t="n">
        <v>10</v>
      </c>
      <c r="Q53" s="8" t="n">
        <f aca="false">IF(F53=0,0,H53/F53)</f>
        <v>0.269503546099291</v>
      </c>
      <c r="R53" s="8" t="n">
        <f aca="false">IF(F53+O53=0,0,(H53+O53)/(F53+O53))</f>
        <v>0.348101265822785</v>
      </c>
      <c r="S53" s="8" t="n">
        <f aca="false">IF(F53=0,0,M53/F53)</f>
        <v>0.468085106382979</v>
      </c>
      <c r="T53" s="8" t="n">
        <f aca="false">S53+R53</f>
        <v>0.816186372205764</v>
      </c>
      <c r="U53" s="8" t="n">
        <f aca="false">S53-Q53</f>
        <v>0.198581560283688</v>
      </c>
    </row>
    <row r="54" customFormat="false" ht="14.25" hidden="false" customHeight="true" outlineLevel="0" collapsed="false">
      <c r="A54" s="6" t="s">
        <v>207</v>
      </c>
      <c r="B54" s="6" t="s">
        <v>192</v>
      </c>
      <c r="C54" s="7" t="n">
        <v>8</v>
      </c>
      <c r="D54" s="7" t="s">
        <v>534</v>
      </c>
      <c r="E54" s="7" t="n">
        <v>53</v>
      </c>
      <c r="F54" s="7" t="n">
        <v>138</v>
      </c>
      <c r="G54" s="7" t="n">
        <v>17</v>
      </c>
      <c r="H54" s="7" t="n">
        <v>33</v>
      </c>
      <c r="I54" s="7" t="n">
        <v>7</v>
      </c>
      <c r="J54" s="7" t="n">
        <v>0</v>
      </c>
      <c r="K54" s="7" t="n">
        <v>3</v>
      </c>
      <c r="L54" s="7" t="n">
        <v>10</v>
      </c>
      <c r="M54" s="7" t="n">
        <v>49</v>
      </c>
      <c r="N54" s="7" t="n">
        <v>24</v>
      </c>
      <c r="O54" s="7" t="n">
        <v>18</v>
      </c>
      <c r="P54" s="7" t="n">
        <v>6</v>
      </c>
      <c r="Q54" s="8" t="n">
        <f aca="false">IF(F54=0,0,H54/F54)</f>
        <v>0.239130434782609</v>
      </c>
      <c r="R54" s="8" t="n">
        <f aca="false">IF(F54+O54=0,0,(H54+O54)/(F54+O54))</f>
        <v>0.326923076923077</v>
      </c>
      <c r="S54" s="8" t="n">
        <f aca="false">IF(F54=0,0,M54/F54)</f>
        <v>0.355072463768116</v>
      </c>
      <c r="T54" s="8" t="n">
        <f aca="false">S54+R54</f>
        <v>0.681995540691193</v>
      </c>
      <c r="U54" s="8" t="n">
        <f aca="false">S54-Q54</f>
        <v>0.115942028985507</v>
      </c>
    </row>
    <row r="55" customFormat="false" ht="14.25" hidden="false" customHeight="true" outlineLevel="0" collapsed="false">
      <c r="A55" s="6" t="s">
        <v>237</v>
      </c>
      <c r="B55" s="6" t="s">
        <v>50</v>
      </c>
      <c r="C55" s="7" t="n">
        <v>3</v>
      </c>
      <c r="D55" s="7" t="s">
        <v>556</v>
      </c>
      <c r="E55" s="7" t="n">
        <v>11</v>
      </c>
      <c r="F55" s="7" t="n">
        <v>31</v>
      </c>
      <c r="G55" s="7" t="n">
        <v>19</v>
      </c>
      <c r="H55" s="7" t="n">
        <v>18</v>
      </c>
      <c r="I55" s="7" t="n">
        <v>2</v>
      </c>
      <c r="J55" s="7" t="n">
        <v>0</v>
      </c>
      <c r="K55" s="7" t="n">
        <v>3</v>
      </c>
      <c r="L55" s="7" t="n">
        <v>5</v>
      </c>
      <c r="M55" s="7" t="n">
        <v>29</v>
      </c>
      <c r="N55" s="7" t="n">
        <v>10</v>
      </c>
      <c r="O55" s="7" t="n">
        <v>10</v>
      </c>
      <c r="P55" s="7" t="n">
        <v>1</v>
      </c>
      <c r="Q55" s="8" t="n">
        <f aca="false">IF(F55=0,0,H55/F55)</f>
        <v>0.580645161290323</v>
      </c>
      <c r="R55" s="8" t="n">
        <f aca="false">IF(F55+O55=0,0,(H55+O55)/(F55+O55))</f>
        <v>0.682926829268293</v>
      </c>
      <c r="S55" s="8" t="n">
        <f aca="false">IF(F55=0,0,M55/F55)</f>
        <v>0.935483870967742</v>
      </c>
      <c r="T55" s="8" t="n">
        <f aca="false">S55+R55</f>
        <v>1.61841070023603</v>
      </c>
      <c r="U55" s="8" t="n">
        <f aca="false">S55-Q55</f>
        <v>0.354838709677419</v>
      </c>
    </row>
    <row r="56" customFormat="false" ht="14.25" hidden="false" customHeight="true" outlineLevel="0" collapsed="false">
      <c r="A56" s="6" t="s">
        <v>217</v>
      </c>
      <c r="B56" s="6" t="s">
        <v>212</v>
      </c>
      <c r="C56" s="7" t="n">
        <v>5</v>
      </c>
      <c r="D56" s="7" t="s">
        <v>557</v>
      </c>
      <c r="E56" s="7" t="n">
        <v>31</v>
      </c>
      <c r="F56" s="7" t="n">
        <v>70</v>
      </c>
      <c r="G56" s="7" t="n">
        <v>8</v>
      </c>
      <c r="H56" s="7" t="n">
        <v>13</v>
      </c>
      <c r="I56" s="7" t="n">
        <v>0</v>
      </c>
      <c r="J56" s="7" t="n">
        <v>0</v>
      </c>
      <c r="K56" s="7" t="n">
        <v>3</v>
      </c>
      <c r="L56" s="7" t="n">
        <v>3</v>
      </c>
      <c r="M56" s="7" t="n">
        <v>22</v>
      </c>
      <c r="N56" s="7" t="n">
        <v>12</v>
      </c>
      <c r="O56" s="7" t="n">
        <v>10</v>
      </c>
      <c r="P56" s="7" t="n">
        <v>6</v>
      </c>
      <c r="Q56" s="8" t="n">
        <f aca="false">IF(F56=0,0,H56/F56)</f>
        <v>0.185714285714286</v>
      </c>
      <c r="R56" s="8" t="n">
        <f aca="false">IF(F56+O56=0,0,(H56+O56)/(F56+O56))</f>
        <v>0.2875</v>
      </c>
      <c r="S56" s="8" t="n">
        <f aca="false">IF(F56=0,0,M56/F56)</f>
        <v>0.314285714285714</v>
      </c>
      <c r="T56" s="8" t="n">
        <f aca="false">S56+R56</f>
        <v>0.601785714285714</v>
      </c>
      <c r="U56" s="8" t="n">
        <f aca="false">S56-Q56</f>
        <v>0.128571428571429</v>
      </c>
    </row>
    <row r="57" customFormat="false" ht="14.25" hidden="false" customHeight="true" outlineLevel="0" collapsed="false">
      <c r="A57" s="6" t="s">
        <v>101</v>
      </c>
      <c r="B57" s="6" t="s">
        <v>97</v>
      </c>
      <c r="C57" s="7" t="n">
        <v>3</v>
      </c>
      <c r="D57" s="7" t="s">
        <v>552</v>
      </c>
      <c r="E57" s="7" t="n">
        <v>15</v>
      </c>
      <c r="F57" s="7" t="n">
        <v>38</v>
      </c>
      <c r="G57" s="7" t="n">
        <v>8</v>
      </c>
      <c r="H57" s="7" t="n">
        <v>11</v>
      </c>
      <c r="I57" s="7" t="n">
        <v>1</v>
      </c>
      <c r="J57" s="7" t="n">
        <v>0</v>
      </c>
      <c r="K57" s="7" t="n">
        <v>3</v>
      </c>
      <c r="L57" s="7" t="n">
        <v>4</v>
      </c>
      <c r="M57" s="7" t="n">
        <v>21</v>
      </c>
      <c r="N57" s="7" t="n">
        <v>10</v>
      </c>
      <c r="O57" s="7" t="n">
        <v>9</v>
      </c>
      <c r="P57" s="7" t="n">
        <v>0</v>
      </c>
      <c r="Q57" s="8" t="n">
        <f aca="false">IF(F57=0,0,H57/F57)</f>
        <v>0.289473684210526</v>
      </c>
      <c r="R57" s="8" t="n">
        <f aca="false">IF(F57+O57=0,0,(H57+O57)/(F57+O57))</f>
        <v>0.425531914893617</v>
      </c>
      <c r="S57" s="8" t="n">
        <f aca="false">IF(F57=0,0,M57/F57)</f>
        <v>0.552631578947369</v>
      </c>
      <c r="T57" s="8" t="n">
        <f aca="false">S57+R57</f>
        <v>0.978163493840986</v>
      </c>
      <c r="U57" s="8" t="n">
        <f aca="false">S57-Q57</f>
        <v>0.263157894736842</v>
      </c>
    </row>
    <row r="58" customFormat="false" ht="14.25" hidden="false" customHeight="true" outlineLevel="0" collapsed="false">
      <c r="A58" s="6" t="s">
        <v>130</v>
      </c>
      <c r="B58" s="6" t="s">
        <v>121</v>
      </c>
      <c r="C58" s="7" t="n">
        <v>8</v>
      </c>
      <c r="D58" s="7" t="s">
        <v>534</v>
      </c>
      <c r="E58" s="7" t="n">
        <v>85</v>
      </c>
      <c r="F58" s="7" t="n">
        <v>236</v>
      </c>
      <c r="G58" s="7" t="n">
        <v>40</v>
      </c>
      <c r="H58" s="7" t="n">
        <v>62</v>
      </c>
      <c r="I58" s="7" t="n">
        <v>10</v>
      </c>
      <c r="J58" s="7" t="n">
        <v>1</v>
      </c>
      <c r="K58" s="7" t="n">
        <v>2</v>
      </c>
      <c r="L58" s="7" t="n">
        <v>13</v>
      </c>
      <c r="M58" s="7" t="n">
        <v>80</v>
      </c>
      <c r="N58" s="7" t="n">
        <v>45</v>
      </c>
      <c r="O58" s="7" t="n">
        <v>31</v>
      </c>
      <c r="P58" s="7" t="n">
        <v>7</v>
      </c>
      <c r="Q58" s="8" t="n">
        <f aca="false">IF(F58=0,0,H58/F58)</f>
        <v>0.26271186440678</v>
      </c>
      <c r="R58" s="8" t="n">
        <f aca="false">IF(F58+O58=0,0,(H58+O58)/(F58+O58))</f>
        <v>0.348314606741573</v>
      </c>
      <c r="S58" s="8" t="n">
        <f aca="false">IF(F58=0,0,M58/F58)</f>
        <v>0.338983050847458</v>
      </c>
      <c r="T58" s="8" t="n">
        <f aca="false">S58+R58</f>
        <v>0.687297657589031</v>
      </c>
      <c r="U58" s="8" t="n">
        <f aca="false">S58-Q58</f>
        <v>0.0762711864406779</v>
      </c>
    </row>
    <row r="59" customFormat="false" ht="14.25" hidden="false" customHeight="true" outlineLevel="0" collapsed="false">
      <c r="A59" s="6" t="s">
        <v>202</v>
      </c>
      <c r="B59" s="6" t="s">
        <v>192</v>
      </c>
      <c r="C59" s="7" t="n">
        <v>8</v>
      </c>
      <c r="D59" s="7" t="s">
        <v>534</v>
      </c>
      <c r="E59" s="7" t="n">
        <v>76</v>
      </c>
      <c r="F59" s="7" t="n">
        <v>177</v>
      </c>
      <c r="G59" s="7" t="n">
        <v>23</v>
      </c>
      <c r="H59" s="7" t="n">
        <v>39</v>
      </c>
      <c r="I59" s="7" t="n">
        <v>4</v>
      </c>
      <c r="J59" s="7" t="n">
        <v>0</v>
      </c>
      <c r="K59" s="7" t="n">
        <v>2</v>
      </c>
      <c r="L59" s="7" t="n">
        <v>6</v>
      </c>
      <c r="M59" s="7" t="n">
        <v>49</v>
      </c>
      <c r="N59" s="7" t="n">
        <v>11</v>
      </c>
      <c r="O59" s="7" t="n">
        <v>18</v>
      </c>
      <c r="P59" s="7" t="n">
        <v>10</v>
      </c>
      <c r="Q59" s="8" t="n">
        <f aca="false">IF(F59=0,0,H59/F59)</f>
        <v>0.220338983050847</v>
      </c>
      <c r="R59" s="8" t="n">
        <f aca="false">IF(F59+O59=0,0,(H59+O59)/(F59+O59))</f>
        <v>0.292307692307692</v>
      </c>
      <c r="S59" s="8" t="n">
        <f aca="false">IF(F59=0,0,M59/F59)</f>
        <v>0.27683615819209</v>
      </c>
      <c r="T59" s="8" t="n">
        <f aca="false">S59+R59</f>
        <v>0.569143850499783</v>
      </c>
      <c r="U59" s="8" t="n">
        <f aca="false">S59-Q59</f>
        <v>0.0564971751412429</v>
      </c>
    </row>
    <row r="60" customFormat="false" ht="14.25" hidden="false" customHeight="true" outlineLevel="0" collapsed="false">
      <c r="A60" s="6" t="s">
        <v>162</v>
      </c>
      <c r="B60" s="6" t="s">
        <v>147</v>
      </c>
      <c r="C60" s="7" t="n">
        <v>8</v>
      </c>
      <c r="D60" s="7" t="s">
        <v>534</v>
      </c>
      <c r="E60" s="7" t="n">
        <v>73</v>
      </c>
      <c r="F60" s="7" t="n">
        <v>177</v>
      </c>
      <c r="G60" s="7" t="n">
        <v>21</v>
      </c>
      <c r="H60" s="7" t="n">
        <v>39</v>
      </c>
      <c r="I60" s="7" t="n">
        <v>2</v>
      </c>
      <c r="J60" s="7" t="n">
        <v>0</v>
      </c>
      <c r="K60" s="7" t="n">
        <v>2</v>
      </c>
      <c r="L60" s="7" t="n">
        <v>4</v>
      </c>
      <c r="M60" s="7" t="n">
        <v>47</v>
      </c>
      <c r="N60" s="7" t="n">
        <v>31</v>
      </c>
      <c r="O60" s="7" t="n">
        <v>23</v>
      </c>
      <c r="P60" s="7" t="n">
        <v>5</v>
      </c>
      <c r="Q60" s="8" t="n">
        <f aca="false">IF(F60=0,0,H60/F60)</f>
        <v>0.220338983050847</v>
      </c>
      <c r="R60" s="8" t="n">
        <f aca="false">IF(F60+O60=0,0,(H60+O60)/(F60+O60))</f>
        <v>0.31</v>
      </c>
      <c r="S60" s="8" t="n">
        <f aca="false">IF(F60=0,0,M60/F60)</f>
        <v>0.265536723163842</v>
      </c>
      <c r="T60" s="8" t="n">
        <f aca="false">S60+R60</f>
        <v>0.575536723163842</v>
      </c>
      <c r="U60" s="8" t="n">
        <f aca="false">S60-Q60</f>
        <v>0.0451977401129944</v>
      </c>
    </row>
    <row r="61" customFormat="false" ht="14.25" hidden="false" customHeight="true" outlineLevel="0" collapsed="false">
      <c r="A61" s="6" t="s">
        <v>205</v>
      </c>
      <c r="B61" s="6" t="s">
        <v>192</v>
      </c>
      <c r="C61" s="7" t="n">
        <v>8</v>
      </c>
      <c r="D61" s="7" t="s">
        <v>534</v>
      </c>
      <c r="E61" s="7" t="n">
        <v>53</v>
      </c>
      <c r="F61" s="7" t="n">
        <v>142</v>
      </c>
      <c r="G61" s="7" t="n">
        <v>20</v>
      </c>
      <c r="H61" s="7" t="n">
        <v>35</v>
      </c>
      <c r="I61" s="7" t="n">
        <v>2</v>
      </c>
      <c r="J61" s="7" t="n">
        <v>0</v>
      </c>
      <c r="K61" s="7" t="n">
        <v>2</v>
      </c>
      <c r="L61" s="7" t="n">
        <v>4</v>
      </c>
      <c r="M61" s="7" t="n">
        <v>43</v>
      </c>
      <c r="N61" s="7" t="n">
        <v>23</v>
      </c>
      <c r="O61" s="7" t="n">
        <v>9</v>
      </c>
      <c r="P61" s="7" t="n">
        <v>8</v>
      </c>
      <c r="Q61" s="8" t="n">
        <f aca="false">IF(F61=0,0,H61/F61)</f>
        <v>0.246478873239437</v>
      </c>
      <c r="R61" s="8" t="n">
        <f aca="false">IF(F61+O61=0,0,(H61+O61)/(F61+O61))</f>
        <v>0.291390728476821</v>
      </c>
      <c r="S61" s="8" t="n">
        <f aca="false">IF(F61=0,0,M61/F61)</f>
        <v>0.302816901408451</v>
      </c>
      <c r="T61" s="8" t="n">
        <f aca="false">S61+R61</f>
        <v>0.594207629885272</v>
      </c>
      <c r="U61" s="8" t="n">
        <f aca="false">S61-Q61</f>
        <v>0.0563380281690141</v>
      </c>
    </row>
    <row r="62" customFormat="false" ht="14.25" hidden="false" customHeight="true" outlineLevel="0" collapsed="false">
      <c r="A62" s="6" t="s">
        <v>204</v>
      </c>
      <c r="B62" s="6" t="s">
        <v>192</v>
      </c>
      <c r="C62" s="7" t="n">
        <v>8</v>
      </c>
      <c r="D62" s="7" t="s">
        <v>534</v>
      </c>
      <c r="E62" s="7" t="n">
        <v>28</v>
      </c>
      <c r="F62" s="7" t="n">
        <v>94</v>
      </c>
      <c r="G62" s="7" t="n">
        <v>21</v>
      </c>
      <c r="H62" s="7" t="n">
        <v>33</v>
      </c>
      <c r="I62" s="7" t="n">
        <v>6</v>
      </c>
      <c r="J62" s="7" t="n">
        <v>0</v>
      </c>
      <c r="K62" s="7" t="n">
        <v>2</v>
      </c>
      <c r="L62" s="7" t="n">
        <v>8</v>
      </c>
      <c r="M62" s="7" t="n">
        <v>45</v>
      </c>
      <c r="N62" s="7" t="n">
        <v>14</v>
      </c>
      <c r="O62" s="7" t="n">
        <v>6</v>
      </c>
      <c r="P62" s="7" t="n">
        <v>2</v>
      </c>
      <c r="Q62" s="8" t="n">
        <f aca="false">IF(F62=0,0,H62/F62)</f>
        <v>0.351063829787234</v>
      </c>
      <c r="R62" s="8" t="n">
        <f aca="false">IF(F62+O62=0,0,(H62+O62)/(F62+O62))</f>
        <v>0.39</v>
      </c>
      <c r="S62" s="8" t="n">
        <f aca="false">IF(F62=0,0,M62/F62)</f>
        <v>0.478723404255319</v>
      </c>
      <c r="T62" s="8" t="n">
        <f aca="false">S62+R62</f>
        <v>0.868723404255319</v>
      </c>
      <c r="U62" s="8" t="n">
        <f aca="false">S62-Q62</f>
        <v>0.127659574468085</v>
      </c>
    </row>
    <row r="63" customFormat="false" ht="14.25" hidden="false" customHeight="true" outlineLevel="0" collapsed="false">
      <c r="A63" s="6" t="s">
        <v>143</v>
      </c>
      <c r="B63" s="6" t="s">
        <v>121</v>
      </c>
      <c r="C63" s="7" t="n">
        <v>8</v>
      </c>
      <c r="D63" s="7" t="s">
        <v>534</v>
      </c>
      <c r="E63" s="7" t="n">
        <v>28</v>
      </c>
      <c r="F63" s="7" t="n">
        <v>82</v>
      </c>
      <c r="G63" s="7" t="n">
        <v>20</v>
      </c>
      <c r="H63" s="7" t="n">
        <v>29</v>
      </c>
      <c r="I63" s="7" t="n">
        <v>9</v>
      </c>
      <c r="J63" s="7" t="n">
        <v>0</v>
      </c>
      <c r="K63" s="7" t="n">
        <v>2</v>
      </c>
      <c r="L63" s="7" t="n">
        <v>11</v>
      </c>
      <c r="M63" s="7" t="n">
        <v>44</v>
      </c>
      <c r="N63" s="7" t="n">
        <v>17</v>
      </c>
      <c r="O63" s="7" t="n">
        <v>10</v>
      </c>
      <c r="P63" s="7" t="n">
        <v>2</v>
      </c>
      <c r="Q63" s="8" t="n">
        <f aca="false">IF(F63=0,0,H63/F63)</f>
        <v>0.353658536585366</v>
      </c>
      <c r="R63" s="8" t="n">
        <f aca="false">IF(F63+O63=0,0,(H63+O63)/(F63+O63))</f>
        <v>0.423913043478261</v>
      </c>
      <c r="S63" s="8" t="n">
        <f aca="false">IF(F63=0,0,M63/F63)</f>
        <v>0.536585365853659</v>
      </c>
      <c r="T63" s="8" t="n">
        <f aca="false">S63+R63</f>
        <v>0.960498409331919</v>
      </c>
      <c r="U63" s="8" t="n">
        <f aca="false">S63-Q63</f>
        <v>0.182926829268293</v>
      </c>
    </row>
    <row r="64" customFormat="false" ht="14.25" hidden="false" customHeight="true" outlineLevel="0" collapsed="false">
      <c r="A64" s="6" t="s">
        <v>216</v>
      </c>
      <c r="B64" s="6" t="s">
        <v>212</v>
      </c>
      <c r="C64" s="7" t="n">
        <v>6</v>
      </c>
      <c r="D64" s="7" t="s">
        <v>541</v>
      </c>
      <c r="E64" s="7" t="n">
        <v>44</v>
      </c>
      <c r="F64" s="7" t="n">
        <v>126</v>
      </c>
      <c r="G64" s="7" t="n">
        <v>15</v>
      </c>
      <c r="H64" s="7" t="n">
        <v>27</v>
      </c>
      <c r="I64" s="7" t="n">
        <v>4</v>
      </c>
      <c r="J64" s="7" t="n">
        <v>0</v>
      </c>
      <c r="K64" s="7" t="n">
        <v>4</v>
      </c>
      <c r="L64" s="7" t="n">
        <v>8</v>
      </c>
      <c r="M64" s="7" t="n">
        <v>43</v>
      </c>
      <c r="N64" s="7" t="n">
        <v>15</v>
      </c>
      <c r="O64" s="7" t="n">
        <v>8</v>
      </c>
      <c r="P64" s="7" t="n">
        <v>14</v>
      </c>
      <c r="Q64" s="8" t="n">
        <f aca="false">IF(F64=0,0,H64/F64)</f>
        <v>0.214285714285714</v>
      </c>
      <c r="R64" s="8" t="n">
        <f aca="false">IF(F64+O64=0,0,(H64+O64)/(F64+O64))</f>
        <v>0.261194029850746</v>
      </c>
      <c r="S64" s="8" t="n">
        <f aca="false">IF(F64=0,0,M64/F64)</f>
        <v>0.341269841269841</v>
      </c>
      <c r="T64" s="8" t="n">
        <f aca="false">S64+R64</f>
        <v>0.602463871120588</v>
      </c>
      <c r="U64" s="8" t="n">
        <f aca="false">S64-Q64</f>
        <v>0.126984126984127</v>
      </c>
    </row>
    <row r="65" customFormat="false" ht="14.25" hidden="false" customHeight="true" outlineLevel="0" collapsed="false">
      <c r="A65" s="6" t="s">
        <v>231</v>
      </c>
      <c r="B65" s="6" t="s">
        <v>212</v>
      </c>
      <c r="C65" s="7" t="n">
        <v>7</v>
      </c>
      <c r="D65" s="7" t="s">
        <v>536</v>
      </c>
      <c r="E65" s="7" t="n">
        <v>42</v>
      </c>
      <c r="F65" s="7" t="n">
        <v>104</v>
      </c>
      <c r="G65" s="7" t="n">
        <v>13</v>
      </c>
      <c r="H65" s="7" t="n">
        <v>18</v>
      </c>
      <c r="I65" s="7" t="n">
        <v>2</v>
      </c>
      <c r="J65" s="7" t="n">
        <v>0</v>
      </c>
      <c r="K65" s="7" t="n">
        <v>2</v>
      </c>
      <c r="L65" s="7" t="n">
        <v>4</v>
      </c>
      <c r="M65" s="7" t="n">
        <v>26</v>
      </c>
      <c r="N65" s="7" t="n">
        <v>5</v>
      </c>
      <c r="O65" s="7" t="n">
        <v>7</v>
      </c>
      <c r="P65" s="7" t="n">
        <v>19</v>
      </c>
      <c r="Q65" s="8" t="n">
        <f aca="false">IF(F65=0,0,H65/F65)</f>
        <v>0.173076923076923</v>
      </c>
      <c r="R65" s="8" t="n">
        <f aca="false">IF(F65+O65=0,0,(H65+O65)/(F65+O65))</f>
        <v>0.225225225225225</v>
      </c>
      <c r="S65" s="8" t="n">
        <f aca="false">IF(F65=0,0,M65/F65)</f>
        <v>0.25</v>
      </c>
      <c r="T65" s="8" t="n">
        <f aca="false">S65+R65</f>
        <v>0.475225225225225</v>
      </c>
      <c r="U65" s="8" t="n">
        <f aca="false">S65-Q65</f>
        <v>0.0769230769230769</v>
      </c>
    </row>
    <row r="66" customFormat="false" ht="14.25" hidden="false" customHeight="true" outlineLevel="0" collapsed="false">
      <c r="A66" s="6" t="s">
        <v>179</v>
      </c>
      <c r="B66" s="6" t="s">
        <v>166</v>
      </c>
      <c r="C66" s="7" t="n">
        <v>4</v>
      </c>
      <c r="D66" s="7" t="s">
        <v>558</v>
      </c>
      <c r="E66" s="7" t="n">
        <v>22</v>
      </c>
      <c r="F66" s="7" t="n">
        <v>60</v>
      </c>
      <c r="G66" s="7" t="n">
        <v>10</v>
      </c>
      <c r="H66" s="7" t="n">
        <v>16</v>
      </c>
      <c r="I66" s="7" t="n">
        <v>3</v>
      </c>
      <c r="J66" s="7" t="n">
        <v>0</v>
      </c>
      <c r="K66" s="7" t="n">
        <v>2</v>
      </c>
      <c r="L66" s="7" t="n">
        <v>5</v>
      </c>
      <c r="M66" s="7" t="n">
        <v>25</v>
      </c>
      <c r="N66" s="7" t="n">
        <v>8</v>
      </c>
      <c r="O66" s="7" t="n">
        <v>4</v>
      </c>
      <c r="P66" s="7" t="n">
        <v>2</v>
      </c>
      <c r="Q66" s="8" t="n">
        <f aca="false">IF(F66=0,0,H66/F66)</f>
        <v>0.266666666666667</v>
      </c>
      <c r="R66" s="8" t="n">
        <f aca="false">IF(F66+O66=0,0,(H66+O66)/(F66+O66))</f>
        <v>0.3125</v>
      </c>
      <c r="S66" s="8" t="n">
        <f aca="false">IF(F66=0,0,M66/F66)</f>
        <v>0.416666666666667</v>
      </c>
      <c r="T66" s="8" t="n">
        <f aca="false">S66+R66</f>
        <v>0.729166666666667</v>
      </c>
      <c r="U66" s="8" t="n">
        <f aca="false">S66-Q66</f>
        <v>0.15</v>
      </c>
    </row>
    <row r="67" customFormat="false" ht="14.25" hidden="false" customHeight="true" outlineLevel="0" collapsed="false">
      <c r="A67" s="6" t="s">
        <v>281</v>
      </c>
      <c r="B67" s="6" t="s">
        <v>71</v>
      </c>
      <c r="C67" s="7" t="n">
        <v>4</v>
      </c>
      <c r="D67" s="9" t="s">
        <v>559</v>
      </c>
      <c r="E67" s="7" t="n">
        <v>29</v>
      </c>
      <c r="F67" s="7" t="n">
        <v>72</v>
      </c>
      <c r="G67" s="7" t="n">
        <v>11</v>
      </c>
      <c r="H67" s="7" t="n">
        <v>16</v>
      </c>
      <c r="I67" s="7" t="n">
        <v>0</v>
      </c>
      <c r="J67" s="7" t="n">
        <v>0</v>
      </c>
      <c r="K67" s="7" t="n">
        <v>2</v>
      </c>
      <c r="L67" s="7" t="n">
        <v>2</v>
      </c>
      <c r="M67" s="7" t="n">
        <v>22</v>
      </c>
      <c r="N67" s="7" t="n">
        <v>7</v>
      </c>
      <c r="O67" s="7" t="n">
        <v>13</v>
      </c>
      <c r="P67" s="7" t="n">
        <v>1</v>
      </c>
      <c r="Q67" s="8" t="n">
        <f aca="false">IF(F67=0,0,H67/F67)</f>
        <v>0.222222222222222</v>
      </c>
      <c r="R67" s="8" t="n">
        <f aca="false">IF(F67+O67=0,0,(H67+O67)/(F67+O67))</f>
        <v>0.341176470588235</v>
      </c>
      <c r="S67" s="8" t="n">
        <f aca="false">IF(F67=0,0,M67/F67)</f>
        <v>0.305555555555556</v>
      </c>
      <c r="T67" s="8" t="n">
        <f aca="false">S67+R67</f>
        <v>0.646732026143791</v>
      </c>
      <c r="U67" s="8" t="n">
        <f aca="false">S67-Q67</f>
        <v>0.0833333333333334</v>
      </c>
    </row>
    <row r="68" customFormat="false" ht="14.25" hidden="false" customHeight="true" outlineLevel="0" collapsed="false">
      <c r="A68" s="6" t="s">
        <v>328</v>
      </c>
      <c r="B68" s="6" t="s">
        <v>212</v>
      </c>
      <c r="C68" s="7" t="n">
        <v>2</v>
      </c>
      <c r="D68" s="7" t="s">
        <v>554</v>
      </c>
      <c r="E68" s="7" t="n">
        <v>9</v>
      </c>
      <c r="F68" s="7" t="n">
        <v>21</v>
      </c>
      <c r="G68" s="7" t="n">
        <v>6</v>
      </c>
      <c r="H68" s="7" t="n">
        <v>9</v>
      </c>
      <c r="I68" s="7" t="n">
        <v>1</v>
      </c>
      <c r="J68" s="7" t="n">
        <v>0</v>
      </c>
      <c r="K68" s="7" t="n">
        <v>2</v>
      </c>
      <c r="L68" s="7" t="n">
        <v>3</v>
      </c>
      <c r="M68" s="7" t="n">
        <v>16</v>
      </c>
      <c r="N68" s="7" t="n">
        <v>9</v>
      </c>
      <c r="O68" s="7" t="n">
        <v>6</v>
      </c>
      <c r="P68" s="7" t="n">
        <v>3</v>
      </c>
      <c r="Q68" s="8" t="n">
        <f aca="false">IF(F68=0,0,H68/F68)</f>
        <v>0.428571428571429</v>
      </c>
      <c r="R68" s="8" t="n">
        <f aca="false">IF(F68+O68=0,0,(H68+O68)/(F68+O68))</f>
        <v>0.555555555555556</v>
      </c>
      <c r="S68" s="8" t="n">
        <f aca="false">IF(F68=0,0,M68/F68)</f>
        <v>0.761904761904762</v>
      </c>
      <c r="T68" s="8" t="n">
        <f aca="false">S68+R68</f>
        <v>1.31746031746032</v>
      </c>
      <c r="U68" s="8" t="n">
        <f aca="false">S68-Q68</f>
        <v>0.333333333333333</v>
      </c>
    </row>
    <row r="69" customFormat="false" ht="14.25" hidden="false" customHeight="true" outlineLevel="0" collapsed="false">
      <c r="A69" s="6" t="s">
        <v>88</v>
      </c>
      <c r="B69" s="6" t="s">
        <v>71</v>
      </c>
      <c r="C69" s="7" t="n">
        <v>5</v>
      </c>
      <c r="D69" s="7" t="s">
        <v>557</v>
      </c>
      <c r="E69" s="7" t="n">
        <v>20</v>
      </c>
      <c r="F69" s="7" t="n">
        <v>48</v>
      </c>
      <c r="G69" s="7" t="n">
        <v>7</v>
      </c>
      <c r="H69" s="7" t="n">
        <v>9</v>
      </c>
      <c r="I69" s="7" t="n">
        <v>1</v>
      </c>
      <c r="J69" s="7" t="n">
        <v>0</v>
      </c>
      <c r="K69" s="7" t="n">
        <v>2</v>
      </c>
      <c r="L69" s="7" t="n">
        <v>3</v>
      </c>
      <c r="M69" s="7" t="n">
        <v>16</v>
      </c>
      <c r="N69" s="7" t="n">
        <v>11</v>
      </c>
      <c r="O69" s="7" t="n">
        <v>5</v>
      </c>
      <c r="P69" s="7" t="n">
        <v>2</v>
      </c>
      <c r="Q69" s="8" t="n">
        <f aca="false">IF(F69=0,0,H69/F69)</f>
        <v>0.1875</v>
      </c>
      <c r="R69" s="8" t="n">
        <f aca="false">IF(F69+O69=0,0,(H69+O69)/(F69+O69))</f>
        <v>0.264150943396226</v>
      </c>
      <c r="S69" s="8" t="n">
        <f aca="false">IF(F69=0,0,M69/F69)</f>
        <v>0.333333333333333</v>
      </c>
      <c r="T69" s="8" t="n">
        <f aca="false">S69+R69</f>
        <v>0.59748427672956</v>
      </c>
      <c r="U69" s="8" t="n">
        <f aca="false">S69-Q69</f>
        <v>0.145833333333333</v>
      </c>
    </row>
    <row r="70" customFormat="false" ht="14.25" hidden="false" customHeight="true" outlineLevel="0" collapsed="false">
      <c r="A70" s="6" t="s">
        <v>54</v>
      </c>
      <c r="B70" s="6" t="s">
        <v>560</v>
      </c>
      <c r="C70" s="7" t="n">
        <v>8</v>
      </c>
      <c r="D70" s="9" t="s">
        <v>543</v>
      </c>
      <c r="E70" s="7" t="n">
        <v>78</v>
      </c>
      <c r="F70" s="7" t="n">
        <v>262</v>
      </c>
      <c r="G70" s="7" t="n">
        <v>74</v>
      </c>
      <c r="H70" s="7" t="n">
        <v>86</v>
      </c>
      <c r="I70" s="7" t="n">
        <v>12</v>
      </c>
      <c r="J70" s="7" t="n">
        <v>3</v>
      </c>
      <c r="K70" s="7" t="n">
        <v>1</v>
      </c>
      <c r="L70" s="7" t="n">
        <v>16</v>
      </c>
      <c r="M70" s="7" t="n">
        <v>107</v>
      </c>
      <c r="N70" s="7" t="n">
        <v>19</v>
      </c>
      <c r="O70" s="7" t="n">
        <v>24</v>
      </c>
      <c r="P70" s="7" t="n">
        <v>2</v>
      </c>
      <c r="Q70" s="8" t="n">
        <f aca="false">IF(F70=0,0,H70/F70)</f>
        <v>0.32824427480916</v>
      </c>
      <c r="R70" s="8" t="n">
        <f aca="false">IF(F70+O70=0,0,(H70+O70)/(F70+O70))</f>
        <v>0.384615384615385</v>
      </c>
      <c r="S70" s="8" t="n">
        <f aca="false">IF(F70=0,0,M70/F70)</f>
        <v>0.408396946564886</v>
      </c>
      <c r="T70" s="8" t="n">
        <f aca="false">S70+R70</f>
        <v>0.79301233118027</v>
      </c>
      <c r="U70" s="8" t="n">
        <f aca="false">S70-Q70</f>
        <v>0.0801526717557252</v>
      </c>
    </row>
    <row r="71" customFormat="false" ht="14.25" hidden="false" customHeight="true" outlineLevel="0" collapsed="false">
      <c r="A71" s="6" t="s">
        <v>150</v>
      </c>
      <c r="B71" s="6" t="s">
        <v>147</v>
      </c>
      <c r="C71" s="7" t="n">
        <v>8</v>
      </c>
      <c r="D71" s="7" t="s">
        <v>534</v>
      </c>
      <c r="E71" s="7" t="n">
        <v>91</v>
      </c>
      <c r="F71" s="7" t="n">
        <v>267</v>
      </c>
      <c r="G71" s="7" t="n">
        <v>58</v>
      </c>
      <c r="H71" s="7" t="n">
        <v>81</v>
      </c>
      <c r="I71" s="7" t="n">
        <v>38</v>
      </c>
      <c r="J71" s="7" t="n">
        <v>1</v>
      </c>
      <c r="K71" s="7" t="n">
        <v>1</v>
      </c>
      <c r="L71" s="7" t="n">
        <v>40</v>
      </c>
      <c r="M71" s="7" t="n">
        <v>124</v>
      </c>
      <c r="N71" s="7" t="n">
        <v>48</v>
      </c>
      <c r="O71" s="7" t="n">
        <v>38</v>
      </c>
      <c r="P71" s="7" t="n">
        <v>15</v>
      </c>
      <c r="Q71" s="8" t="n">
        <f aca="false">IF(F71=0,0,H71/F71)</f>
        <v>0.303370786516854</v>
      </c>
      <c r="R71" s="8" t="n">
        <f aca="false">IF(F71+O71=0,0,(H71+O71)/(F71+O71))</f>
        <v>0.39016393442623</v>
      </c>
      <c r="S71" s="8" t="n">
        <f aca="false">IF(F71=0,0,M71/F71)</f>
        <v>0.464419475655431</v>
      </c>
      <c r="T71" s="8" t="n">
        <f aca="false">S71+R71</f>
        <v>0.85458341008166</v>
      </c>
      <c r="U71" s="8" t="n">
        <f aca="false">S71-Q71</f>
        <v>0.161048689138577</v>
      </c>
    </row>
    <row r="72" customFormat="false" ht="14.25" hidden="false" customHeight="true" outlineLevel="0" collapsed="false">
      <c r="A72" s="6" t="s">
        <v>193</v>
      </c>
      <c r="B72" s="6" t="s">
        <v>192</v>
      </c>
      <c r="C72" s="7" t="n">
        <v>7</v>
      </c>
      <c r="D72" s="7" t="s">
        <v>536</v>
      </c>
      <c r="E72" s="7" t="n">
        <v>43</v>
      </c>
      <c r="F72" s="7" t="n">
        <v>127</v>
      </c>
      <c r="G72" s="7" t="n">
        <v>44</v>
      </c>
      <c r="H72" s="7" t="n">
        <v>58</v>
      </c>
      <c r="I72" s="7" t="n">
        <v>22</v>
      </c>
      <c r="J72" s="7" t="n">
        <v>0</v>
      </c>
      <c r="K72" s="7" t="n">
        <v>1</v>
      </c>
      <c r="L72" s="7" t="n">
        <v>23</v>
      </c>
      <c r="M72" s="7" t="n">
        <v>83</v>
      </c>
      <c r="N72" s="7" t="n">
        <v>21</v>
      </c>
      <c r="O72" s="7" t="n">
        <v>11</v>
      </c>
      <c r="P72" s="7" t="n">
        <v>4</v>
      </c>
      <c r="Q72" s="8" t="n">
        <f aca="false">IF(F72=0,0,H72/F72)</f>
        <v>0.456692913385827</v>
      </c>
      <c r="R72" s="8" t="n">
        <f aca="false">IF(F72+O72=0,0,(H72+O72)/(F72+O72))</f>
        <v>0.5</v>
      </c>
      <c r="S72" s="8" t="n">
        <f aca="false">IF(F72=0,0,M72/F72)</f>
        <v>0.653543307086614</v>
      </c>
      <c r="T72" s="8" t="n">
        <f aca="false">S72+R72</f>
        <v>1.15354330708661</v>
      </c>
      <c r="U72" s="8" t="n">
        <f aca="false">S72-Q72</f>
        <v>0.196850393700787</v>
      </c>
    </row>
    <row r="73" customFormat="false" ht="14.25" hidden="false" customHeight="true" outlineLevel="0" collapsed="false">
      <c r="A73" s="6" t="s">
        <v>182</v>
      </c>
      <c r="B73" s="6" t="s">
        <v>166</v>
      </c>
      <c r="C73" s="7" t="n">
        <v>8</v>
      </c>
      <c r="D73" s="9" t="s">
        <v>543</v>
      </c>
      <c r="E73" s="7" t="n">
        <v>65</v>
      </c>
      <c r="F73" s="7" t="n">
        <v>179</v>
      </c>
      <c r="G73" s="7" t="n">
        <v>23</v>
      </c>
      <c r="H73" s="7" t="n">
        <v>45</v>
      </c>
      <c r="I73" s="7" t="n">
        <v>19</v>
      </c>
      <c r="J73" s="7" t="n">
        <v>0</v>
      </c>
      <c r="K73" s="7" t="n">
        <v>1</v>
      </c>
      <c r="L73" s="7" t="n">
        <v>20</v>
      </c>
      <c r="M73" s="7" t="n">
        <v>67</v>
      </c>
      <c r="N73" s="7" t="n">
        <v>16</v>
      </c>
      <c r="O73" s="7" t="n">
        <v>27</v>
      </c>
      <c r="P73" s="7" t="n">
        <v>13</v>
      </c>
      <c r="Q73" s="8" t="n">
        <f aca="false">IF(F73=0,0,H73/F73)</f>
        <v>0.251396648044693</v>
      </c>
      <c r="R73" s="8" t="n">
        <f aca="false">IF(F73+O73=0,0,(H73+O73)/(F73+O73))</f>
        <v>0.349514563106796</v>
      </c>
      <c r="S73" s="8" t="n">
        <f aca="false">IF(F73=0,0,M73/F73)</f>
        <v>0.374301675977654</v>
      </c>
      <c r="T73" s="8" t="n">
        <f aca="false">S73+R73</f>
        <v>0.72381623908445</v>
      </c>
      <c r="U73" s="8" t="n">
        <f aca="false">S73-Q73</f>
        <v>0.122905027932961</v>
      </c>
    </row>
    <row r="74" customFormat="false" ht="14.25" hidden="false" customHeight="true" outlineLevel="0" collapsed="false">
      <c r="A74" s="6" t="s">
        <v>60</v>
      </c>
      <c r="B74" s="6" t="s">
        <v>50</v>
      </c>
      <c r="C74" s="7" t="n">
        <v>8</v>
      </c>
      <c r="D74" s="7" t="s">
        <v>534</v>
      </c>
      <c r="E74" s="7" t="n">
        <v>74</v>
      </c>
      <c r="F74" s="7" t="n">
        <v>193</v>
      </c>
      <c r="G74" s="7" t="n">
        <v>44</v>
      </c>
      <c r="H74" s="7" t="n">
        <v>45</v>
      </c>
      <c r="I74" s="7" t="n">
        <v>21</v>
      </c>
      <c r="J74" s="7" t="n">
        <v>0</v>
      </c>
      <c r="K74" s="7" t="n">
        <v>1</v>
      </c>
      <c r="L74" s="7" t="n">
        <v>22</v>
      </c>
      <c r="M74" s="7" t="n">
        <v>69</v>
      </c>
      <c r="N74" s="7" t="n">
        <v>20</v>
      </c>
      <c r="O74" s="7" t="n">
        <v>45</v>
      </c>
      <c r="P74" s="7" t="n">
        <v>23</v>
      </c>
      <c r="Q74" s="8" t="n">
        <f aca="false">IF(F74=0,0,H74/F74)</f>
        <v>0.233160621761658</v>
      </c>
      <c r="R74" s="8" t="n">
        <f aca="false">IF(F74+O74=0,0,(H74+O74)/(F74+O74))</f>
        <v>0.378151260504202</v>
      </c>
      <c r="S74" s="8" t="n">
        <f aca="false">IF(F74=0,0,M74/F74)</f>
        <v>0.357512953367876</v>
      </c>
      <c r="T74" s="8" t="n">
        <f aca="false">S74+R74</f>
        <v>0.735664213872077</v>
      </c>
      <c r="U74" s="8" t="n">
        <f aca="false">S74-Q74</f>
        <v>0.124352331606218</v>
      </c>
    </row>
    <row r="75" customFormat="false" ht="14.25" hidden="false" customHeight="true" outlineLevel="0" collapsed="false">
      <c r="A75" s="6" t="s">
        <v>83</v>
      </c>
      <c r="B75" s="6" t="s">
        <v>71</v>
      </c>
      <c r="C75" s="7" t="n">
        <v>8</v>
      </c>
      <c r="D75" s="9" t="s">
        <v>543</v>
      </c>
      <c r="E75" s="7" t="n">
        <v>49</v>
      </c>
      <c r="F75" s="7" t="n">
        <v>127</v>
      </c>
      <c r="G75" s="7" t="n">
        <v>28</v>
      </c>
      <c r="H75" s="7" t="n">
        <v>38</v>
      </c>
      <c r="I75" s="7" t="n">
        <v>1</v>
      </c>
      <c r="J75" s="7" t="n">
        <v>0</v>
      </c>
      <c r="K75" s="7" t="n">
        <v>1</v>
      </c>
      <c r="L75" s="7" t="n">
        <v>2</v>
      </c>
      <c r="M75" s="7" t="n">
        <v>42</v>
      </c>
      <c r="N75" s="7" t="n">
        <v>12</v>
      </c>
      <c r="O75" s="7" t="n">
        <v>18</v>
      </c>
      <c r="P75" s="7" t="n">
        <v>4</v>
      </c>
      <c r="Q75" s="8" t="n">
        <f aca="false">IF(F75=0,0,H75/F75)</f>
        <v>0.299212598425197</v>
      </c>
      <c r="R75" s="8" t="n">
        <f aca="false">IF(F75+O75=0,0,(H75+O75)/(F75+O75))</f>
        <v>0.386206896551724</v>
      </c>
      <c r="S75" s="8" t="n">
        <f aca="false">IF(F75=0,0,M75/F75)</f>
        <v>0.330708661417323</v>
      </c>
      <c r="T75" s="8" t="n">
        <f aca="false">S75+R75</f>
        <v>0.716915557969047</v>
      </c>
      <c r="U75" s="8" t="n">
        <f aca="false">S75-Q75</f>
        <v>0.031496062992126</v>
      </c>
    </row>
    <row r="76" customFormat="false" ht="14.25" hidden="false" customHeight="true" outlineLevel="0" collapsed="false">
      <c r="A76" s="6" t="s">
        <v>102</v>
      </c>
      <c r="B76" s="6" t="s">
        <v>97</v>
      </c>
      <c r="C76" s="7" t="n">
        <v>6</v>
      </c>
      <c r="D76" s="7" t="s">
        <v>541</v>
      </c>
      <c r="E76" s="7" t="n">
        <v>62</v>
      </c>
      <c r="F76" s="7" t="n">
        <v>170</v>
      </c>
      <c r="G76" s="7" t="n">
        <v>15</v>
      </c>
      <c r="H76" s="7" t="n">
        <v>40</v>
      </c>
      <c r="I76" s="7" t="n">
        <v>2</v>
      </c>
      <c r="J76" s="7" t="n">
        <v>0</v>
      </c>
      <c r="K76" s="7" t="n">
        <v>1</v>
      </c>
      <c r="L76" s="7" t="n">
        <v>3</v>
      </c>
      <c r="M76" s="7" t="n">
        <v>45</v>
      </c>
      <c r="N76" s="7" t="n">
        <v>8</v>
      </c>
      <c r="O76" s="7" t="n">
        <v>14</v>
      </c>
      <c r="P76" s="7" t="n">
        <v>6</v>
      </c>
      <c r="Q76" s="8" t="n">
        <f aca="false">IF(F76=0,0,H76/F76)</f>
        <v>0.235294117647059</v>
      </c>
      <c r="R76" s="8" t="n">
        <f aca="false">IF(F76+O76=0,0,(H76+O76)/(F76+O76))</f>
        <v>0.293478260869565</v>
      </c>
      <c r="S76" s="8" t="n">
        <f aca="false">IF(F76=0,0,M76/F76)</f>
        <v>0.264705882352941</v>
      </c>
      <c r="T76" s="8" t="n">
        <f aca="false">S76+R76</f>
        <v>0.558184143222506</v>
      </c>
      <c r="U76" s="8" t="n">
        <f aca="false">S76-Q76</f>
        <v>0.0294117647058824</v>
      </c>
    </row>
    <row r="77" customFormat="false" ht="14.25" hidden="false" customHeight="true" outlineLevel="0" collapsed="false">
      <c r="A77" s="6" t="s">
        <v>57</v>
      </c>
      <c r="B77" s="6" t="s">
        <v>50</v>
      </c>
      <c r="C77" s="7" t="n">
        <v>5</v>
      </c>
      <c r="D77" s="7" t="s">
        <v>557</v>
      </c>
      <c r="E77" s="7" t="n">
        <v>33</v>
      </c>
      <c r="F77" s="7" t="n">
        <v>100</v>
      </c>
      <c r="G77" s="7" t="n">
        <v>19</v>
      </c>
      <c r="H77" s="7" t="n">
        <v>37</v>
      </c>
      <c r="I77" s="7" t="n">
        <v>9</v>
      </c>
      <c r="J77" s="7" t="n">
        <v>0</v>
      </c>
      <c r="K77" s="7" t="n">
        <v>1</v>
      </c>
      <c r="L77" s="7" t="n">
        <v>10</v>
      </c>
      <c r="M77" s="7" t="n">
        <v>49</v>
      </c>
      <c r="N77" s="7" t="n">
        <v>15</v>
      </c>
      <c r="O77" s="7" t="n">
        <v>10</v>
      </c>
      <c r="P77" s="7" t="n">
        <v>2</v>
      </c>
      <c r="Q77" s="8" t="n">
        <f aca="false">IF(F77=0,0,H77/F77)</f>
        <v>0.37</v>
      </c>
      <c r="R77" s="8" t="n">
        <f aca="false">IF(F77+O77=0,0,(H77+O77)/(F77+O77))</f>
        <v>0.427272727272727</v>
      </c>
      <c r="S77" s="8" t="n">
        <f aca="false">IF(F77=0,0,M77/F77)</f>
        <v>0.49</v>
      </c>
      <c r="T77" s="8" t="n">
        <f aca="false">S77+R77</f>
        <v>0.917272727272727</v>
      </c>
      <c r="U77" s="8" t="n">
        <f aca="false">S77-Q77</f>
        <v>0.12</v>
      </c>
    </row>
    <row r="78" customFormat="false" ht="14.25" hidden="false" customHeight="true" outlineLevel="0" collapsed="false">
      <c r="A78" s="6" t="s">
        <v>153</v>
      </c>
      <c r="B78" s="6" t="s">
        <v>147</v>
      </c>
      <c r="C78" s="7" t="n">
        <v>3</v>
      </c>
      <c r="D78" s="7" t="s">
        <v>552</v>
      </c>
      <c r="E78" s="7" t="n">
        <v>30</v>
      </c>
      <c r="F78" s="7" t="n">
        <v>93</v>
      </c>
      <c r="G78" s="7" t="n">
        <v>23</v>
      </c>
      <c r="H78" s="7" t="n">
        <v>38</v>
      </c>
      <c r="I78" s="7" t="n">
        <v>14</v>
      </c>
      <c r="J78" s="7" t="n">
        <v>2</v>
      </c>
      <c r="K78" s="7" t="n">
        <v>1</v>
      </c>
      <c r="L78" s="7" t="n">
        <v>17</v>
      </c>
      <c r="M78" s="7" t="n">
        <v>59</v>
      </c>
      <c r="N78" s="7" t="n">
        <v>20</v>
      </c>
      <c r="O78" s="7" t="n">
        <v>8</v>
      </c>
      <c r="P78" s="7" t="n">
        <v>4</v>
      </c>
      <c r="Q78" s="8" t="n">
        <f aca="false">IF(F78=0,0,H78/F78)</f>
        <v>0.408602150537634</v>
      </c>
      <c r="R78" s="8" t="n">
        <f aca="false">IF(F78+O78=0,0,(H78+O78)/(F78+O78))</f>
        <v>0.455445544554455</v>
      </c>
      <c r="S78" s="8" t="n">
        <f aca="false">IF(F78=0,0,M78/F78)</f>
        <v>0.634408602150538</v>
      </c>
      <c r="T78" s="8" t="n">
        <f aca="false">S78+R78</f>
        <v>1.08985414670499</v>
      </c>
      <c r="U78" s="8" t="n">
        <f aca="false">S78-Q78</f>
        <v>0.225806451612903</v>
      </c>
    </row>
    <row r="79" customFormat="false" ht="14.25" hidden="false" customHeight="true" outlineLevel="0" collapsed="false">
      <c r="A79" s="6" t="s">
        <v>131</v>
      </c>
      <c r="B79" s="6" t="s">
        <v>121</v>
      </c>
      <c r="C79" s="7" t="n">
        <v>6</v>
      </c>
      <c r="D79" s="7" t="s">
        <v>541</v>
      </c>
      <c r="E79" s="7" t="n">
        <v>24</v>
      </c>
      <c r="F79" s="7" t="n">
        <v>79</v>
      </c>
      <c r="G79" s="7" t="n">
        <v>28</v>
      </c>
      <c r="H79" s="7" t="n">
        <v>39</v>
      </c>
      <c r="I79" s="7" t="n">
        <v>15</v>
      </c>
      <c r="J79" s="7" t="n">
        <v>0</v>
      </c>
      <c r="K79" s="7" t="n">
        <v>1</v>
      </c>
      <c r="L79" s="7" t="n">
        <v>16</v>
      </c>
      <c r="M79" s="7" t="n">
        <v>57</v>
      </c>
      <c r="N79" s="7" t="n">
        <v>15</v>
      </c>
      <c r="O79" s="7" t="n">
        <v>12</v>
      </c>
      <c r="P79" s="7" t="n">
        <v>1</v>
      </c>
      <c r="Q79" s="8" t="n">
        <f aca="false">IF(F79=0,0,H79/F79)</f>
        <v>0.493670886075949</v>
      </c>
      <c r="R79" s="8" t="n">
        <f aca="false">IF(F79+O79=0,0,(H79+O79)/(F79+O79))</f>
        <v>0.56043956043956</v>
      </c>
      <c r="S79" s="8" t="n">
        <f aca="false">IF(F79=0,0,M79/F79)</f>
        <v>0.721518987341772</v>
      </c>
      <c r="T79" s="8" t="n">
        <f aca="false">S79+R79</f>
        <v>1.28195854778133</v>
      </c>
      <c r="U79" s="8" t="n">
        <f aca="false">S79-Q79</f>
        <v>0.227848101265823</v>
      </c>
    </row>
    <row r="80" customFormat="false" ht="14.25" hidden="false" customHeight="true" outlineLevel="0" collapsed="false">
      <c r="A80" s="6" t="s">
        <v>285</v>
      </c>
      <c r="B80" s="6" t="s">
        <v>97</v>
      </c>
      <c r="C80" s="7" t="n">
        <v>4</v>
      </c>
      <c r="D80" s="7" t="s">
        <v>561</v>
      </c>
      <c r="E80" s="7" t="n">
        <v>24</v>
      </c>
      <c r="F80" s="7" t="n">
        <v>70</v>
      </c>
      <c r="G80" s="7" t="n">
        <v>16</v>
      </c>
      <c r="H80" s="7" t="n">
        <v>31</v>
      </c>
      <c r="I80" s="7" t="n">
        <v>13</v>
      </c>
      <c r="J80" s="7" t="n">
        <v>0</v>
      </c>
      <c r="K80" s="7" t="n">
        <v>1</v>
      </c>
      <c r="L80" s="7" t="n">
        <v>14</v>
      </c>
      <c r="M80" s="7" t="n">
        <v>47</v>
      </c>
      <c r="N80" s="7" t="n">
        <v>14</v>
      </c>
      <c r="O80" s="7" t="n">
        <v>8</v>
      </c>
      <c r="P80" s="7" t="n">
        <v>1</v>
      </c>
      <c r="Q80" s="8" t="n">
        <f aca="false">IF(F80=0,0,H80/F80)</f>
        <v>0.442857142857143</v>
      </c>
      <c r="R80" s="8" t="n">
        <f aca="false">IF(F80+O80=0,0,(H80+O80)/(F80+O80))</f>
        <v>0.5</v>
      </c>
      <c r="S80" s="8" t="n">
        <f aca="false">IF(F80=0,0,M80/F80)</f>
        <v>0.671428571428571</v>
      </c>
      <c r="T80" s="8" t="n">
        <f aca="false">S80+R80</f>
        <v>1.17142857142857</v>
      </c>
      <c r="U80" s="8" t="n">
        <f aca="false">S80-Q80</f>
        <v>0.228571428571429</v>
      </c>
    </row>
    <row r="81" customFormat="false" ht="14.25" hidden="false" customHeight="true" outlineLevel="0" collapsed="false">
      <c r="A81" s="6" t="s">
        <v>128</v>
      </c>
      <c r="B81" s="6" t="s">
        <v>121</v>
      </c>
      <c r="C81" s="7" t="n">
        <v>5</v>
      </c>
      <c r="D81" s="7" t="s">
        <v>557</v>
      </c>
      <c r="E81" s="7" t="n">
        <v>24</v>
      </c>
      <c r="F81" s="7" t="n">
        <v>63</v>
      </c>
      <c r="G81" s="7" t="n">
        <v>10</v>
      </c>
      <c r="H81" s="7" t="n">
        <v>21</v>
      </c>
      <c r="I81" s="7" t="n">
        <v>1</v>
      </c>
      <c r="J81" s="7" t="n">
        <v>0</v>
      </c>
      <c r="K81" s="7" t="n">
        <v>1</v>
      </c>
      <c r="L81" s="7" t="n">
        <v>2</v>
      </c>
      <c r="M81" s="7" t="n">
        <v>25</v>
      </c>
      <c r="N81" s="7" t="n">
        <v>6</v>
      </c>
      <c r="O81" s="7" t="n">
        <v>4</v>
      </c>
      <c r="P81" s="7" t="n">
        <v>5</v>
      </c>
      <c r="Q81" s="8" t="n">
        <f aca="false">IF(F81=0,0,H81/F81)</f>
        <v>0.333333333333333</v>
      </c>
      <c r="R81" s="8" t="n">
        <f aca="false">IF(F81+O81=0,0,(H81+O81)/(F81+O81))</f>
        <v>0.373134328358209</v>
      </c>
      <c r="S81" s="8" t="n">
        <f aca="false">IF(F81=0,0,M81/F81)</f>
        <v>0.396825396825397</v>
      </c>
      <c r="T81" s="8" t="n">
        <f aca="false">S81+R81</f>
        <v>0.769959725183606</v>
      </c>
      <c r="U81" s="8" t="n">
        <f aca="false">S81-Q81</f>
        <v>0.0634920634920635</v>
      </c>
    </row>
    <row r="82" customFormat="false" ht="14.25" hidden="false" customHeight="true" outlineLevel="0" collapsed="false">
      <c r="A82" s="6" t="s">
        <v>66</v>
      </c>
      <c r="B82" s="6" t="s">
        <v>50</v>
      </c>
      <c r="C82" s="7" t="n">
        <v>8</v>
      </c>
      <c r="D82" s="7" t="s">
        <v>534</v>
      </c>
      <c r="E82" s="7" t="n">
        <v>48</v>
      </c>
      <c r="F82" s="7" t="n">
        <v>115</v>
      </c>
      <c r="G82" s="7" t="n">
        <v>15</v>
      </c>
      <c r="H82" s="7" t="n">
        <v>20</v>
      </c>
      <c r="I82" s="7" t="n">
        <v>0</v>
      </c>
      <c r="J82" s="7" t="n">
        <v>0</v>
      </c>
      <c r="K82" s="7" t="n">
        <v>1</v>
      </c>
      <c r="L82" s="7" t="n">
        <v>1</v>
      </c>
      <c r="M82" s="7" t="n">
        <v>23</v>
      </c>
      <c r="N82" s="7" t="n">
        <v>12</v>
      </c>
      <c r="O82" s="7" t="n">
        <v>14</v>
      </c>
      <c r="P82" s="7" t="n">
        <v>4</v>
      </c>
      <c r="Q82" s="8" t="n">
        <f aca="false">IF(F82=0,0,H82/F82)</f>
        <v>0.173913043478261</v>
      </c>
      <c r="R82" s="8" t="n">
        <f aca="false">IF(F82+O82=0,0,(H82+O82)/(F82+O82))</f>
        <v>0.263565891472868</v>
      </c>
      <c r="S82" s="8" t="n">
        <f aca="false">IF(F82=0,0,M82/F82)</f>
        <v>0.2</v>
      </c>
      <c r="T82" s="8" t="n">
        <f aca="false">S82+R82</f>
        <v>0.463565891472868</v>
      </c>
      <c r="U82" s="8" t="n">
        <f aca="false">S82-Q82</f>
        <v>0.0260869565217391</v>
      </c>
    </row>
    <row r="83" customFormat="false" ht="14.25" hidden="false" customHeight="true" outlineLevel="0" collapsed="false">
      <c r="A83" s="6" t="s">
        <v>242</v>
      </c>
      <c r="B83" s="6" t="s">
        <v>71</v>
      </c>
      <c r="C83" s="7" t="n">
        <v>6</v>
      </c>
      <c r="D83" s="7" t="s">
        <v>542</v>
      </c>
      <c r="E83" s="7" t="n">
        <v>44</v>
      </c>
      <c r="F83" s="7" t="n">
        <v>113</v>
      </c>
      <c r="G83" s="7" t="n">
        <v>11</v>
      </c>
      <c r="H83" s="7" t="n">
        <v>17</v>
      </c>
      <c r="I83" s="7" t="n">
        <v>2</v>
      </c>
      <c r="J83" s="7" t="n">
        <v>0</v>
      </c>
      <c r="K83" s="7" t="n">
        <v>1</v>
      </c>
      <c r="L83" s="7" t="n">
        <v>3</v>
      </c>
      <c r="M83" s="7" t="n">
        <v>22</v>
      </c>
      <c r="N83" s="7" t="n">
        <v>9</v>
      </c>
      <c r="O83" s="7" t="n">
        <v>5</v>
      </c>
      <c r="P83" s="7" t="n">
        <v>1</v>
      </c>
      <c r="Q83" s="8" t="n">
        <f aca="false">IF(F83=0,0,H83/F83)</f>
        <v>0.150442477876106</v>
      </c>
      <c r="R83" s="8" t="n">
        <f aca="false">IF(F83+O83=0,0,(H83+O83)/(F83+O83))</f>
        <v>0.186440677966102</v>
      </c>
      <c r="S83" s="8" t="n">
        <f aca="false">IF(F83=0,0,M83/F83)</f>
        <v>0.194690265486726</v>
      </c>
      <c r="T83" s="8" t="n">
        <f aca="false">S83+R83</f>
        <v>0.381130943452827</v>
      </c>
      <c r="U83" s="8" t="n">
        <f aca="false">S83-Q83</f>
        <v>0.0442477876106195</v>
      </c>
    </row>
    <row r="84" customFormat="false" ht="14.25" hidden="false" customHeight="true" outlineLevel="0" collapsed="false">
      <c r="A84" s="6" t="s">
        <v>309</v>
      </c>
      <c r="B84" s="6" t="s">
        <v>192</v>
      </c>
      <c r="C84" s="7" t="n">
        <v>6</v>
      </c>
      <c r="D84" s="7" t="s">
        <v>549</v>
      </c>
      <c r="E84" s="7" t="n">
        <v>30</v>
      </c>
      <c r="F84" s="7" t="n">
        <v>83</v>
      </c>
      <c r="G84" s="7" t="n">
        <v>11</v>
      </c>
      <c r="H84" s="7" t="n">
        <v>16</v>
      </c>
      <c r="I84" s="7" t="n">
        <v>5</v>
      </c>
      <c r="J84" s="7" t="n">
        <v>1</v>
      </c>
      <c r="K84" s="7" t="n">
        <v>1</v>
      </c>
      <c r="L84" s="7" t="n">
        <v>7</v>
      </c>
      <c r="M84" s="7" t="n">
        <v>26</v>
      </c>
      <c r="N84" s="7" t="n">
        <v>11</v>
      </c>
      <c r="O84" s="7" t="n">
        <v>5</v>
      </c>
      <c r="P84" s="7" t="n">
        <v>8</v>
      </c>
      <c r="Q84" s="8" t="n">
        <f aca="false">IF(F84=0,0,H84/F84)</f>
        <v>0.192771084337349</v>
      </c>
      <c r="R84" s="8" t="n">
        <f aca="false">IF(F84+O84=0,0,(H84+O84)/(F84+O84))</f>
        <v>0.238636363636364</v>
      </c>
      <c r="S84" s="8" t="n">
        <f aca="false">IF(F84=0,0,M84/F84)</f>
        <v>0.313253012048193</v>
      </c>
      <c r="T84" s="8" t="n">
        <f aca="false">S84+R84</f>
        <v>0.551889375684556</v>
      </c>
      <c r="U84" s="8" t="n">
        <f aca="false">S84-Q84</f>
        <v>0.120481927710843</v>
      </c>
    </row>
    <row r="85" customFormat="false" ht="14.25" hidden="false" customHeight="true" outlineLevel="0" collapsed="false">
      <c r="A85" s="6" t="s">
        <v>127</v>
      </c>
      <c r="B85" s="6" t="s">
        <v>121</v>
      </c>
      <c r="C85" s="7" t="n">
        <v>2</v>
      </c>
      <c r="D85" s="7" t="s">
        <v>562</v>
      </c>
      <c r="E85" s="7" t="n">
        <v>11</v>
      </c>
      <c r="F85" s="7" t="n">
        <v>39</v>
      </c>
      <c r="G85" s="7" t="n">
        <v>7</v>
      </c>
      <c r="H85" s="7" t="n">
        <v>14</v>
      </c>
      <c r="I85" s="7" t="n">
        <v>7</v>
      </c>
      <c r="J85" s="7" t="n">
        <v>0</v>
      </c>
      <c r="K85" s="7" t="n">
        <v>1</v>
      </c>
      <c r="L85" s="7" t="n">
        <v>8</v>
      </c>
      <c r="M85" s="7" t="n">
        <v>24</v>
      </c>
      <c r="N85" s="7" t="n">
        <v>5</v>
      </c>
      <c r="O85" s="7" t="n">
        <v>0</v>
      </c>
      <c r="P85" s="7" t="n">
        <v>1</v>
      </c>
      <c r="Q85" s="8" t="n">
        <f aca="false">IF(F85=0,0,H85/F85)</f>
        <v>0.358974358974359</v>
      </c>
      <c r="R85" s="8" t="n">
        <f aca="false">IF(F85+O85=0,0,(H85+O85)/(F85+O85))</f>
        <v>0.358974358974359</v>
      </c>
      <c r="S85" s="8" t="n">
        <f aca="false">IF(F85=0,0,M85/F85)</f>
        <v>0.615384615384615</v>
      </c>
      <c r="T85" s="8" t="n">
        <f aca="false">S85+R85</f>
        <v>0.974358974358975</v>
      </c>
      <c r="U85" s="8" t="n">
        <f aca="false">S85-Q85</f>
        <v>0.256410256410256</v>
      </c>
    </row>
    <row r="86" customFormat="false" ht="14.25" hidden="false" customHeight="true" outlineLevel="0" collapsed="false">
      <c r="A86" s="6" t="s">
        <v>450</v>
      </c>
      <c r="B86" s="6" t="s">
        <v>212</v>
      </c>
      <c r="C86" s="7" t="n">
        <v>3</v>
      </c>
      <c r="D86" s="7" t="s">
        <v>563</v>
      </c>
      <c r="E86" s="7" t="n">
        <v>16</v>
      </c>
      <c r="F86" s="7" t="n">
        <v>38</v>
      </c>
      <c r="G86" s="7" t="n">
        <v>7</v>
      </c>
      <c r="H86" s="7" t="n">
        <v>10</v>
      </c>
      <c r="I86" s="7" t="n">
        <v>0</v>
      </c>
      <c r="J86" s="7" t="n">
        <v>0</v>
      </c>
      <c r="K86" s="7" t="n">
        <v>1</v>
      </c>
      <c r="L86" s="7" t="n">
        <v>1</v>
      </c>
      <c r="M86" s="7" t="n">
        <v>13</v>
      </c>
      <c r="N86" s="7" t="n">
        <v>3</v>
      </c>
      <c r="O86" s="7" t="n">
        <v>4</v>
      </c>
      <c r="P86" s="7" t="n">
        <v>3</v>
      </c>
      <c r="Q86" s="8" t="n">
        <f aca="false">IF(F86=0,0,H86/F86)</f>
        <v>0.263157894736842</v>
      </c>
      <c r="R86" s="8" t="n">
        <f aca="false">IF(F86+O86=0,0,(H86+O86)/(F86+O86))</f>
        <v>0.333333333333333</v>
      </c>
      <c r="S86" s="8" t="n">
        <f aca="false">IF(F86=0,0,M86/F86)</f>
        <v>0.342105263157895</v>
      </c>
      <c r="T86" s="8" t="n">
        <f aca="false">S86+R86</f>
        <v>0.675438596491228</v>
      </c>
      <c r="U86" s="8" t="n">
        <f aca="false">S86-Q86</f>
        <v>0.0789473684210527</v>
      </c>
    </row>
    <row r="87" customFormat="false" ht="14.25" hidden="false" customHeight="true" outlineLevel="0" collapsed="false">
      <c r="A87" s="6" t="s">
        <v>103</v>
      </c>
      <c r="B87" s="6" t="s">
        <v>97</v>
      </c>
      <c r="C87" s="7" t="n">
        <v>2</v>
      </c>
      <c r="D87" s="7" t="s">
        <v>562</v>
      </c>
      <c r="E87" s="7" t="n">
        <v>15</v>
      </c>
      <c r="F87" s="7" t="n">
        <v>42</v>
      </c>
      <c r="G87" s="7" t="n">
        <v>6</v>
      </c>
      <c r="H87" s="7" t="n">
        <v>18</v>
      </c>
      <c r="I87" s="7" t="n">
        <v>3</v>
      </c>
      <c r="J87" s="7" t="n">
        <v>1</v>
      </c>
      <c r="K87" s="7" t="n">
        <v>3</v>
      </c>
      <c r="L87" s="7" t="n">
        <v>7</v>
      </c>
      <c r="M87" s="7" t="n">
        <v>32</v>
      </c>
      <c r="N87" s="7" t="n">
        <v>9</v>
      </c>
      <c r="O87" s="7" t="n">
        <v>5</v>
      </c>
      <c r="P87" s="7" t="n">
        <v>0</v>
      </c>
      <c r="Q87" s="8" t="n">
        <f aca="false">IF(F87=0,0,H87/F87)</f>
        <v>0.428571428571429</v>
      </c>
      <c r="R87" s="8" t="n">
        <f aca="false">IF(F87+O87=0,0,(H87+O87)/(F87+O87))</f>
        <v>0.48936170212766</v>
      </c>
      <c r="S87" s="8" t="n">
        <f aca="false">IF(F87=0,0,M87/F87)</f>
        <v>0.761904761904762</v>
      </c>
      <c r="T87" s="8" t="n">
        <f aca="false">S87+R87</f>
        <v>1.25126646403242</v>
      </c>
      <c r="U87" s="8" t="n">
        <f aca="false">S87-Q87</f>
        <v>0.333333333333333</v>
      </c>
    </row>
    <row r="88" customFormat="false" ht="14.25" hidden="false" customHeight="true" outlineLevel="0" collapsed="false">
      <c r="A88" s="6" t="s">
        <v>265</v>
      </c>
      <c r="B88" s="6" t="s">
        <v>121</v>
      </c>
      <c r="C88" s="7" t="n">
        <v>2</v>
      </c>
      <c r="D88" s="7" t="s">
        <v>564</v>
      </c>
      <c r="E88" s="7" t="n">
        <v>10</v>
      </c>
      <c r="F88" s="7" t="n">
        <v>28</v>
      </c>
      <c r="G88" s="7" t="n">
        <v>3</v>
      </c>
      <c r="H88" s="7" t="n">
        <v>9</v>
      </c>
      <c r="I88" s="7" t="n">
        <v>1</v>
      </c>
      <c r="J88" s="7" t="n">
        <v>0</v>
      </c>
      <c r="K88" s="7" t="n">
        <v>1</v>
      </c>
      <c r="L88" s="7" t="n">
        <v>2</v>
      </c>
      <c r="M88" s="7" t="n">
        <v>13</v>
      </c>
      <c r="N88" s="7" t="n">
        <v>9</v>
      </c>
      <c r="O88" s="7" t="n">
        <v>0</v>
      </c>
      <c r="P88" s="7" t="n">
        <v>0</v>
      </c>
      <c r="Q88" s="8" t="n">
        <f aca="false">IF(F88=0,0,H88/F88)</f>
        <v>0.321428571428571</v>
      </c>
      <c r="R88" s="8" t="n">
        <f aca="false">IF(F88+O88=0,0,(H88+O88)/(F88+O88))</f>
        <v>0.321428571428571</v>
      </c>
      <c r="S88" s="8" t="n">
        <f aca="false">IF(F88=0,0,M88/F88)</f>
        <v>0.464285714285714</v>
      </c>
      <c r="T88" s="8" t="n">
        <f aca="false">S88+R88</f>
        <v>0.785714285714286</v>
      </c>
      <c r="U88" s="8" t="n">
        <f aca="false">S88-Q88</f>
        <v>0.142857142857143</v>
      </c>
    </row>
    <row r="89" customFormat="false" ht="14.25" hidden="false" customHeight="true" outlineLevel="0" collapsed="false">
      <c r="A89" s="6" t="s">
        <v>171</v>
      </c>
      <c r="B89" s="6" t="s">
        <v>548</v>
      </c>
      <c r="C89" s="7" t="n">
        <v>4</v>
      </c>
      <c r="D89" s="9" t="s">
        <v>565</v>
      </c>
      <c r="E89" s="7" t="n">
        <v>16</v>
      </c>
      <c r="F89" s="7" t="n">
        <v>37</v>
      </c>
      <c r="G89" s="7" t="n">
        <v>3</v>
      </c>
      <c r="H89" s="7" t="n">
        <v>8</v>
      </c>
      <c r="I89" s="7" t="n">
        <v>1</v>
      </c>
      <c r="J89" s="7" t="n">
        <v>0</v>
      </c>
      <c r="K89" s="7" t="n">
        <v>1</v>
      </c>
      <c r="L89" s="7" t="n">
        <v>2</v>
      </c>
      <c r="M89" s="7" t="n">
        <v>12</v>
      </c>
      <c r="N89" s="7" t="n">
        <v>5</v>
      </c>
      <c r="O89" s="7" t="n">
        <v>5</v>
      </c>
      <c r="P89" s="7" t="n">
        <v>2</v>
      </c>
      <c r="Q89" s="8" t="n">
        <f aca="false">IF(F89=0,0,H89/F89)</f>
        <v>0.216216216216216</v>
      </c>
      <c r="R89" s="8" t="n">
        <f aca="false">IF(F89+O89=0,0,(H89+O89)/(F89+O89))</f>
        <v>0.30952380952381</v>
      </c>
      <c r="S89" s="8" t="n">
        <f aca="false">IF(F89=0,0,M89/F89)</f>
        <v>0.324324324324324</v>
      </c>
      <c r="T89" s="8" t="n">
        <f aca="false">S89+R89</f>
        <v>0.633848133848134</v>
      </c>
      <c r="U89" s="8" t="n">
        <f aca="false">S89-Q89</f>
        <v>0.108108108108108</v>
      </c>
    </row>
    <row r="90" customFormat="false" ht="14.25" hidden="false" customHeight="true" outlineLevel="0" collapsed="false">
      <c r="A90" s="6" t="s">
        <v>169</v>
      </c>
      <c r="B90" s="6" t="s">
        <v>535</v>
      </c>
      <c r="C90" s="7" t="n">
        <v>2</v>
      </c>
      <c r="D90" s="7" t="s">
        <v>566</v>
      </c>
      <c r="E90" s="7" t="n">
        <v>3</v>
      </c>
      <c r="F90" s="7" t="n">
        <v>8</v>
      </c>
      <c r="G90" s="7" t="n">
        <v>5</v>
      </c>
      <c r="H90" s="7" t="n">
        <v>7</v>
      </c>
      <c r="I90" s="7" t="n">
        <v>1</v>
      </c>
      <c r="J90" s="7" t="n">
        <v>0</v>
      </c>
      <c r="K90" s="7" t="n">
        <v>1</v>
      </c>
      <c r="L90" s="7" t="n">
        <v>2</v>
      </c>
      <c r="M90" s="7" t="n">
        <v>11</v>
      </c>
      <c r="N90" s="7" t="n">
        <v>4</v>
      </c>
      <c r="O90" s="7" t="n">
        <v>1</v>
      </c>
      <c r="P90" s="7" t="n">
        <v>0</v>
      </c>
      <c r="Q90" s="8" t="n">
        <f aca="false">IF(F90=0,0,H90/F90)</f>
        <v>0.875</v>
      </c>
      <c r="R90" s="8" t="n">
        <f aca="false">IF(F90+O90=0,0,(H90+O90)/(F90+O90))</f>
        <v>0.888888888888889</v>
      </c>
      <c r="S90" s="8" t="n">
        <f aca="false">IF(F90=0,0,M90/F90)</f>
        <v>1.375</v>
      </c>
      <c r="T90" s="8" t="n">
        <f aca="false">S90+R90</f>
        <v>2.26388888888889</v>
      </c>
      <c r="U90" s="8" t="n">
        <f aca="false">S90-Q90</f>
        <v>0.5</v>
      </c>
    </row>
    <row r="91" customFormat="false" ht="14.25" hidden="false" customHeight="true" outlineLevel="0" collapsed="false">
      <c r="A91" s="6" t="s">
        <v>100</v>
      </c>
      <c r="B91" s="6" t="s">
        <v>97</v>
      </c>
      <c r="C91" s="7" t="n">
        <v>3</v>
      </c>
      <c r="D91" s="9" t="s">
        <v>567</v>
      </c>
      <c r="E91" s="7" t="n">
        <v>19</v>
      </c>
      <c r="F91" s="7" t="n">
        <v>54</v>
      </c>
      <c r="G91" s="7" t="n">
        <v>4</v>
      </c>
      <c r="H91" s="7" t="n">
        <v>15</v>
      </c>
      <c r="I91" s="7" t="n">
        <v>5</v>
      </c>
      <c r="J91" s="7" t="n">
        <v>0</v>
      </c>
      <c r="K91" s="7" t="n">
        <v>3</v>
      </c>
      <c r="L91" s="7" t="n">
        <v>8</v>
      </c>
      <c r="M91" s="7" t="n">
        <v>29</v>
      </c>
      <c r="N91" s="7" t="n">
        <v>16</v>
      </c>
      <c r="O91" s="7" t="n">
        <v>3</v>
      </c>
      <c r="P91" s="7" t="n">
        <v>5</v>
      </c>
      <c r="Q91" s="8" t="n">
        <f aca="false">IF(F91=0,0,H91/F91)</f>
        <v>0.277777777777778</v>
      </c>
      <c r="R91" s="8" t="n">
        <f aca="false">IF(F91+O91=0,0,(H91+O91)/(F91+O91))</f>
        <v>0.315789473684211</v>
      </c>
      <c r="S91" s="8" t="n">
        <f aca="false">IF(F91=0,0,M91/F91)</f>
        <v>0.537037037037037</v>
      </c>
      <c r="T91" s="8" t="n">
        <f aca="false">S91+R91</f>
        <v>0.852826510721248</v>
      </c>
      <c r="U91" s="8" t="n">
        <f aca="false">S91-Q91</f>
        <v>0.259259259259259</v>
      </c>
    </row>
    <row r="92" customFormat="false" ht="14.25" hidden="false" customHeight="true" outlineLevel="0" collapsed="false">
      <c r="A92" s="6" t="s">
        <v>485</v>
      </c>
      <c r="B92" s="6" t="s">
        <v>166</v>
      </c>
      <c r="C92" s="7" t="n">
        <v>2</v>
      </c>
      <c r="D92" s="7" t="s">
        <v>554</v>
      </c>
      <c r="E92" s="7" t="n">
        <v>17</v>
      </c>
      <c r="F92" s="7" t="n">
        <v>44</v>
      </c>
      <c r="G92" s="7" t="n">
        <v>2</v>
      </c>
      <c r="H92" s="7" t="n">
        <v>7</v>
      </c>
      <c r="I92" s="7" t="n">
        <v>2</v>
      </c>
      <c r="J92" s="7" t="n">
        <v>0</v>
      </c>
      <c r="K92" s="7" t="n">
        <v>1</v>
      </c>
      <c r="L92" s="7" t="n">
        <v>3</v>
      </c>
      <c r="M92" s="7" t="n">
        <v>12</v>
      </c>
      <c r="N92" s="7" t="n">
        <v>6</v>
      </c>
      <c r="O92" s="7" t="n">
        <v>8</v>
      </c>
      <c r="P92" s="7" t="n">
        <v>5</v>
      </c>
      <c r="Q92" s="8" t="n">
        <f aca="false">IF(F92=0,0,H92/F92)</f>
        <v>0.159090909090909</v>
      </c>
      <c r="R92" s="8" t="n">
        <f aca="false">IF(F92+O92=0,0,(H92+O92)/(F92+O92))</f>
        <v>0.288461538461538</v>
      </c>
      <c r="S92" s="8" t="n">
        <f aca="false">IF(F92=0,0,M92/F92)</f>
        <v>0.272727272727273</v>
      </c>
      <c r="T92" s="8" t="n">
        <f aca="false">S92+R92</f>
        <v>0.561188811188811</v>
      </c>
      <c r="U92" s="8" t="n">
        <f aca="false">S92-Q92</f>
        <v>0.113636363636364</v>
      </c>
    </row>
    <row r="93" customFormat="false" ht="14.25" hidden="false" customHeight="true" outlineLevel="0" collapsed="false">
      <c r="A93" s="6" t="s">
        <v>218</v>
      </c>
      <c r="B93" s="6" t="s">
        <v>212</v>
      </c>
      <c r="C93" s="7" t="n">
        <v>3</v>
      </c>
      <c r="D93" s="7" t="s">
        <v>552</v>
      </c>
      <c r="E93" s="7" t="n">
        <v>17</v>
      </c>
      <c r="F93" s="7" t="n">
        <v>48</v>
      </c>
      <c r="G93" s="7" t="n">
        <v>2</v>
      </c>
      <c r="H93" s="7" t="n">
        <v>7</v>
      </c>
      <c r="I93" s="7" t="n">
        <v>0</v>
      </c>
      <c r="J93" s="7" t="n">
        <v>0</v>
      </c>
      <c r="K93" s="7" t="n">
        <v>1</v>
      </c>
      <c r="L93" s="7" t="n">
        <v>1</v>
      </c>
      <c r="M93" s="7" t="n">
        <v>10</v>
      </c>
      <c r="N93" s="7" t="n">
        <v>5</v>
      </c>
      <c r="O93" s="7" t="n">
        <v>1</v>
      </c>
      <c r="P93" s="7" t="n">
        <v>3</v>
      </c>
      <c r="Q93" s="8" t="n">
        <f aca="false">IF(F93=0,0,H93/F93)</f>
        <v>0.145833333333333</v>
      </c>
      <c r="R93" s="8" t="n">
        <f aca="false">IF(F93+O93=0,0,(H93+O93)/(F93+O93))</f>
        <v>0.163265306122449</v>
      </c>
      <c r="S93" s="8" t="n">
        <f aca="false">IF(F93=0,0,M93/F93)</f>
        <v>0.208333333333333</v>
      </c>
      <c r="T93" s="8" t="n">
        <f aca="false">S93+R93</f>
        <v>0.371598639455782</v>
      </c>
      <c r="U93" s="8" t="n">
        <f aca="false">S93-Q93</f>
        <v>0.0625</v>
      </c>
    </row>
    <row r="94" customFormat="false" ht="14.25" hidden="false" customHeight="true" outlineLevel="0" collapsed="false">
      <c r="A94" s="6" t="s">
        <v>418</v>
      </c>
      <c r="B94" s="6" t="s">
        <v>97</v>
      </c>
      <c r="C94" s="7" t="n">
        <v>1</v>
      </c>
      <c r="D94" s="9" t="s">
        <v>568</v>
      </c>
      <c r="E94" s="7" t="n">
        <v>8</v>
      </c>
      <c r="F94" s="7" t="n">
        <v>25</v>
      </c>
      <c r="G94" s="7" t="n">
        <v>4</v>
      </c>
      <c r="H94" s="7" t="n">
        <v>10</v>
      </c>
      <c r="I94" s="7" t="n">
        <v>2</v>
      </c>
      <c r="J94" s="7" t="n">
        <v>0</v>
      </c>
      <c r="K94" s="7" t="n">
        <v>1</v>
      </c>
      <c r="L94" s="7" t="n">
        <f aca="false">I94+J94+K94</f>
        <v>3</v>
      </c>
      <c r="M94" s="7" t="n">
        <f aca="false">H94+I94+2*J94+3*K94</f>
        <v>15</v>
      </c>
      <c r="N94" s="7" t="n">
        <v>7</v>
      </c>
      <c r="O94" s="7" t="n">
        <v>1</v>
      </c>
      <c r="P94" s="7" t="n">
        <v>0</v>
      </c>
      <c r="Q94" s="8" t="n">
        <f aca="false">IF(F94=0,0,H94/F94)</f>
        <v>0.4</v>
      </c>
      <c r="R94" s="8" t="n">
        <f aca="false">IF(F94+O94=0,0,(H94+O94)/(F94+O94))</f>
        <v>0.423076923076923</v>
      </c>
      <c r="S94" s="8" t="n">
        <f aca="false">IF(F94=0,0,M94/F94)</f>
        <v>0.6</v>
      </c>
      <c r="T94" s="8" t="n">
        <f aca="false">S94+R94</f>
        <v>1.02307692307692</v>
      </c>
      <c r="U94" s="8" t="n">
        <f aca="false">S94-Q94</f>
        <v>0.2</v>
      </c>
    </row>
    <row r="95" customFormat="false" ht="14.25" hidden="false" customHeight="true" outlineLevel="0" collapsed="false">
      <c r="A95" s="6" t="s">
        <v>325</v>
      </c>
      <c r="B95" s="6" t="s">
        <v>212</v>
      </c>
      <c r="C95" s="7" t="n">
        <v>2</v>
      </c>
      <c r="D95" s="7" t="s">
        <v>569</v>
      </c>
      <c r="E95" s="7" t="n">
        <v>7</v>
      </c>
      <c r="F95" s="7" t="n">
        <v>22</v>
      </c>
      <c r="G95" s="7" t="n">
        <v>4</v>
      </c>
      <c r="H95" s="7" t="n">
        <v>5</v>
      </c>
      <c r="I95" s="7" t="n">
        <v>1</v>
      </c>
      <c r="J95" s="7" t="n">
        <v>0</v>
      </c>
      <c r="K95" s="7" t="n">
        <v>1</v>
      </c>
      <c r="L95" s="7" t="n">
        <v>2</v>
      </c>
      <c r="M95" s="7" t="n">
        <v>9</v>
      </c>
      <c r="N95" s="7" t="n">
        <v>3</v>
      </c>
      <c r="O95" s="7" t="n">
        <v>1</v>
      </c>
      <c r="P95" s="7" t="n">
        <v>0</v>
      </c>
      <c r="Q95" s="8" t="n">
        <f aca="false">IF(F95=0,0,H95/F95)</f>
        <v>0.227272727272727</v>
      </c>
      <c r="R95" s="8" t="n">
        <f aca="false">IF(F95+O95=0,0,(H95+O95)/(F95+O95))</f>
        <v>0.260869565217391</v>
      </c>
      <c r="S95" s="8" t="n">
        <f aca="false">IF(F95=0,0,M95/F95)</f>
        <v>0.409090909090909</v>
      </c>
      <c r="T95" s="8" t="n">
        <f aca="false">S95+R95</f>
        <v>0.6699604743083</v>
      </c>
      <c r="U95" s="8" t="n">
        <f aca="false">S95-Q95</f>
        <v>0.181818181818182</v>
      </c>
    </row>
    <row r="96" customFormat="false" ht="14.25" hidden="false" customHeight="true" outlineLevel="0" collapsed="false">
      <c r="A96" s="6" t="s">
        <v>333</v>
      </c>
      <c r="B96" s="6" t="s">
        <v>121</v>
      </c>
      <c r="C96" s="7" t="n">
        <v>1</v>
      </c>
      <c r="D96" s="7" t="s">
        <v>570</v>
      </c>
      <c r="E96" s="7" t="n">
        <v>2</v>
      </c>
      <c r="F96" s="7" t="n">
        <v>7</v>
      </c>
      <c r="G96" s="7" t="n">
        <v>3</v>
      </c>
      <c r="H96" s="7" t="n">
        <v>4</v>
      </c>
      <c r="I96" s="7" t="n">
        <v>2</v>
      </c>
      <c r="J96" s="7" t="n">
        <v>0</v>
      </c>
      <c r="K96" s="7" t="n">
        <v>1</v>
      </c>
      <c r="L96" s="7" t="n">
        <v>3</v>
      </c>
      <c r="M96" s="7" t="n">
        <v>9</v>
      </c>
      <c r="N96" s="7" t="n">
        <v>1</v>
      </c>
      <c r="O96" s="7" t="n">
        <v>0</v>
      </c>
      <c r="P96" s="7" t="n">
        <v>0</v>
      </c>
      <c r="Q96" s="8" t="n">
        <f aca="false">IF(F96=0,0,H96/F96)</f>
        <v>0.571428571428571</v>
      </c>
      <c r="R96" s="8" t="n">
        <f aca="false">IF(F96+O96=0,0,(H96+O96)/(F96+O96))</f>
        <v>0.571428571428571</v>
      </c>
      <c r="S96" s="8" t="n">
        <f aca="false">IF(F96=0,0,M96/F96)</f>
        <v>1.28571428571429</v>
      </c>
      <c r="T96" s="8" t="n">
        <f aca="false">S96+R96</f>
        <v>1.85714285714286</v>
      </c>
      <c r="U96" s="8" t="n">
        <f aca="false">S96-Q96</f>
        <v>0.714285714285714</v>
      </c>
    </row>
    <row r="97" customFormat="false" ht="14.25" hidden="false" customHeight="true" outlineLevel="0" collapsed="false">
      <c r="A97" s="6" t="s">
        <v>464</v>
      </c>
      <c r="B97" s="6" t="s">
        <v>97</v>
      </c>
      <c r="C97" s="7" t="n">
        <v>1</v>
      </c>
      <c r="D97" s="7" t="s">
        <v>571</v>
      </c>
      <c r="E97" s="7" t="n">
        <v>3</v>
      </c>
      <c r="F97" s="7" t="n">
        <v>10</v>
      </c>
      <c r="G97" s="7" t="n">
        <v>2</v>
      </c>
      <c r="H97" s="7" t="n">
        <v>4</v>
      </c>
      <c r="I97" s="7" t="n">
        <v>1</v>
      </c>
      <c r="J97" s="7" t="n">
        <v>0</v>
      </c>
      <c r="K97" s="7" t="n">
        <v>1</v>
      </c>
      <c r="L97" s="7" t="n">
        <v>2</v>
      </c>
      <c r="M97" s="7" t="n">
        <v>8</v>
      </c>
      <c r="N97" s="7" t="n">
        <v>4</v>
      </c>
      <c r="O97" s="7" t="n">
        <v>0</v>
      </c>
      <c r="P97" s="7" t="n">
        <v>0</v>
      </c>
      <c r="Q97" s="8" t="n">
        <f aca="false">IF(F97=0,0,H97/F97)</f>
        <v>0.4</v>
      </c>
      <c r="R97" s="8" t="n">
        <f aca="false">IF(F97+O97=0,0,(H97+O97)/(F97+O97))</f>
        <v>0.4</v>
      </c>
      <c r="S97" s="8" t="n">
        <f aca="false">IF(F97=0,0,M97/F97)</f>
        <v>0.8</v>
      </c>
      <c r="T97" s="8" t="n">
        <f aca="false">S97+R97</f>
        <v>1.2</v>
      </c>
      <c r="U97" s="8" t="n">
        <f aca="false">S97-Q97</f>
        <v>0.4</v>
      </c>
    </row>
    <row r="98" customFormat="false" ht="14.25" hidden="false" customHeight="true" outlineLevel="0" collapsed="false">
      <c r="A98" s="6" t="s">
        <v>58</v>
      </c>
      <c r="B98" s="6" t="s">
        <v>50</v>
      </c>
      <c r="C98" s="7" t="n">
        <v>1</v>
      </c>
      <c r="D98" s="7" t="s">
        <v>555</v>
      </c>
      <c r="E98" s="7" t="n">
        <v>5</v>
      </c>
      <c r="F98" s="7" t="n">
        <v>12</v>
      </c>
      <c r="G98" s="7" t="n">
        <v>1</v>
      </c>
      <c r="H98" s="7" t="n">
        <v>3</v>
      </c>
      <c r="I98" s="7" t="n">
        <v>0</v>
      </c>
      <c r="J98" s="7" t="n">
        <v>0</v>
      </c>
      <c r="K98" s="7" t="n">
        <v>1</v>
      </c>
      <c r="L98" s="7" t="n">
        <v>1</v>
      </c>
      <c r="M98" s="7" t="n">
        <v>6</v>
      </c>
      <c r="N98" s="7" t="n">
        <v>2</v>
      </c>
      <c r="O98" s="7" t="n">
        <v>0</v>
      </c>
      <c r="P98" s="7" t="n">
        <v>1</v>
      </c>
      <c r="Q98" s="8" t="n">
        <f aca="false">IF(F98=0,0,H98/F98)</f>
        <v>0.25</v>
      </c>
      <c r="R98" s="8" t="n">
        <f aca="false">IF(F98+O98=0,0,(H98+O98)/(F98+O98))</f>
        <v>0.25</v>
      </c>
      <c r="S98" s="8" t="n">
        <f aca="false">IF(F98=0,0,M98/F98)</f>
        <v>0.5</v>
      </c>
      <c r="T98" s="8" t="n">
        <f aca="false">S98+R98</f>
        <v>0.75</v>
      </c>
      <c r="U98" s="8" t="n">
        <f aca="false">S98-Q98</f>
        <v>0.25</v>
      </c>
    </row>
    <row r="99" customFormat="false" ht="14.25" hidden="false" customHeight="true" outlineLevel="0" collapsed="false">
      <c r="A99" s="6" t="s">
        <v>307</v>
      </c>
      <c r="B99" s="6" t="s">
        <v>97</v>
      </c>
      <c r="C99" s="7" t="n">
        <v>3</v>
      </c>
      <c r="D99" s="7" t="s">
        <v>563</v>
      </c>
      <c r="E99" s="7" t="n">
        <v>8</v>
      </c>
      <c r="F99" s="7" t="n">
        <v>17</v>
      </c>
      <c r="G99" s="7" t="n">
        <v>2</v>
      </c>
      <c r="H99" s="7" t="n">
        <v>3</v>
      </c>
      <c r="I99" s="7" t="n">
        <v>0</v>
      </c>
      <c r="J99" s="7" t="n">
        <v>0</v>
      </c>
      <c r="K99" s="7" t="n">
        <v>1</v>
      </c>
      <c r="L99" s="7" t="n">
        <v>1</v>
      </c>
      <c r="M99" s="7" t="n">
        <v>6</v>
      </c>
      <c r="N99" s="7" t="n">
        <v>5</v>
      </c>
      <c r="O99" s="7" t="n">
        <v>3</v>
      </c>
      <c r="P99" s="7" t="n">
        <v>3</v>
      </c>
      <c r="Q99" s="8" t="n">
        <f aca="false">IF(F99=0,0,H99/F99)</f>
        <v>0.176470588235294</v>
      </c>
      <c r="R99" s="8" t="n">
        <f aca="false">IF(F99+O99=0,0,(H99+O99)/(F99+O99))</f>
        <v>0.3</v>
      </c>
      <c r="S99" s="8" t="n">
        <f aca="false">IF(F99=0,0,M99/F99)</f>
        <v>0.352941176470588</v>
      </c>
      <c r="T99" s="8" t="n">
        <f aca="false">S99+R99</f>
        <v>0.652941176470588</v>
      </c>
      <c r="U99" s="8" t="n">
        <f aca="false">S99-Q99</f>
        <v>0.176470588235294</v>
      </c>
    </row>
    <row r="100" customFormat="false" ht="14.25" hidden="false" customHeight="true" outlineLevel="0" collapsed="false">
      <c r="A100" s="6" t="s">
        <v>488</v>
      </c>
      <c r="B100" s="6" t="s">
        <v>166</v>
      </c>
      <c r="C100" s="7" t="n">
        <v>1</v>
      </c>
      <c r="D100" s="7" t="s">
        <v>571</v>
      </c>
      <c r="E100" s="7" t="n">
        <v>1</v>
      </c>
      <c r="F100" s="7" t="n">
        <v>3</v>
      </c>
      <c r="G100" s="7" t="n">
        <v>1</v>
      </c>
      <c r="H100" s="7" t="n">
        <v>2</v>
      </c>
      <c r="I100" s="7" t="n">
        <v>0</v>
      </c>
      <c r="J100" s="7" t="n">
        <v>0</v>
      </c>
      <c r="K100" s="7" t="n">
        <v>1</v>
      </c>
      <c r="L100" s="7" t="n">
        <v>1</v>
      </c>
      <c r="M100" s="7" t="n">
        <v>5</v>
      </c>
      <c r="N100" s="7" t="n">
        <v>3</v>
      </c>
      <c r="O100" s="7" t="n">
        <v>0</v>
      </c>
      <c r="P100" s="7" t="n">
        <v>0</v>
      </c>
      <c r="Q100" s="8" t="n">
        <f aca="false">IF(F100=0,0,H100/F100)</f>
        <v>0.666666666666667</v>
      </c>
      <c r="R100" s="8" t="n">
        <f aca="false">IF(F100+O100=0,0,(H100+O100)/(F100+O100))</f>
        <v>0.666666666666667</v>
      </c>
      <c r="S100" s="8" t="n">
        <f aca="false">IF(F100=0,0,M100/F100)</f>
        <v>1.66666666666667</v>
      </c>
      <c r="T100" s="8" t="n">
        <f aca="false">S100+R100</f>
        <v>2.33333333333333</v>
      </c>
      <c r="U100" s="8" t="n">
        <f aca="false">S100-Q100</f>
        <v>1</v>
      </c>
    </row>
    <row r="101" customFormat="false" ht="14.25" hidden="false" customHeight="true" outlineLevel="0" collapsed="false">
      <c r="A101" s="6" t="s">
        <v>203</v>
      </c>
      <c r="B101" s="6" t="s">
        <v>192</v>
      </c>
      <c r="C101" s="7" t="n">
        <v>1</v>
      </c>
      <c r="D101" s="7" t="s">
        <v>555</v>
      </c>
      <c r="E101" s="7" t="n">
        <v>2</v>
      </c>
      <c r="F101" s="7" t="n">
        <v>5</v>
      </c>
      <c r="G101" s="7" t="n">
        <v>2</v>
      </c>
      <c r="H101" s="7" t="n">
        <v>2</v>
      </c>
      <c r="I101" s="7" t="n">
        <v>0</v>
      </c>
      <c r="J101" s="7" t="n">
        <v>0</v>
      </c>
      <c r="K101" s="7" t="n">
        <v>1</v>
      </c>
      <c r="L101" s="7" t="n">
        <v>1</v>
      </c>
      <c r="M101" s="7" t="n">
        <v>5</v>
      </c>
      <c r="N101" s="7" t="n">
        <v>2</v>
      </c>
      <c r="O101" s="7" t="n">
        <v>0</v>
      </c>
      <c r="P101" s="7" t="n">
        <v>0</v>
      </c>
      <c r="Q101" s="8" t="n">
        <f aca="false">IF(F101=0,0,H101/F101)</f>
        <v>0.4</v>
      </c>
      <c r="R101" s="8" t="n">
        <f aca="false">IF(F101+O101=0,0,(H101+O101)/(F101+O101))</f>
        <v>0.4</v>
      </c>
      <c r="S101" s="8" t="n">
        <f aca="false">IF(F101=0,0,M101/F101)</f>
        <v>1</v>
      </c>
      <c r="T101" s="8" t="n">
        <f aca="false">S101+R101</f>
        <v>1.4</v>
      </c>
      <c r="U101" s="8" t="n">
        <f aca="false">S101-Q101</f>
        <v>0.6</v>
      </c>
    </row>
    <row r="102" customFormat="false" ht="14.25" hidden="false" customHeight="true" outlineLevel="0" collapsed="false">
      <c r="A102" s="6" t="s">
        <v>489</v>
      </c>
      <c r="B102" s="6" t="s">
        <v>166</v>
      </c>
      <c r="C102" s="7" t="n">
        <v>1</v>
      </c>
      <c r="D102" s="7" t="s">
        <v>571</v>
      </c>
      <c r="E102" s="7" t="n">
        <v>3</v>
      </c>
      <c r="F102" s="7" t="n">
        <v>7</v>
      </c>
      <c r="G102" s="7" t="n">
        <v>5</v>
      </c>
      <c r="H102" s="7" t="n">
        <v>2</v>
      </c>
      <c r="I102" s="7" t="n">
        <v>0</v>
      </c>
      <c r="J102" s="7" t="n">
        <v>0</v>
      </c>
      <c r="K102" s="7" t="n">
        <v>1</v>
      </c>
      <c r="L102" s="7" t="n">
        <v>1</v>
      </c>
      <c r="M102" s="7" t="n">
        <v>5</v>
      </c>
      <c r="N102" s="7" t="n">
        <v>1</v>
      </c>
      <c r="O102" s="7" t="n">
        <v>4</v>
      </c>
      <c r="P102" s="7" t="n">
        <v>1</v>
      </c>
      <c r="Q102" s="8" t="n">
        <f aca="false">IF(F102=0,0,H102/F102)</f>
        <v>0.285714285714286</v>
      </c>
      <c r="R102" s="8" t="n">
        <f aca="false">IF(F102+O102=0,0,(H102+O102)/(F102+O102))</f>
        <v>0.545454545454545</v>
      </c>
      <c r="S102" s="8" t="n">
        <f aca="false">IF(F102=0,0,M102/F102)</f>
        <v>0.714285714285714</v>
      </c>
      <c r="T102" s="8" t="n">
        <f aca="false">S102+R102</f>
        <v>1.25974025974026</v>
      </c>
      <c r="U102" s="8" t="n">
        <f aca="false">S102-Q102</f>
        <v>0.428571428571429</v>
      </c>
    </row>
    <row r="103" customFormat="false" ht="14.25" hidden="false" customHeight="true" outlineLevel="0" collapsed="false">
      <c r="A103" s="6" t="s">
        <v>572</v>
      </c>
      <c r="B103" s="6" t="s">
        <v>212</v>
      </c>
      <c r="C103" s="7" t="n">
        <v>1</v>
      </c>
      <c r="D103" s="7" t="s">
        <v>573</v>
      </c>
      <c r="E103" s="7" t="n">
        <v>1</v>
      </c>
      <c r="F103" s="7" t="n">
        <v>3</v>
      </c>
      <c r="G103" s="7" t="n">
        <v>3</v>
      </c>
      <c r="H103" s="7" t="n">
        <v>2</v>
      </c>
      <c r="I103" s="7" t="n">
        <v>1</v>
      </c>
      <c r="J103" s="7" t="n">
        <v>0</v>
      </c>
      <c r="K103" s="7" t="n">
        <v>1</v>
      </c>
      <c r="L103" s="7" t="n">
        <v>2</v>
      </c>
      <c r="M103" s="7" t="n">
        <v>6</v>
      </c>
      <c r="N103" s="7" t="n">
        <v>3</v>
      </c>
      <c r="O103" s="7" t="n">
        <v>0</v>
      </c>
      <c r="P103" s="7" t="n">
        <v>0</v>
      </c>
      <c r="Q103" s="8" t="n">
        <f aca="false">IF(F103=0,0,H103/F103)</f>
        <v>0.666666666666667</v>
      </c>
      <c r="R103" s="8" t="n">
        <f aca="false">IF(F103+O103=0,0,(H103+O103)/(F103+O103))</f>
        <v>0.666666666666667</v>
      </c>
      <c r="S103" s="8" t="n">
        <f aca="false">IF(F103=0,0,M103/F103)</f>
        <v>2</v>
      </c>
      <c r="T103" s="8" t="n">
        <f aca="false">S103+R103</f>
        <v>2.66666666666667</v>
      </c>
      <c r="U103" s="8" t="n">
        <f aca="false">S103-Q103</f>
        <v>1.33333333333333</v>
      </c>
    </row>
    <row r="104" customFormat="false" ht="14.25" hidden="false" customHeight="true" outlineLevel="0" collapsed="false">
      <c r="A104" s="6" t="s">
        <v>437</v>
      </c>
      <c r="B104" s="6" t="s">
        <v>166</v>
      </c>
      <c r="C104" s="7" t="n">
        <v>2</v>
      </c>
      <c r="D104" s="7" t="s">
        <v>574</v>
      </c>
      <c r="E104" s="7" t="n">
        <v>4</v>
      </c>
      <c r="F104" s="7" t="n">
        <v>7</v>
      </c>
      <c r="G104" s="7" t="n">
        <v>1</v>
      </c>
      <c r="H104" s="7" t="n">
        <v>1</v>
      </c>
      <c r="I104" s="7" t="n">
        <v>0</v>
      </c>
      <c r="J104" s="7" t="n">
        <v>0</v>
      </c>
      <c r="K104" s="7" t="n">
        <v>1</v>
      </c>
      <c r="L104" s="7" t="n">
        <v>1</v>
      </c>
      <c r="M104" s="7" t="n">
        <v>4</v>
      </c>
      <c r="N104" s="7" t="n">
        <v>4</v>
      </c>
      <c r="O104" s="7" t="n">
        <v>2</v>
      </c>
      <c r="P104" s="7" t="n">
        <v>1</v>
      </c>
      <c r="Q104" s="8" t="n">
        <f aca="false">IF(F104=0,0,H104/F104)</f>
        <v>0.142857142857143</v>
      </c>
      <c r="R104" s="8" t="n">
        <f aca="false">IF(F104+O104=0,0,(H104+O104)/(F104+O104))</f>
        <v>0.333333333333333</v>
      </c>
      <c r="S104" s="8" t="n">
        <f aca="false">IF(F104=0,0,M104/F104)</f>
        <v>0.571428571428571</v>
      </c>
      <c r="T104" s="8" t="n">
        <f aca="false">S104+R104</f>
        <v>0.904761904761905</v>
      </c>
      <c r="U104" s="8" t="n">
        <f aca="false">S104-Q104</f>
        <v>0.428571428571429</v>
      </c>
    </row>
    <row r="105" customFormat="false" ht="14.25" hidden="false" customHeight="true" outlineLevel="0" collapsed="false">
      <c r="A105" s="6" t="s">
        <v>239</v>
      </c>
      <c r="B105" s="6" t="s">
        <v>50</v>
      </c>
      <c r="C105" s="7" t="n">
        <v>2</v>
      </c>
      <c r="D105" s="7" t="s">
        <v>564</v>
      </c>
      <c r="E105" s="7" t="n">
        <v>2</v>
      </c>
      <c r="F105" s="7" t="n">
        <v>5</v>
      </c>
      <c r="G105" s="7" t="n">
        <v>1</v>
      </c>
      <c r="H105" s="7" t="n">
        <v>1</v>
      </c>
      <c r="I105" s="7" t="n">
        <v>0</v>
      </c>
      <c r="J105" s="7" t="n">
        <v>0</v>
      </c>
      <c r="K105" s="7" t="n">
        <v>1</v>
      </c>
      <c r="L105" s="7" t="n">
        <v>1</v>
      </c>
      <c r="M105" s="7" t="n">
        <v>4</v>
      </c>
      <c r="N105" s="7" t="n">
        <v>1</v>
      </c>
      <c r="O105" s="7" t="n">
        <v>1</v>
      </c>
      <c r="P105" s="7" t="n">
        <v>0</v>
      </c>
      <c r="Q105" s="8" t="n">
        <f aca="false">IF(F105=0,0,H105/F105)</f>
        <v>0.2</v>
      </c>
      <c r="R105" s="8" t="n">
        <f aca="false">IF(F105+O105=0,0,(H105+O105)/(F105+O105))</f>
        <v>0.333333333333333</v>
      </c>
      <c r="S105" s="8" t="n">
        <f aca="false">IF(F105=0,0,M105/F105)</f>
        <v>0.8</v>
      </c>
      <c r="T105" s="8" t="n">
        <f aca="false">S105+R105</f>
        <v>1.13333333333333</v>
      </c>
      <c r="U105" s="8" t="n">
        <f aca="false">S105-Q105</f>
        <v>0.6</v>
      </c>
    </row>
    <row r="106" customFormat="false" ht="14.25" hidden="false" customHeight="true" outlineLevel="0" collapsed="false">
      <c r="A106" s="6" t="s">
        <v>122</v>
      </c>
      <c r="B106" s="6" t="s">
        <v>121</v>
      </c>
      <c r="C106" s="7" t="n">
        <v>8</v>
      </c>
      <c r="D106" s="7" t="s">
        <v>534</v>
      </c>
      <c r="E106" s="7" t="n">
        <v>61</v>
      </c>
      <c r="F106" s="7" t="n">
        <v>180</v>
      </c>
      <c r="G106" s="7" t="n">
        <v>60</v>
      </c>
      <c r="H106" s="7" t="n">
        <v>85</v>
      </c>
      <c r="I106" s="7" t="n">
        <v>31</v>
      </c>
      <c r="J106" s="7" t="n">
        <v>2</v>
      </c>
      <c r="K106" s="7" t="n">
        <v>1</v>
      </c>
      <c r="L106" s="7" t="n">
        <v>34</v>
      </c>
      <c r="M106" s="7" t="n">
        <v>123</v>
      </c>
      <c r="N106" s="7" t="n">
        <v>38</v>
      </c>
      <c r="O106" s="7" t="n">
        <v>37</v>
      </c>
      <c r="P106" s="7" t="n">
        <v>4</v>
      </c>
      <c r="Q106" s="8" t="n">
        <f aca="false">IF(F106=0,0,H106/F106)</f>
        <v>0.472222222222222</v>
      </c>
      <c r="R106" s="8" t="n">
        <f aca="false">IF(F106+O106=0,0,(H106+O106)/(F106+O106))</f>
        <v>0.56221198156682</v>
      </c>
      <c r="S106" s="8" t="n">
        <f aca="false">IF(F106=0,0,M106/F106)</f>
        <v>0.683333333333333</v>
      </c>
      <c r="T106" s="8" t="n">
        <f aca="false">S106+R106</f>
        <v>1.24554531490015</v>
      </c>
      <c r="U106" s="8" t="n">
        <f aca="false">S106-Q106</f>
        <v>0.211111111111111</v>
      </c>
    </row>
    <row r="107" customFormat="false" ht="14.25" hidden="false" customHeight="true" outlineLevel="0" collapsed="false">
      <c r="A107" s="6" t="s">
        <v>201</v>
      </c>
      <c r="B107" s="6" t="s">
        <v>192</v>
      </c>
      <c r="C107" s="7" t="n">
        <v>8</v>
      </c>
      <c r="D107" s="7" t="s">
        <v>534</v>
      </c>
      <c r="E107" s="7" t="n">
        <v>76</v>
      </c>
      <c r="F107" s="7" t="n">
        <v>219</v>
      </c>
      <c r="G107" s="7" t="n">
        <v>22</v>
      </c>
      <c r="H107" s="7" t="n">
        <v>65</v>
      </c>
      <c r="I107" s="7" t="n">
        <v>6</v>
      </c>
      <c r="J107" s="7" t="n">
        <v>0</v>
      </c>
      <c r="K107" s="7" t="n">
        <v>0</v>
      </c>
      <c r="L107" s="7" t="n">
        <v>6</v>
      </c>
      <c r="M107" s="7" t="n">
        <v>71</v>
      </c>
      <c r="N107" s="7" t="n">
        <v>28</v>
      </c>
      <c r="O107" s="7" t="n">
        <v>13</v>
      </c>
      <c r="P107" s="7" t="n">
        <v>2</v>
      </c>
      <c r="Q107" s="8" t="n">
        <f aca="false">IF(F107=0,0,H107/F107)</f>
        <v>0.296803652968037</v>
      </c>
      <c r="R107" s="8" t="n">
        <f aca="false">IF(F107+O107=0,0,(H107+O107)/(F107+O107))</f>
        <v>0.336206896551724</v>
      </c>
      <c r="S107" s="8" t="n">
        <f aca="false">IF(F107=0,0,M107/F107)</f>
        <v>0.324200913242009</v>
      </c>
      <c r="T107" s="8" t="n">
        <f aca="false">S107+R107</f>
        <v>0.660407809793733</v>
      </c>
      <c r="U107" s="8" t="n">
        <f aca="false">S107-Q107</f>
        <v>0.0273972602739726</v>
      </c>
    </row>
    <row r="108" customFormat="false" ht="14.25" hidden="false" customHeight="true" outlineLevel="0" collapsed="false">
      <c r="A108" s="6" t="s">
        <v>79</v>
      </c>
      <c r="B108" s="6" t="s">
        <v>71</v>
      </c>
      <c r="C108" s="7" t="n">
        <v>8</v>
      </c>
      <c r="D108" s="7" t="s">
        <v>534</v>
      </c>
      <c r="E108" s="7" t="n">
        <v>90</v>
      </c>
      <c r="F108" s="7" t="n">
        <v>244</v>
      </c>
      <c r="G108" s="7" t="n">
        <v>32</v>
      </c>
      <c r="H108" s="7" t="n">
        <v>65</v>
      </c>
      <c r="I108" s="7" t="n">
        <v>6</v>
      </c>
      <c r="J108" s="7" t="n">
        <v>0</v>
      </c>
      <c r="K108" s="7" t="n">
        <v>0</v>
      </c>
      <c r="L108" s="7" t="n">
        <v>6</v>
      </c>
      <c r="M108" s="7" t="n">
        <v>71</v>
      </c>
      <c r="N108" s="7" t="n">
        <v>34</v>
      </c>
      <c r="O108" s="7" t="n">
        <v>39</v>
      </c>
      <c r="P108" s="7" t="n">
        <v>13</v>
      </c>
      <c r="Q108" s="8" t="n">
        <f aca="false">IF(F108=0,0,H108/F108)</f>
        <v>0.266393442622951</v>
      </c>
      <c r="R108" s="8" t="n">
        <f aca="false">IF(F108+O108=0,0,(H108+O108)/(F108+O108))</f>
        <v>0.367491166077739</v>
      </c>
      <c r="S108" s="8" t="n">
        <f aca="false">IF(F108=0,0,M108/F108)</f>
        <v>0.290983606557377</v>
      </c>
      <c r="T108" s="8" t="n">
        <f aca="false">S108+R108</f>
        <v>0.658474772635116</v>
      </c>
      <c r="U108" s="8" t="n">
        <f aca="false">S108-Q108</f>
        <v>0.0245901639344262</v>
      </c>
    </row>
    <row r="109" customFormat="false" ht="14.25" hidden="false" customHeight="true" outlineLevel="0" collapsed="false">
      <c r="A109" s="6" t="s">
        <v>108</v>
      </c>
      <c r="B109" s="6" t="s">
        <v>97</v>
      </c>
      <c r="C109" s="7" t="n">
        <v>8</v>
      </c>
      <c r="D109" s="7" t="s">
        <v>534</v>
      </c>
      <c r="E109" s="7" t="n">
        <v>75</v>
      </c>
      <c r="F109" s="7" t="n">
        <v>188</v>
      </c>
      <c r="G109" s="7" t="n">
        <v>15</v>
      </c>
      <c r="H109" s="7" t="n">
        <v>60</v>
      </c>
      <c r="I109" s="7" t="n">
        <v>1</v>
      </c>
      <c r="J109" s="7" t="n">
        <v>0</v>
      </c>
      <c r="K109" s="7" t="n">
        <v>0</v>
      </c>
      <c r="L109" s="7" t="n">
        <v>1</v>
      </c>
      <c r="M109" s="7" t="n">
        <v>61</v>
      </c>
      <c r="N109" s="7" t="n">
        <v>38</v>
      </c>
      <c r="O109" s="7" t="n">
        <v>27</v>
      </c>
      <c r="P109" s="7" t="n">
        <v>15</v>
      </c>
      <c r="Q109" s="8" t="n">
        <f aca="false">IF(F109=0,0,H109/F109)</f>
        <v>0.319148936170213</v>
      </c>
      <c r="R109" s="8" t="n">
        <f aca="false">IF(F109+O109=0,0,(H109+O109)/(F109+O109))</f>
        <v>0.404651162790698</v>
      </c>
      <c r="S109" s="8" t="n">
        <f aca="false">IF(F109=0,0,M109/F109)</f>
        <v>0.324468085106383</v>
      </c>
      <c r="T109" s="8" t="n">
        <f aca="false">S109+R109</f>
        <v>0.729119247897081</v>
      </c>
      <c r="U109" s="8" t="n">
        <f aca="false">S109-Q109</f>
        <v>0.00531914893617019</v>
      </c>
    </row>
    <row r="110" customFormat="false" ht="14.25" hidden="false" customHeight="true" outlineLevel="0" collapsed="false">
      <c r="A110" s="6" t="s">
        <v>144</v>
      </c>
      <c r="B110" s="6" t="s">
        <v>121</v>
      </c>
      <c r="C110" s="7" t="n">
        <v>8</v>
      </c>
      <c r="D110" s="7" t="s">
        <v>534</v>
      </c>
      <c r="E110" s="7" t="n">
        <v>74</v>
      </c>
      <c r="F110" s="7" t="n">
        <v>201</v>
      </c>
      <c r="G110" s="7" t="n">
        <v>28</v>
      </c>
      <c r="H110" s="7" t="n">
        <v>53</v>
      </c>
      <c r="I110" s="7" t="n">
        <v>2</v>
      </c>
      <c r="J110" s="7" t="n">
        <v>0</v>
      </c>
      <c r="K110" s="7" t="n">
        <v>0</v>
      </c>
      <c r="L110" s="7" t="n">
        <v>2</v>
      </c>
      <c r="M110" s="7" t="n">
        <v>55</v>
      </c>
      <c r="N110" s="7" t="n">
        <v>20</v>
      </c>
      <c r="O110" s="7" t="n">
        <v>32</v>
      </c>
      <c r="P110" s="7" t="n">
        <v>9</v>
      </c>
      <c r="Q110" s="8" t="n">
        <f aca="false">IF(F110=0,0,H110/F110)</f>
        <v>0.263681592039801</v>
      </c>
      <c r="R110" s="8" t="n">
        <f aca="false">IF(F110+O110=0,0,(H110+O110)/(F110+O110))</f>
        <v>0.36480686695279</v>
      </c>
      <c r="S110" s="8" t="n">
        <f aca="false">IF(F110=0,0,M110/F110)</f>
        <v>0.27363184079602</v>
      </c>
      <c r="T110" s="8" t="n">
        <f aca="false">S110+R110</f>
        <v>0.63843870774881</v>
      </c>
      <c r="U110" s="8" t="n">
        <f aca="false">S110-Q110</f>
        <v>0.00995024875621886</v>
      </c>
    </row>
    <row r="111" customFormat="false" ht="14.25" hidden="false" customHeight="true" outlineLevel="0" collapsed="false">
      <c r="A111" s="6" t="s">
        <v>152</v>
      </c>
      <c r="B111" s="6" t="s">
        <v>147</v>
      </c>
      <c r="C111" s="7" t="n">
        <v>8</v>
      </c>
      <c r="D111" s="7" t="s">
        <v>534</v>
      </c>
      <c r="E111" s="7" t="n">
        <v>77</v>
      </c>
      <c r="F111" s="7" t="n">
        <v>211</v>
      </c>
      <c r="G111" s="7" t="n">
        <v>35</v>
      </c>
      <c r="H111" s="7" t="n">
        <v>55</v>
      </c>
      <c r="I111" s="7" t="n">
        <v>18</v>
      </c>
      <c r="J111" s="7" t="n">
        <v>0</v>
      </c>
      <c r="K111" s="7" t="n">
        <v>0</v>
      </c>
      <c r="L111" s="7" t="n">
        <v>18</v>
      </c>
      <c r="M111" s="7" t="n">
        <v>73</v>
      </c>
      <c r="N111" s="7" t="n">
        <v>44</v>
      </c>
      <c r="O111" s="7" t="n">
        <v>35</v>
      </c>
      <c r="P111" s="7" t="n">
        <v>13</v>
      </c>
      <c r="Q111" s="8" t="n">
        <f aca="false">IF(F111=0,0,H111/F111)</f>
        <v>0.260663507109005</v>
      </c>
      <c r="R111" s="8" t="n">
        <f aca="false">IF(F111+O111=0,0,(H111+O111)/(F111+O111))</f>
        <v>0.365853658536585</v>
      </c>
      <c r="S111" s="8" t="n">
        <f aca="false">IF(F111=0,0,M111/F111)</f>
        <v>0.345971563981043</v>
      </c>
      <c r="T111" s="8" t="n">
        <f aca="false">S111+R111</f>
        <v>0.711825222517628</v>
      </c>
      <c r="U111" s="8" t="n">
        <f aca="false">S111-Q111</f>
        <v>0.0853080568720379</v>
      </c>
    </row>
    <row r="112" customFormat="false" ht="14.25" hidden="false" customHeight="true" outlineLevel="0" collapsed="false">
      <c r="A112" s="6" t="s">
        <v>177</v>
      </c>
      <c r="B112" s="6" t="s">
        <v>535</v>
      </c>
      <c r="C112" s="7" t="n">
        <v>8</v>
      </c>
      <c r="D112" s="7" t="s">
        <v>534</v>
      </c>
      <c r="E112" s="7" t="n">
        <v>79</v>
      </c>
      <c r="F112" s="7" t="n">
        <v>225</v>
      </c>
      <c r="G112" s="7" t="n">
        <v>24</v>
      </c>
      <c r="H112" s="7" t="n">
        <v>53</v>
      </c>
      <c r="I112" s="7" t="n">
        <v>6</v>
      </c>
      <c r="J112" s="7" t="n">
        <v>0</v>
      </c>
      <c r="K112" s="7" t="n">
        <v>0</v>
      </c>
      <c r="L112" s="7" t="n">
        <v>6</v>
      </c>
      <c r="M112" s="7" t="n">
        <v>59</v>
      </c>
      <c r="N112" s="7" t="n">
        <v>24</v>
      </c>
      <c r="O112" s="7" t="n">
        <v>17</v>
      </c>
      <c r="P112" s="7" t="n">
        <v>12</v>
      </c>
      <c r="Q112" s="8" t="n">
        <f aca="false">IF(F112=0,0,H112/F112)</f>
        <v>0.235555555555556</v>
      </c>
      <c r="R112" s="8" t="n">
        <f aca="false">IF(F112+O112=0,0,(H112+O112)/(F112+O112))</f>
        <v>0.289256198347107</v>
      </c>
      <c r="S112" s="8" t="n">
        <f aca="false">IF(F112=0,0,M112/F112)</f>
        <v>0.262222222222222</v>
      </c>
      <c r="T112" s="8" t="n">
        <f aca="false">S112+R112</f>
        <v>0.55147842056933</v>
      </c>
      <c r="U112" s="8" t="n">
        <f aca="false">S112-Q112</f>
        <v>0.0266666666666667</v>
      </c>
    </row>
    <row r="113" customFormat="false" ht="14.25" hidden="false" customHeight="true" outlineLevel="0" collapsed="false">
      <c r="A113" s="6" t="s">
        <v>99</v>
      </c>
      <c r="B113" s="6" t="s">
        <v>97</v>
      </c>
      <c r="C113" s="7" t="n">
        <v>7</v>
      </c>
      <c r="D113" s="7" t="s">
        <v>536</v>
      </c>
      <c r="E113" s="7" t="n">
        <v>64</v>
      </c>
      <c r="F113" s="7" t="n">
        <v>202</v>
      </c>
      <c r="G113" s="7" t="n">
        <v>39</v>
      </c>
      <c r="H113" s="7" t="n">
        <v>56</v>
      </c>
      <c r="I113" s="7" t="n">
        <v>6</v>
      </c>
      <c r="J113" s="7" t="n">
        <v>1</v>
      </c>
      <c r="K113" s="7" t="n">
        <v>0</v>
      </c>
      <c r="L113" s="7" t="n">
        <v>7</v>
      </c>
      <c r="M113" s="7" t="n">
        <v>64</v>
      </c>
      <c r="N113" s="7" t="n">
        <v>11</v>
      </c>
      <c r="O113" s="7" t="n">
        <v>21</v>
      </c>
      <c r="P113" s="7" t="n">
        <v>12</v>
      </c>
      <c r="Q113" s="8" t="n">
        <f aca="false">IF(F113=0,0,H113/F113)</f>
        <v>0.277227722772277</v>
      </c>
      <c r="R113" s="8" t="n">
        <f aca="false">IF(F113+O113=0,0,(H113+O113)/(F113+O113))</f>
        <v>0.345291479820628</v>
      </c>
      <c r="S113" s="8" t="n">
        <f aca="false">IF(F113=0,0,M113/F113)</f>
        <v>0.316831683168317</v>
      </c>
      <c r="T113" s="8" t="n">
        <f aca="false">S113+R113</f>
        <v>0.662123162988945</v>
      </c>
      <c r="U113" s="8" t="n">
        <f aca="false">S113-Q113</f>
        <v>0.0396039603960396</v>
      </c>
    </row>
    <row r="114" customFormat="false" ht="14.25" hidden="false" customHeight="true" outlineLevel="0" collapsed="false">
      <c r="A114" s="6" t="s">
        <v>85</v>
      </c>
      <c r="B114" s="6" t="s">
        <v>71</v>
      </c>
      <c r="C114" s="7" t="n">
        <v>8</v>
      </c>
      <c r="D114" s="7" t="s">
        <v>534</v>
      </c>
      <c r="E114" s="7" t="n">
        <v>81</v>
      </c>
      <c r="F114" s="7" t="n">
        <v>173</v>
      </c>
      <c r="G114" s="7" t="n">
        <v>23</v>
      </c>
      <c r="H114" s="7" t="n">
        <v>47</v>
      </c>
      <c r="I114" s="7" t="n">
        <v>13</v>
      </c>
      <c r="J114" s="7" t="n">
        <v>0</v>
      </c>
      <c r="K114" s="7" t="n">
        <v>0</v>
      </c>
      <c r="L114" s="7" t="n">
        <v>13</v>
      </c>
      <c r="M114" s="7" t="n">
        <v>60</v>
      </c>
      <c r="N114" s="7" t="n">
        <v>17</v>
      </c>
      <c r="O114" s="7" t="n">
        <v>29</v>
      </c>
      <c r="P114" s="7" t="n">
        <v>4</v>
      </c>
      <c r="Q114" s="8" t="n">
        <f aca="false">IF(F114=0,0,H114/F114)</f>
        <v>0.271676300578035</v>
      </c>
      <c r="R114" s="8" t="n">
        <f aca="false">IF(F114+O114=0,0,(H114+O114)/(F114+O114))</f>
        <v>0.376237623762376</v>
      </c>
      <c r="S114" s="8" t="n">
        <f aca="false">IF(F114=0,0,M114/F114)</f>
        <v>0.346820809248555</v>
      </c>
      <c r="T114" s="8" t="n">
        <f aca="false">S114+R114</f>
        <v>0.723058433010931</v>
      </c>
      <c r="U114" s="8" t="n">
        <f aca="false">S114-Q114</f>
        <v>0.0751445086705203</v>
      </c>
    </row>
    <row r="115" customFormat="false" ht="14.25" hidden="false" customHeight="true" outlineLevel="0" collapsed="false">
      <c r="A115" s="6" t="s">
        <v>129</v>
      </c>
      <c r="B115" s="6" t="s">
        <v>575</v>
      </c>
      <c r="C115" s="7" t="n">
        <v>8</v>
      </c>
      <c r="D115" s="7" t="s">
        <v>534</v>
      </c>
      <c r="E115" s="7" t="n">
        <v>63</v>
      </c>
      <c r="F115" s="7" t="n">
        <v>151</v>
      </c>
      <c r="G115" s="7" t="n">
        <v>19</v>
      </c>
      <c r="H115" s="7" t="n">
        <v>45</v>
      </c>
      <c r="I115" s="7" t="n">
        <v>5</v>
      </c>
      <c r="J115" s="7" t="n">
        <v>0</v>
      </c>
      <c r="K115" s="7" t="n">
        <v>0</v>
      </c>
      <c r="L115" s="7" t="n">
        <v>5</v>
      </c>
      <c r="M115" s="7" t="n">
        <v>50</v>
      </c>
      <c r="N115" s="7" t="n">
        <v>23</v>
      </c>
      <c r="O115" s="7" t="n">
        <v>14</v>
      </c>
      <c r="P115" s="7" t="n">
        <v>3</v>
      </c>
      <c r="Q115" s="8" t="n">
        <f aca="false">IF(F115=0,0,H115/F115)</f>
        <v>0.298013245033113</v>
      </c>
      <c r="R115" s="8" t="n">
        <f aca="false">IF(F115+O115=0,0,(H115+O115)/(F115+O115))</f>
        <v>0.357575757575758</v>
      </c>
      <c r="S115" s="8" t="n">
        <f aca="false">IF(F115=0,0,M115/F115)</f>
        <v>0.33112582781457</v>
      </c>
      <c r="T115" s="8" t="n">
        <f aca="false">S115+R115</f>
        <v>0.688701585390327</v>
      </c>
      <c r="U115" s="8" t="n">
        <f aca="false">S115-Q115</f>
        <v>0.033112582781457</v>
      </c>
    </row>
    <row r="116" customFormat="false" ht="14.25" hidden="false" customHeight="true" outlineLevel="0" collapsed="false">
      <c r="A116" s="6" t="s">
        <v>199</v>
      </c>
      <c r="B116" s="6" t="s">
        <v>192</v>
      </c>
      <c r="C116" s="7" t="n">
        <v>8</v>
      </c>
      <c r="D116" s="7" t="s">
        <v>534</v>
      </c>
      <c r="E116" s="7" t="n">
        <v>64</v>
      </c>
      <c r="F116" s="7" t="n">
        <v>171</v>
      </c>
      <c r="G116" s="7" t="n">
        <v>19</v>
      </c>
      <c r="H116" s="7" t="n">
        <v>40</v>
      </c>
      <c r="I116" s="7" t="n">
        <v>13</v>
      </c>
      <c r="J116" s="7" t="n">
        <v>0</v>
      </c>
      <c r="K116" s="7" t="n">
        <v>0</v>
      </c>
      <c r="L116" s="7" t="n">
        <v>13</v>
      </c>
      <c r="M116" s="7" t="n">
        <v>53</v>
      </c>
      <c r="N116" s="7" t="n">
        <v>14</v>
      </c>
      <c r="O116" s="7" t="n">
        <v>16</v>
      </c>
      <c r="P116" s="7" t="n">
        <v>10</v>
      </c>
      <c r="Q116" s="8" t="n">
        <f aca="false">IF(F116=0,0,H116/F116)</f>
        <v>0.233918128654971</v>
      </c>
      <c r="R116" s="8" t="n">
        <f aca="false">IF(F116+O116=0,0,(H116+O116)/(F116+O116))</f>
        <v>0.299465240641711</v>
      </c>
      <c r="S116" s="8" t="n">
        <f aca="false">IF(F116=0,0,M116/F116)</f>
        <v>0.309941520467836</v>
      </c>
      <c r="T116" s="8" t="n">
        <f aca="false">S116+R116</f>
        <v>0.609406761109548</v>
      </c>
      <c r="U116" s="8" t="n">
        <f aca="false">S116-Q116</f>
        <v>0.0760233918128655</v>
      </c>
    </row>
    <row r="117" customFormat="false" ht="14.25" hidden="false" customHeight="true" outlineLevel="0" collapsed="false">
      <c r="A117" s="6" t="s">
        <v>173</v>
      </c>
      <c r="B117" s="6" t="s">
        <v>166</v>
      </c>
      <c r="C117" s="7" t="n">
        <v>8</v>
      </c>
      <c r="D117" s="7" t="s">
        <v>534</v>
      </c>
      <c r="E117" s="7" t="n">
        <v>61</v>
      </c>
      <c r="F117" s="7" t="n">
        <v>152</v>
      </c>
      <c r="G117" s="7" t="n">
        <v>16</v>
      </c>
      <c r="H117" s="7" t="n">
        <v>39</v>
      </c>
      <c r="I117" s="7" t="n">
        <v>6</v>
      </c>
      <c r="J117" s="7" t="n">
        <v>0</v>
      </c>
      <c r="K117" s="7" t="n">
        <v>0</v>
      </c>
      <c r="L117" s="7" t="n">
        <v>6</v>
      </c>
      <c r="M117" s="7" t="n">
        <v>45</v>
      </c>
      <c r="N117" s="7" t="n">
        <v>16</v>
      </c>
      <c r="O117" s="7" t="n">
        <v>16</v>
      </c>
      <c r="P117" s="7" t="n">
        <v>1</v>
      </c>
      <c r="Q117" s="8" t="n">
        <f aca="false">IF(F117=0,0,H117/F117)</f>
        <v>0.256578947368421</v>
      </c>
      <c r="R117" s="8" t="n">
        <f aca="false">IF(F117+O117=0,0,(H117+O117)/(F117+O117))</f>
        <v>0.327380952380952</v>
      </c>
      <c r="S117" s="8" t="n">
        <f aca="false">IF(F117=0,0,M117/F117)</f>
        <v>0.296052631578947</v>
      </c>
      <c r="T117" s="8" t="n">
        <f aca="false">S117+R117</f>
        <v>0.6234335839599</v>
      </c>
      <c r="U117" s="8" t="n">
        <f aca="false">S117-Q117</f>
        <v>0.0394736842105263</v>
      </c>
    </row>
    <row r="118" customFormat="false" ht="14.25" hidden="false" customHeight="true" outlineLevel="0" collapsed="false">
      <c r="A118" s="6" t="s">
        <v>200</v>
      </c>
      <c r="B118" s="6" t="s">
        <v>192</v>
      </c>
      <c r="C118" s="7" t="n">
        <v>6</v>
      </c>
      <c r="D118" s="7" t="s">
        <v>576</v>
      </c>
      <c r="E118" s="7" t="n">
        <v>38</v>
      </c>
      <c r="F118" s="7" t="n">
        <v>107</v>
      </c>
      <c r="G118" s="7" t="n">
        <v>26</v>
      </c>
      <c r="H118" s="7" t="n">
        <v>39</v>
      </c>
      <c r="I118" s="7" t="n">
        <v>10</v>
      </c>
      <c r="J118" s="7" t="n">
        <v>2</v>
      </c>
      <c r="K118" s="7" t="n">
        <v>0</v>
      </c>
      <c r="L118" s="7" t="n">
        <v>12</v>
      </c>
      <c r="M118" s="7" t="n">
        <v>53</v>
      </c>
      <c r="N118" s="7" t="n">
        <v>17</v>
      </c>
      <c r="O118" s="7" t="n">
        <v>3</v>
      </c>
      <c r="P118" s="7" t="n">
        <v>3</v>
      </c>
      <c r="Q118" s="8" t="n">
        <f aca="false">IF(F118=0,0,H118/F118)</f>
        <v>0.364485981308411</v>
      </c>
      <c r="R118" s="8" t="n">
        <f aca="false">IF(F118+O118=0,0,(H118+O118)/(F118+O118))</f>
        <v>0.381818181818182</v>
      </c>
      <c r="S118" s="8" t="n">
        <f aca="false">IF(F118=0,0,M118/F118)</f>
        <v>0.495327102803738</v>
      </c>
      <c r="T118" s="8" t="n">
        <f aca="false">S118+R118</f>
        <v>0.87714528462192</v>
      </c>
      <c r="U118" s="8" t="n">
        <f aca="false">S118-Q118</f>
        <v>0.130841121495327</v>
      </c>
    </row>
    <row r="119" customFormat="false" ht="14.25" hidden="false" customHeight="true" outlineLevel="0" collapsed="false">
      <c r="A119" s="6" t="s">
        <v>176</v>
      </c>
      <c r="B119" s="6" t="s">
        <v>166</v>
      </c>
      <c r="C119" s="7" t="n">
        <v>8</v>
      </c>
      <c r="D119" s="7" t="s">
        <v>534</v>
      </c>
      <c r="E119" s="7" t="n">
        <v>80</v>
      </c>
      <c r="F119" s="7" t="n">
        <v>200</v>
      </c>
      <c r="G119" s="7" t="n">
        <v>31</v>
      </c>
      <c r="H119" s="7" t="n">
        <v>38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38</v>
      </c>
      <c r="N119" s="7" t="n">
        <v>8</v>
      </c>
      <c r="O119" s="7" t="n">
        <v>36</v>
      </c>
      <c r="P119" s="7" t="n">
        <v>9</v>
      </c>
      <c r="Q119" s="8" t="n">
        <f aca="false">IF(F119=0,0,H119/F119)</f>
        <v>0.19</v>
      </c>
      <c r="R119" s="8" t="n">
        <f aca="false">IF(F119+O119=0,0,(H119+O119)/(F119+O119))</f>
        <v>0.313559322033898</v>
      </c>
      <c r="S119" s="8" t="n">
        <f aca="false">IF(F119=0,0,M119/F119)</f>
        <v>0.19</v>
      </c>
      <c r="T119" s="8" t="n">
        <f aca="false">S119+R119</f>
        <v>0.503559322033898</v>
      </c>
      <c r="U119" s="8" t="n">
        <f aca="false">S119-Q119</f>
        <v>0</v>
      </c>
    </row>
    <row r="120" customFormat="false" ht="14.25" hidden="false" customHeight="true" outlineLevel="0" collapsed="false">
      <c r="A120" s="6" t="s">
        <v>76</v>
      </c>
      <c r="B120" s="6" t="s">
        <v>71</v>
      </c>
      <c r="C120" s="7" t="n">
        <v>3</v>
      </c>
      <c r="D120" s="7" t="s">
        <v>552</v>
      </c>
      <c r="E120" s="7" t="n">
        <v>34</v>
      </c>
      <c r="F120" s="7" t="n">
        <v>111</v>
      </c>
      <c r="G120" s="7" t="n">
        <v>32</v>
      </c>
      <c r="H120" s="7" t="n">
        <v>42</v>
      </c>
      <c r="I120" s="7" t="n">
        <v>19</v>
      </c>
      <c r="J120" s="7" t="n">
        <v>0</v>
      </c>
      <c r="K120" s="7" t="n">
        <v>0</v>
      </c>
      <c r="L120" s="7" t="n">
        <v>19</v>
      </c>
      <c r="M120" s="7" t="n">
        <v>61</v>
      </c>
      <c r="N120" s="7" t="n">
        <v>13</v>
      </c>
      <c r="O120" s="7" t="n">
        <v>13</v>
      </c>
      <c r="P120" s="7" t="n">
        <v>1</v>
      </c>
      <c r="Q120" s="8" t="n">
        <f aca="false">IF(F120=0,0,H120/F120)</f>
        <v>0.378378378378378</v>
      </c>
      <c r="R120" s="8" t="n">
        <f aca="false">IF(F120+O120=0,0,(H120+O120)/(F120+O120))</f>
        <v>0.443548387096774</v>
      </c>
      <c r="S120" s="8" t="n">
        <f aca="false">IF(F120=0,0,M120/F120)</f>
        <v>0.54954954954955</v>
      </c>
      <c r="T120" s="8" t="n">
        <f aca="false">S120+R120</f>
        <v>0.993097936646324</v>
      </c>
      <c r="U120" s="8" t="n">
        <f aca="false">S120-Q120</f>
        <v>0.171171171171171</v>
      </c>
    </row>
    <row r="121" customFormat="false" ht="14.25" hidden="false" customHeight="true" outlineLevel="0" collapsed="false">
      <c r="A121" s="6" t="s">
        <v>226</v>
      </c>
      <c r="B121" s="6" t="s">
        <v>212</v>
      </c>
      <c r="C121" s="7" t="n">
        <v>8</v>
      </c>
      <c r="D121" s="7" t="s">
        <v>534</v>
      </c>
      <c r="E121" s="7" t="n">
        <v>42</v>
      </c>
      <c r="F121" s="7" t="n">
        <v>117</v>
      </c>
      <c r="G121" s="7" t="n">
        <v>14</v>
      </c>
      <c r="H121" s="7" t="n">
        <v>31</v>
      </c>
      <c r="I121" s="7" t="n">
        <v>6</v>
      </c>
      <c r="J121" s="7" t="n">
        <v>0</v>
      </c>
      <c r="K121" s="7" t="n">
        <v>0</v>
      </c>
      <c r="L121" s="7" t="n">
        <v>6</v>
      </c>
      <c r="M121" s="7" t="n">
        <v>37</v>
      </c>
      <c r="N121" s="7" t="n">
        <v>10</v>
      </c>
      <c r="O121" s="7" t="n">
        <v>14</v>
      </c>
      <c r="P121" s="7" t="n">
        <v>8</v>
      </c>
      <c r="Q121" s="8" t="n">
        <f aca="false">IF(F121=0,0,H121/F121)</f>
        <v>0.264957264957265</v>
      </c>
      <c r="R121" s="8" t="n">
        <f aca="false">IF(F121+O121=0,0,(H121+O121)/(F121+O121))</f>
        <v>0.343511450381679</v>
      </c>
      <c r="S121" s="8" t="n">
        <f aca="false">IF(F121=0,0,M121/F121)</f>
        <v>0.316239316239316</v>
      </c>
      <c r="T121" s="8" t="n">
        <f aca="false">S121+R121</f>
        <v>0.659750766620996</v>
      </c>
      <c r="U121" s="8" t="n">
        <f aca="false">S121-Q121</f>
        <v>0.0512820512820513</v>
      </c>
    </row>
    <row r="122" customFormat="false" ht="14.25" hidden="false" customHeight="true" outlineLevel="0" collapsed="false">
      <c r="A122" s="6" t="s">
        <v>219</v>
      </c>
      <c r="B122" s="6" t="s">
        <v>212</v>
      </c>
      <c r="C122" s="7" t="n">
        <v>8</v>
      </c>
      <c r="D122" s="7" t="s">
        <v>534</v>
      </c>
      <c r="E122" s="7" t="n">
        <v>62</v>
      </c>
      <c r="F122" s="7" t="n">
        <v>158</v>
      </c>
      <c r="G122" s="7" t="n">
        <v>12</v>
      </c>
      <c r="H122" s="7" t="n">
        <v>31</v>
      </c>
      <c r="I122" s="7" t="n">
        <v>2</v>
      </c>
      <c r="J122" s="7" t="n">
        <v>0</v>
      </c>
      <c r="K122" s="7" t="n">
        <v>0</v>
      </c>
      <c r="L122" s="7" t="n">
        <v>2</v>
      </c>
      <c r="M122" s="7" t="n">
        <v>33</v>
      </c>
      <c r="N122" s="7" t="n">
        <v>11</v>
      </c>
      <c r="O122" s="7" t="n">
        <v>15</v>
      </c>
      <c r="P122" s="7" t="n">
        <v>8</v>
      </c>
      <c r="Q122" s="8" t="n">
        <f aca="false">IF(F122=0,0,H122/F122)</f>
        <v>0.19620253164557</v>
      </c>
      <c r="R122" s="8" t="n">
        <f aca="false">IF(F122+O122=0,0,(H122+O122)/(F122+O122))</f>
        <v>0.265895953757225</v>
      </c>
      <c r="S122" s="8" t="n">
        <f aca="false">IF(F122=0,0,M122/F122)</f>
        <v>0.208860759493671</v>
      </c>
      <c r="T122" s="8" t="n">
        <f aca="false">S122+R122</f>
        <v>0.474756713250896</v>
      </c>
      <c r="U122" s="8" t="n">
        <f aca="false">S122-Q122</f>
        <v>0.0126582278481013</v>
      </c>
    </row>
    <row r="123" customFormat="false" ht="14.25" hidden="false" customHeight="true" outlineLevel="0" collapsed="false">
      <c r="A123" s="6" t="s">
        <v>59</v>
      </c>
      <c r="B123" s="6" t="s">
        <v>50</v>
      </c>
      <c r="C123" s="7" t="n">
        <v>7</v>
      </c>
      <c r="D123" s="7" t="s">
        <v>536</v>
      </c>
      <c r="E123" s="7" t="n">
        <v>74</v>
      </c>
      <c r="F123" s="7" t="n">
        <v>210</v>
      </c>
      <c r="G123" s="7" t="n">
        <v>20</v>
      </c>
      <c r="H123" s="7" t="n">
        <v>32</v>
      </c>
      <c r="I123" s="7" t="n">
        <v>5</v>
      </c>
      <c r="J123" s="7" t="n">
        <v>0</v>
      </c>
      <c r="K123" s="7" t="n">
        <v>0</v>
      </c>
      <c r="L123" s="7" t="n">
        <v>5</v>
      </c>
      <c r="M123" s="7" t="n">
        <v>37</v>
      </c>
      <c r="N123" s="7" t="n">
        <v>11</v>
      </c>
      <c r="O123" s="7" t="n">
        <v>6</v>
      </c>
      <c r="P123" s="7" t="n">
        <v>16</v>
      </c>
      <c r="Q123" s="8" t="n">
        <f aca="false">IF(F123=0,0,H123/F123)</f>
        <v>0.152380952380952</v>
      </c>
      <c r="R123" s="8" t="n">
        <f aca="false">IF(F123+O123=0,0,(H123+O123)/(F123+O123))</f>
        <v>0.175925925925926</v>
      </c>
      <c r="S123" s="8" t="n">
        <f aca="false">IF(F123=0,0,M123/F123)</f>
        <v>0.176190476190476</v>
      </c>
      <c r="T123" s="8" t="n">
        <f aca="false">S123+R123</f>
        <v>0.352116402116402</v>
      </c>
      <c r="U123" s="8" t="n">
        <f aca="false">S123-Q123</f>
        <v>0.0238095238095238</v>
      </c>
    </row>
    <row r="124" customFormat="false" ht="14.25" hidden="false" customHeight="true" outlineLevel="0" collapsed="false">
      <c r="A124" s="6" t="s">
        <v>222</v>
      </c>
      <c r="B124" s="6" t="s">
        <v>212</v>
      </c>
      <c r="C124" s="7" t="n">
        <v>8</v>
      </c>
      <c r="D124" s="7" t="s">
        <v>534</v>
      </c>
      <c r="E124" s="7" t="n">
        <v>49</v>
      </c>
      <c r="F124" s="7" t="n">
        <v>141</v>
      </c>
      <c r="G124" s="7" t="n">
        <v>21</v>
      </c>
      <c r="H124" s="7" t="n">
        <v>29</v>
      </c>
      <c r="I124" s="7" t="n">
        <v>3</v>
      </c>
      <c r="J124" s="7" t="n">
        <v>0</v>
      </c>
      <c r="K124" s="7" t="n">
        <v>0</v>
      </c>
      <c r="L124" s="7" t="n">
        <v>3</v>
      </c>
      <c r="M124" s="7" t="n">
        <v>32</v>
      </c>
      <c r="N124" s="7" t="n">
        <v>15</v>
      </c>
      <c r="O124" s="7" t="n">
        <v>10</v>
      </c>
      <c r="P124" s="7" t="n">
        <v>8</v>
      </c>
      <c r="Q124" s="8" t="n">
        <f aca="false">IF(F124=0,0,H124/F124)</f>
        <v>0.205673758865248</v>
      </c>
      <c r="R124" s="8" t="n">
        <f aca="false">IF(F124+O124=0,0,(H124+O124)/(F124+O124))</f>
        <v>0.258278145695364</v>
      </c>
      <c r="S124" s="8" t="n">
        <f aca="false">IF(F124=0,0,M124/F124)</f>
        <v>0.226950354609929</v>
      </c>
      <c r="T124" s="8" t="n">
        <f aca="false">S124+R124</f>
        <v>0.485228500305293</v>
      </c>
      <c r="U124" s="8" t="n">
        <f aca="false">S124-Q124</f>
        <v>0.0212765957446809</v>
      </c>
    </row>
    <row r="125" customFormat="false" ht="14.25" hidden="false" customHeight="true" outlineLevel="0" collapsed="false">
      <c r="A125" s="6" t="s">
        <v>156</v>
      </c>
      <c r="B125" s="6" t="s">
        <v>147</v>
      </c>
      <c r="C125" s="7" t="n">
        <v>4</v>
      </c>
      <c r="D125" s="7" t="s">
        <v>537</v>
      </c>
      <c r="E125" s="7" t="n">
        <v>35</v>
      </c>
      <c r="F125" s="7" t="n">
        <v>93</v>
      </c>
      <c r="G125" s="7" t="n">
        <v>17</v>
      </c>
      <c r="H125" s="7" t="n">
        <v>27</v>
      </c>
      <c r="I125" s="7" t="n">
        <v>8</v>
      </c>
      <c r="J125" s="7" t="n">
        <v>0</v>
      </c>
      <c r="K125" s="7" t="n">
        <v>0</v>
      </c>
      <c r="L125" s="7" t="n">
        <v>8</v>
      </c>
      <c r="M125" s="7" t="n">
        <v>35</v>
      </c>
      <c r="N125" s="7" t="n">
        <v>21</v>
      </c>
      <c r="O125" s="7" t="n">
        <v>14</v>
      </c>
      <c r="P125" s="7" t="n">
        <v>1</v>
      </c>
      <c r="Q125" s="8" t="n">
        <f aca="false">IF(F125=0,0,H125/F125)</f>
        <v>0.290322580645161</v>
      </c>
      <c r="R125" s="8" t="n">
        <f aca="false">IF(F125+O125=0,0,(H125+O125)/(F125+O125))</f>
        <v>0.383177570093458</v>
      </c>
      <c r="S125" s="8" t="n">
        <f aca="false">IF(F125=0,0,M125/F125)</f>
        <v>0.376344086021505</v>
      </c>
      <c r="T125" s="8" t="n">
        <f aca="false">S125+R125</f>
        <v>0.759521656114963</v>
      </c>
      <c r="U125" s="8" t="n">
        <f aca="false">S125-Q125</f>
        <v>0.0860215053763441</v>
      </c>
    </row>
    <row r="126" customFormat="false" ht="14.25" hidden="false" customHeight="true" outlineLevel="0" collapsed="false">
      <c r="A126" s="6" t="s">
        <v>288</v>
      </c>
      <c r="B126" s="6" t="s">
        <v>97</v>
      </c>
      <c r="C126" s="7" t="n">
        <v>5</v>
      </c>
      <c r="D126" s="7" t="s">
        <v>577</v>
      </c>
      <c r="E126" s="7" t="n">
        <v>31</v>
      </c>
      <c r="F126" s="7" t="n">
        <v>92</v>
      </c>
      <c r="G126" s="7" t="n">
        <v>17</v>
      </c>
      <c r="H126" s="7" t="n">
        <v>24</v>
      </c>
      <c r="I126" s="7" t="n">
        <v>7</v>
      </c>
      <c r="J126" s="7" t="n">
        <v>0</v>
      </c>
      <c r="K126" s="7" t="n">
        <v>0</v>
      </c>
      <c r="L126" s="7" t="n">
        <v>7</v>
      </c>
      <c r="M126" s="7" t="n">
        <v>31</v>
      </c>
      <c r="N126" s="7" t="n">
        <v>3</v>
      </c>
      <c r="O126" s="7" t="n">
        <v>18</v>
      </c>
      <c r="P126" s="7" t="n">
        <v>10</v>
      </c>
      <c r="Q126" s="8" t="n">
        <f aca="false">IF(F126=0,0,H126/F126)</f>
        <v>0.260869565217391</v>
      </c>
      <c r="R126" s="8" t="n">
        <f aca="false">IF(F126+O126=0,0,(H126+O126)/(F126+O126))</f>
        <v>0.381818181818182</v>
      </c>
      <c r="S126" s="8" t="n">
        <f aca="false">IF(F126=0,0,M126/F126)</f>
        <v>0.33695652173913</v>
      </c>
      <c r="T126" s="8" t="n">
        <f aca="false">S126+R126</f>
        <v>0.718774703557312</v>
      </c>
      <c r="U126" s="8" t="n">
        <f aca="false">S126-Q126</f>
        <v>0.0760869565217391</v>
      </c>
    </row>
    <row r="127" customFormat="false" ht="14.25" hidden="false" customHeight="true" outlineLevel="0" collapsed="false">
      <c r="A127" s="6" t="s">
        <v>133</v>
      </c>
      <c r="B127" s="6" t="s">
        <v>121</v>
      </c>
      <c r="C127" s="7" t="n">
        <v>7</v>
      </c>
      <c r="D127" s="7" t="s">
        <v>578</v>
      </c>
      <c r="E127" s="7" t="n">
        <v>43</v>
      </c>
      <c r="F127" s="7" t="n">
        <v>82</v>
      </c>
      <c r="G127" s="7" t="n">
        <v>13</v>
      </c>
      <c r="H127" s="7" t="n">
        <v>24</v>
      </c>
      <c r="I127" s="7" t="n">
        <v>1</v>
      </c>
      <c r="J127" s="7" t="n">
        <v>0</v>
      </c>
      <c r="K127" s="7" t="n">
        <v>0</v>
      </c>
      <c r="L127" s="7" t="n">
        <v>1</v>
      </c>
      <c r="M127" s="7" t="n">
        <v>25</v>
      </c>
      <c r="N127" s="7" t="n">
        <v>14</v>
      </c>
      <c r="O127" s="7" t="n">
        <v>18</v>
      </c>
      <c r="P127" s="7" t="n">
        <v>0</v>
      </c>
      <c r="Q127" s="8" t="n">
        <f aca="false">IF(F127=0,0,H127/F127)</f>
        <v>0.292682926829268</v>
      </c>
      <c r="R127" s="8" t="n">
        <f aca="false">IF(F127+O127=0,0,(H127+O127)/(F127+O127))</f>
        <v>0.42</v>
      </c>
      <c r="S127" s="8" t="n">
        <f aca="false">IF(F127=0,0,M127/F127)</f>
        <v>0.304878048780488</v>
      </c>
      <c r="T127" s="8" t="n">
        <f aca="false">S127+R127</f>
        <v>0.724878048780488</v>
      </c>
      <c r="U127" s="8" t="n">
        <f aca="false">S127-Q127</f>
        <v>0.0121951219512195</v>
      </c>
    </row>
    <row r="128" customFormat="false" ht="14.25" hidden="false" customHeight="true" outlineLevel="0" collapsed="false">
      <c r="A128" s="6" t="s">
        <v>124</v>
      </c>
      <c r="B128" s="6" t="s">
        <v>579</v>
      </c>
      <c r="C128" s="7" t="n">
        <v>3</v>
      </c>
      <c r="D128" s="9" t="s">
        <v>580</v>
      </c>
      <c r="E128" s="7" t="n">
        <v>21</v>
      </c>
      <c r="F128" s="7" t="n">
        <v>69</v>
      </c>
      <c r="G128" s="7" t="n">
        <v>20</v>
      </c>
      <c r="H128" s="7" t="n">
        <v>30</v>
      </c>
      <c r="I128" s="7" t="n">
        <v>16</v>
      </c>
      <c r="J128" s="7" t="n">
        <v>0</v>
      </c>
      <c r="K128" s="7" t="n">
        <v>0</v>
      </c>
      <c r="L128" s="7" t="n">
        <v>16</v>
      </c>
      <c r="M128" s="7" t="n">
        <v>46</v>
      </c>
      <c r="N128" s="7" t="n">
        <v>16</v>
      </c>
      <c r="O128" s="7" t="n">
        <v>5</v>
      </c>
      <c r="P128" s="7" t="n">
        <v>1</v>
      </c>
      <c r="Q128" s="8" t="n">
        <f aca="false">IF(F128=0,0,H128/F128)</f>
        <v>0.434782608695652</v>
      </c>
      <c r="R128" s="8" t="n">
        <f aca="false">IF(F128+O128=0,0,(H128+O128)/(F128+O128))</f>
        <v>0.472972972972973</v>
      </c>
      <c r="S128" s="8" t="n">
        <f aca="false">IF(F128=0,0,M128/F128)</f>
        <v>0.666666666666667</v>
      </c>
      <c r="T128" s="8" t="n">
        <f aca="false">S128+R128</f>
        <v>1.13963963963964</v>
      </c>
      <c r="U128" s="8" t="n">
        <f aca="false">S128-Q128</f>
        <v>0.231884057971014</v>
      </c>
    </row>
    <row r="129" customFormat="false" ht="14.25" hidden="false" customHeight="true" outlineLevel="0" collapsed="false">
      <c r="A129" s="6" t="s">
        <v>136</v>
      </c>
      <c r="B129" s="6" t="s">
        <v>121</v>
      </c>
      <c r="C129" s="7" t="n">
        <v>8</v>
      </c>
      <c r="D129" s="9" t="s">
        <v>543</v>
      </c>
      <c r="E129" s="7" t="n">
        <v>41</v>
      </c>
      <c r="F129" s="7" t="n">
        <v>106</v>
      </c>
      <c r="G129" s="7" t="n">
        <v>21</v>
      </c>
      <c r="H129" s="7" t="n">
        <v>22</v>
      </c>
      <c r="I129" s="7" t="n">
        <v>7</v>
      </c>
      <c r="J129" s="7" t="n">
        <v>0</v>
      </c>
      <c r="K129" s="7" t="n">
        <v>0</v>
      </c>
      <c r="L129" s="7" t="n">
        <v>7</v>
      </c>
      <c r="M129" s="7" t="n">
        <v>29</v>
      </c>
      <c r="N129" s="7" t="n">
        <v>10</v>
      </c>
      <c r="O129" s="7" t="n">
        <v>14</v>
      </c>
      <c r="P129" s="7" t="n">
        <v>5</v>
      </c>
      <c r="Q129" s="8" t="n">
        <f aca="false">IF(F129=0,0,H129/F129)</f>
        <v>0.207547169811321</v>
      </c>
      <c r="R129" s="8" t="n">
        <f aca="false">IF(F129+O129=0,0,(H129+O129)/(F129+O129))</f>
        <v>0.3</v>
      </c>
      <c r="S129" s="8" t="n">
        <f aca="false">IF(F129=0,0,M129/F129)</f>
        <v>0.273584905660377</v>
      </c>
      <c r="T129" s="8" t="n">
        <f aca="false">S129+R129</f>
        <v>0.573584905660377</v>
      </c>
      <c r="U129" s="8" t="n">
        <f aca="false">S129-Q129</f>
        <v>0.0660377358490566</v>
      </c>
    </row>
    <row r="130" customFormat="false" ht="14.25" hidden="false" customHeight="true" outlineLevel="0" collapsed="false">
      <c r="A130" s="6" t="s">
        <v>174</v>
      </c>
      <c r="B130" s="6" t="s">
        <v>166</v>
      </c>
      <c r="C130" s="7" t="n">
        <v>8</v>
      </c>
      <c r="D130" s="7" t="s">
        <v>534</v>
      </c>
      <c r="E130" s="7" t="n">
        <v>76</v>
      </c>
      <c r="F130" s="7" t="n">
        <v>124</v>
      </c>
      <c r="G130" s="7" t="n">
        <v>15</v>
      </c>
      <c r="H130" s="7" t="n">
        <v>23</v>
      </c>
      <c r="I130" s="7" t="n">
        <v>2</v>
      </c>
      <c r="J130" s="7" t="n">
        <v>0</v>
      </c>
      <c r="K130" s="7" t="n">
        <v>0</v>
      </c>
      <c r="L130" s="7" t="n">
        <v>2</v>
      </c>
      <c r="M130" s="7" t="n">
        <v>25</v>
      </c>
      <c r="N130" s="7" t="n">
        <v>6</v>
      </c>
      <c r="O130" s="7" t="n">
        <v>3</v>
      </c>
      <c r="P130" s="7" t="n">
        <v>3</v>
      </c>
      <c r="Q130" s="8" t="n">
        <f aca="false">IF(F130=0,0,H130/F130)</f>
        <v>0.185483870967742</v>
      </c>
      <c r="R130" s="8" t="n">
        <f aca="false">IF(F130+O130=0,0,(H130+O130)/(F130+O130))</f>
        <v>0.204724409448819</v>
      </c>
      <c r="S130" s="8" t="n">
        <f aca="false">IF(F130=0,0,M130/F130)</f>
        <v>0.201612903225806</v>
      </c>
      <c r="T130" s="8" t="n">
        <f aca="false">S130+R130</f>
        <v>0.406337312674625</v>
      </c>
      <c r="U130" s="8" t="n">
        <f aca="false">S130-Q130</f>
        <v>0.0161290322580645</v>
      </c>
    </row>
    <row r="131" customFormat="false" ht="14.25" hidden="false" customHeight="true" outlineLevel="0" collapsed="false">
      <c r="A131" s="6" t="s">
        <v>240</v>
      </c>
      <c r="B131" s="6" t="s">
        <v>50</v>
      </c>
      <c r="C131" s="7" t="n">
        <v>7</v>
      </c>
      <c r="D131" s="7" t="s">
        <v>581</v>
      </c>
      <c r="E131" s="7" t="n">
        <v>38</v>
      </c>
      <c r="F131" s="7" t="n">
        <v>84</v>
      </c>
      <c r="G131" s="7" t="n">
        <v>9</v>
      </c>
      <c r="H131" s="7" t="n">
        <v>20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20</v>
      </c>
      <c r="N131" s="7" t="n">
        <v>12</v>
      </c>
      <c r="O131" s="7" t="n">
        <v>5</v>
      </c>
      <c r="P131" s="7" t="n">
        <v>7</v>
      </c>
      <c r="Q131" s="8" t="n">
        <f aca="false">IF(F131=0,0,H131/F131)</f>
        <v>0.238095238095238</v>
      </c>
      <c r="R131" s="8" t="n">
        <f aca="false">IF(F131+O131=0,0,(H131+O131)/(F131+O131))</f>
        <v>0.280898876404494</v>
      </c>
      <c r="S131" s="8" t="n">
        <f aca="false">IF(F131=0,0,M131/F131)</f>
        <v>0.238095238095238</v>
      </c>
      <c r="T131" s="8" t="n">
        <f aca="false">S131+R131</f>
        <v>0.518994114499733</v>
      </c>
      <c r="U131" s="8" t="n">
        <f aca="false">S131-Q131</f>
        <v>0</v>
      </c>
    </row>
    <row r="132" customFormat="false" ht="14.25" hidden="false" customHeight="true" outlineLevel="0" collapsed="false">
      <c r="A132" s="6" t="s">
        <v>289</v>
      </c>
      <c r="B132" s="6" t="s">
        <v>97</v>
      </c>
      <c r="C132" s="7" t="n">
        <v>6</v>
      </c>
      <c r="D132" s="7" t="s">
        <v>549</v>
      </c>
      <c r="E132" s="7" t="n">
        <v>28</v>
      </c>
      <c r="F132" s="7" t="n">
        <v>71</v>
      </c>
      <c r="G132" s="7" t="n">
        <v>8</v>
      </c>
      <c r="H132" s="7" t="n">
        <v>18</v>
      </c>
      <c r="I132" s="7" t="n">
        <v>4</v>
      </c>
      <c r="J132" s="7" t="n">
        <v>0</v>
      </c>
      <c r="K132" s="7" t="n">
        <v>0</v>
      </c>
      <c r="L132" s="7" t="n">
        <v>4</v>
      </c>
      <c r="M132" s="7" t="n">
        <v>22</v>
      </c>
      <c r="N132" s="7" t="n">
        <v>7</v>
      </c>
      <c r="O132" s="7" t="n">
        <v>10</v>
      </c>
      <c r="P132" s="7" t="n">
        <v>2</v>
      </c>
      <c r="Q132" s="8" t="n">
        <f aca="false">IF(F132=0,0,H132/F132)</f>
        <v>0.253521126760563</v>
      </c>
      <c r="R132" s="8" t="n">
        <f aca="false">IF(F132+O132=0,0,(H132+O132)/(F132+O132))</f>
        <v>0.345679012345679</v>
      </c>
      <c r="S132" s="8" t="n">
        <f aca="false">IF(F132=0,0,M132/F132)</f>
        <v>0.309859154929577</v>
      </c>
      <c r="T132" s="8" t="n">
        <f aca="false">S132+R132</f>
        <v>0.655538167275257</v>
      </c>
      <c r="U132" s="8" t="n">
        <f aca="false">S132-Q132</f>
        <v>0.0563380281690141</v>
      </c>
    </row>
    <row r="133" customFormat="false" ht="14.25" hidden="false" customHeight="true" outlineLevel="0" collapsed="false">
      <c r="A133" s="6" t="s">
        <v>484</v>
      </c>
      <c r="B133" s="6" t="s">
        <v>166</v>
      </c>
      <c r="C133" s="7" t="n">
        <v>2</v>
      </c>
      <c r="D133" s="7" t="s">
        <v>554</v>
      </c>
      <c r="E133" s="7" t="n">
        <v>18</v>
      </c>
      <c r="F133" s="7" t="n">
        <v>51</v>
      </c>
      <c r="G133" s="7" t="n">
        <v>5</v>
      </c>
      <c r="H133" s="7" t="n">
        <v>17</v>
      </c>
      <c r="I133" s="7" t="n">
        <v>1</v>
      </c>
      <c r="J133" s="7" t="n">
        <v>0</v>
      </c>
      <c r="K133" s="7" t="n">
        <v>0</v>
      </c>
      <c r="L133" s="7" t="n">
        <v>1</v>
      </c>
      <c r="M133" s="7" t="n">
        <v>18</v>
      </c>
      <c r="N133" s="7" t="n">
        <v>4</v>
      </c>
      <c r="O133" s="7" t="n">
        <v>3</v>
      </c>
      <c r="P133" s="7" t="n">
        <v>4</v>
      </c>
      <c r="Q133" s="8" t="n">
        <f aca="false">IF(F133=0,0,H133/F133)</f>
        <v>0.333333333333333</v>
      </c>
      <c r="R133" s="8" t="n">
        <f aca="false">IF(F133+O133=0,0,(H133+O133)/(F133+O133))</f>
        <v>0.37037037037037</v>
      </c>
      <c r="S133" s="8" t="n">
        <f aca="false">IF(F133=0,0,M133/F133)</f>
        <v>0.352941176470588</v>
      </c>
      <c r="T133" s="8" t="n">
        <f aca="false">S133+R133</f>
        <v>0.723311546840959</v>
      </c>
      <c r="U133" s="8" t="n">
        <f aca="false">S133-Q133</f>
        <v>0.0196078431372549</v>
      </c>
    </row>
    <row r="134" customFormat="false" ht="14.25" hidden="false" customHeight="true" outlineLevel="0" collapsed="false">
      <c r="A134" s="6" t="s">
        <v>208</v>
      </c>
      <c r="B134" s="6" t="s">
        <v>192</v>
      </c>
      <c r="C134" s="7" t="n">
        <v>5</v>
      </c>
      <c r="D134" s="7" t="s">
        <v>557</v>
      </c>
      <c r="E134" s="7" t="n">
        <v>35</v>
      </c>
      <c r="F134" s="7" t="n">
        <v>97</v>
      </c>
      <c r="G134" s="7" t="n">
        <v>8</v>
      </c>
      <c r="H134" s="7" t="n">
        <v>18</v>
      </c>
      <c r="I134" s="7" t="n">
        <v>2</v>
      </c>
      <c r="J134" s="7" t="n">
        <v>0</v>
      </c>
      <c r="K134" s="7" t="n">
        <v>0</v>
      </c>
      <c r="L134" s="7" t="n">
        <v>2</v>
      </c>
      <c r="M134" s="7" t="n">
        <v>20</v>
      </c>
      <c r="N134" s="7" t="n">
        <v>8</v>
      </c>
      <c r="O134" s="7" t="n">
        <v>3</v>
      </c>
      <c r="P134" s="7" t="n">
        <v>0</v>
      </c>
      <c r="Q134" s="8" t="n">
        <f aca="false">IF(F134=0,0,H134/F134)</f>
        <v>0.185567010309278</v>
      </c>
      <c r="R134" s="8" t="n">
        <f aca="false">IF(F134+O134=0,0,(H134+O134)/(F134+O134))</f>
        <v>0.21</v>
      </c>
      <c r="S134" s="8" t="n">
        <f aca="false">IF(F134=0,0,M134/F134)</f>
        <v>0.206185567010309</v>
      </c>
      <c r="T134" s="8" t="n">
        <f aca="false">S134+R134</f>
        <v>0.416185567010309</v>
      </c>
      <c r="U134" s="8" t="n">
        <f aca="false">S134-Q134</f>
        <v>0.0206185567010309</v>
      </c>
    </row>
    <row r="135" customFormat="false" ht="14.25" hidden="false" customHeight="true" outlineLevel="0" collapsed="false">
      <c r="A135" s="6" t="s">
        <v>286</v>
      </c>
      <c r="B135" s="6" t="s">
        <v>582</v>
      </c>
      <c r="C135" s="7" t="n">
        <v>4</v>
      </c>
      <c r="D135" s="9" t="s">
        <v>559</v>
      </c>
      <c r="E135" s="7" t="n">
        <v>26</v>
      </c>
      <c r="F135" s="7" t="n">
        <v>66</v>
      </c>
      <c r="G135" s="7" t="n">
        <v>5</v>
      </c>
      <c r="H135" s="7" t="n">
        <v>17</v>
      </c>
      <c r="I135" s="7" t="n">
        <v>2</v>
      </c>
      <c r="J135" s="7" t="n">
        <v>0</v>
      </c>
      <c r="K135" s="7" t="n">
        <v>0</v>
      </c>
      <c r="L135" s="7" t="n">
        <v>2</v>
      </c>
      <c r="M135" s="7" t="n">
        <v>19</v>
      </c>
      <c r="N135" s="7" t="n">
        <v>1</v>
      </c>
      <c r="O135" s="7" t="n">
        <v>3</v>
      </c>
      <c r="P135" s="7" t="n">
        <v>2</v>
      </c>
      <c r="Q135" s="8" t="n">
        <f aca="false">IF(F135=0,0,H135/F135)</f>
        <v>0.257575757575758</v>
      </c>
      <c r="R135" s="8" t="n">
        <f aca="false">IF(F135+O135=0,0,(H135+O135)/(F135+O135))</f>
        <v>0.289855072463768</v>
      </c>
      <c r="S135" s="8" t="n">
        <f aca="false">IF(F135=0,0,M135/F135)</f>
        <v>0.287878787878788</v>
      </c>
      <c r="T135" s="8" t="n">
        <f aca="false">S135+R135</f>
        <v>0.577733860342556</v>
      </c>
      <c r="U135" s="8" t="n">
        <f aca="false">S135-Q135</f>
        <v>0.0303030303030303</v>
      </c>
    </row>
    <row r="136" customFormat="false" ht="14.25" hidden="false" customHeight="true" outlineLevel="0" collapsed="false">
      <c r="A136" s="6" t="s">
        <v>140</v>
      </c>
      <c r="B136" s="6" t="s">
        <v>121</v>
      </c>
      <c r="C136" s="7" t="n">
        <v>7</v>
      </c>
      <c r="D136" s="7" t="s">
        <v>583</v>
      </c>
      <c r="E136" s="7" t="n">
        <v>37</v>
      </c>
      <c r="F136" s="7" t="n">
        <v>78</v>
      </c>
      <c r="G136" s="7" t="n">
        <v>9</v>
      </c>
      <c r="H136" s="7" t="n">
        <v>17</v>
      </c>
      <c r="I136" s="7" t="n">
        <v>1</v>
      </c>
      <c r="J136" s="7" t="n">
        <v>0</v>
      </c>
      <c r="K136" s="7" t="n">
        <v>0</v>
      </c>
      <c r="L136" s="7" t="n">
        <v>1</v>
      </c>
      <c r="M136" s="7" t="n">
        <v>18</v>
      </c>
      <c r="N136" s="7" t="n">
        <v>9</v>
      </c>
      <c r="O136" s="7" t="n">
        <v>21</v>
      </c>
      <c r="P136" s="7" t="n">
        <v>1</v>
      </c>
      <c r="Q136" s="8" t="n">
        <f aca="false">IF(F136=0,0,H136/F136)</f>
        <v>0.217948717948718</v>
      </c>
      <c r="R136" s="8" t="n">
        <f aca="false">IF(F136+O136=0,0,(H136+O136)/(F136+O136))</f>
        <v>0.383838383838384</v>
      </c>
      <c r="S136" s="8" t="n">
        <f aca="false">IF(F136=0,0,M136/F136)</f>
        <v>0.230769230769231</v>
      </c>
      <c r="T136" s="8" t="n">
        <f aca="false">S136+R136</f>
        <v>0.614607614607615</v>
      </c>
      <c r="U136" s="8" t="n">
        <f aca="false">S136-Q136</f>
        <v>0.0128205128205128</v>
      </c>
    </row>
    <row r="137" customFormat="false" ht="14.25" hidden="false" customHeight="true" outlineLevel="0" collapsed="false">
      <c r="A137" s="6" t="s">
        <v>67</v>
      </c>
      <c r="B137" s="6" t="s">
        <v>50</v>
      </c>
      <c r="C137" s="7" t="n">
        <v>8</v>
      </c>
      <c r="D137" s="7" t="s">
        <v>534</v>
      </c>
      <c r="E137" s="7" t="n">
        <v>62</v>
      </c>
      <c r="F137" s="7" t="n">
        <v>113</v>
      </c>
      <c r="G137" s="7" t="n">
        <v>20</v>
      </c>
      <c r="H137" s="7" t="n">
        <v>17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17</v>
      </c>
      <c r="N137" s="7" t="n">
        <v>10</v>
      </c>
      <c r="O137" s="7" t="n">
        <v>35</v>
      </c>
      <c r="P137" s="7" t="n">
        <v>7</v>
      </c>
      <c r="Q137" s="8" t="n">
        <f aca="false">IF(F137=0,0,H137/F137)</f>
        <v>0.150442477876106</v>
      </c>
      <c r="R137" s="8" t="n">
        <f aca="false">IF(F137+O137=0,0,(H137+O137)/(F137+O137))</f>
        <v>0.351351351351351</v>
      </c>
      <c r="S137" s="8" t="n">
        <f aca="false">IF(F137=0,0,M137/F137)</f>
        <v>0.150442477876106</v>
      </c>
      <c r="T137" s="8" t="n">
        <f aca="false">S137+R137</f>
        <v>0.501793829227458</v>
      </c>
      <c r="U137" s="8" t="n">
        <f aca="false">S137-Q137</f>
        <v>0</v>
      </c>
    </row>
    <row r="138" customFormat="false" ht="14.25" hidden="false" customHeight="true" outlineLevel="0" collapsed="false">
      <c r="A138" s="6" t="s">
        <v>389</v>
      </c>
      <c r="B138" s="6" t="s">
        <v>147</v>
      </c>
      <c r="C138" s="7" t="n">
        <v>3</v>
      </c>
      <c r="D138" s="7" t="s">
        <v>584</v>
      </c>
      <c r="E138" s="7" t="n">
        <v>13</v>
      </c>
      <c r="F138" s="7" t="n">
        <v>38</v>
      </c>
      <c r="G138" s="7" t="n">
        <v>12</v>
      </c>
      <c r="H138" s="7" t="n">
        <v>15</v>
      </c>
      <c r="I138" s="7" t="n">
        <v>2</v>
      </c>
      <c r="J138" s="7" t="n">
        <v>0</v>
      </c>
      <c r="K138" s="7" t="n">
        <v>0</v>
      </c>
      <c r="L138" s="7" t="n">
        <v>2</v>
      </c>
      <c r="M138" s="7" t="n">
        <v>17</v>
      </c>
      <c r="N138" s="7" t="n">
        <v>3</v>
      </c>
      <c r="O138" s="7" t="n">
        <v>2</v>
      </c>
      <c r="P138" s="7" t="n">
        <v>0</v>
      </c>
      <c r="Q138" s="8" t="n">
        <f aca="false">IF(F138=0,0,H138/F138)</f>
        <v>0.394736842105263</v>
      </c>
      <c r="R138" s="8" t="n">
        <f aca="false">IF(F138+O138=0,0,(H138+O138)/(F138+O138))</f>
        <v>0.425</v>
      </c>
      <c r="S138" s="8" t="n">
        <f aca="false">IF(F138=0,0,M138/F138)</f>
        <v>0.447368421052632</v>
      </c>
      <c r="T138" s="8" t="n">
        <f aca="false">S138+R138</f>
        <v>0.872368421052632</v>
      </c>
      <c r="U138" s="8" t="n">
        <f aca="false">S138-Q138</f>
        <v>0.0526315789473684</v>
      </c>
    </row>
    <row r="139" customFormat="false" ht="14.25" hidden="false" customHeight="true" outlineLevel="0" collapsed="false">
      <c r="A139" s="6" t="s">
        <v>132</v>
      </c>
      <c r="B139" s="6" t="s">
        <v>121</v>
      </c>
      <c r="C139" s="7" t="n">
        <v>8</v>
      </c>
      <c r="D139" s="7" t="s">
        <v>534</v>
      </c>
      <c r="E139" s="7" t="n">
        <v>35</v>
      </c>
      <c r="F139" s="7" t="n">
        <v>66</v>
      </c>
      <c r="G139" s="7" t="n">
        <v>12</v>
      </c>
      <c r="H139" s="7" t="n">
        <v>15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15</v>
      </c>
      <c r="N139" s="7" t="n">
        <v>7</v>
      </c>
      <c r="O139" s="7" t="n">
        <v>12</v>
      </c>
      <c r="P139" s="7" t="n">
        <v>3</v>
      </c>
      <c r="Q139" s="8" t="n">
        <f aca="false">IF(F139=0,0,H139/F139)</f>
        <v>0.227272727272727</v>
      </c>
      <c r="R139" s="8" t="n">
        <f aca="false">IF(F139+O139=0,0,(H139+O139)/(F139+O139))</f>
        <v>0.346153846153846</v>
      </c>
      <c r="S139" s="8" t="n">
        <f aca="false">IF(F139=0,0,M139/F139)</f>
        <v>0.227272727272727</v>
      </c>
      <c r="T139" s="8" t="n">
        <f aca="false">S139+R139</f>
        <v>0.573426573426573</v>
      </c>
      <c r="U139" s="8" t="n">
        <f aca="false">S139-Q139</f>
        <v>0</v>
      </c>
    </row>
    <row r="140" customFormat="false" ht="14.25" hidden="false" customHeight="true" outlineLevel="0" collapsed="false">
      <c r="A140" s="6" t="s">
        <v>90</v>
      </c>
      <c r="B140" s="6" t="s">
        <v>71</v>
      </c>
      <c r="C140" s="7" t="n">
        <v>8</v>
      </c>
      <c r="D140" s="7" t="s">
        <v>534</v>
      </c>
      <c r="E140" s="7" t="n">
        <v>28</v>
      </c>
      <c r="F140" s="7" t="n">
        <v>63</v>
      </c>
      <c r="G140" s="7" t="n">
        <v>5</v>
      </c>
      <c r="H140" s="7" t="n">
        <v>14</v>
      </c>
      <c r="I140" s="7" t="n">
        <v>6</v>
      </c>
      <c r="J140" s="7" t="n">
        <v>0</v>
      </c>
      <c r="K140" s="7" t="n">
        <v>0</v>
      </c>
      <c r="L140" s="7" t="n">
        <v>6</v>
      </c>
      <c r="M140" s="7" t="n">
        <v>20</v>
      </c>
      <c r="N140" s="7" t="n">
        <v>9</v>
      </c>
      <c r="O140" s="7" t="n">
        <v>10</v>
      </c>
      <c r="P140" s="7" t="n">
        <v>4</v>
      </c>
      <c r="Q140" s="8" t="n">
        <f aca="false">IF(F140=0,0,H140/F140)</f>
        <v>0.222222222222222</v>
      </c>
      <c r="R140" s="8" t="n">
        <f aca="false">IF(F140+O140=0,0,(H140+O140)/(F140+O140))</f>
        <v>0.328767123287671</v>
      </c>
      <c r="S140" s="8" t="n">
        <f aca="false">IF(F140=0,0,M140/F140)</f>
        <v>0.317460317460317</v>
      </c>
      <c r="T140" s="8" t="n">
        <f aca="false">S140+R140</f>
        <v>0.646227440747989</v>
      </c>
      <c r="U140" s="8" t="n">
        <f aca="false">S140-Q140</f>
        <v>0.0952380952380952</v>
      </c>
    </row>
    <row r="141" customFormat="false" ht="14.25" hidden="false" customHeight="true" outlineLevel="0" collapsed="false">
      <c r="A141" s="6" t="s">
        <v>225</v>
      </c>
      <c r="B141" s="6" t="s">
        <v>212</v>
      </c>
      <c r="C141" s="7" t="n">
        <v>6</v>
      </c>
      <c r="D141" s="7" t="s">
        <v>541</v>
      </c>
      <c r="E141" s="7" t="n">
        <v>32</v>
      </c>
      <c r="F141" s="7" t="n">
        <v>80</v>
      </c>
      <c r="G141" s="7" t="n">
        <v>9</v>
      </c>
      <c r="H141" s="7" t="n">
        <v>14</v>
      </c>
      <c r="I141" s="7" t="n">
        <v>1</v>
      </c>
      <c r="J141" s="7" t="n">
        <v>0</v>
      </c>
      <c r="K141" s="7" t="n">
        <v>0</v>
      </c>
      <c r="L141" s="7" t="n">
        <v>1</v>
      </c>
      <c r="M141" s="7" t="n">
        <v>15</v>
      </c>
      <c r="N141" s="7" t="n">
        <v>7</v>
      </c>
      <c r="O141" s="7" t="n">
        <v>12</v>
      </c>
      <c r="P141" s="7" t="n">
        <v>13</v>
      </c>
      <c r="Q141" s="8" t="n">
        <f aca="false">IF(F141=0,0,H141/F141)</f>
        <v>0.175</v>
      </c>
      <c r="R141" s="8" t="n">
        <f aca="false">IF(F141+O141=0,0,(H141+O141)/(F141+O141))</f>
        <v>0.282608695652174</v>
      </c>
      <c r="S141" s="8" t="n">
        <f aca="false">IF(F141=0,0,M141/F141)</f>
        <v>0.1875</v>
      </c>
      <c r="T141" s="8" t="n">
        <f aca="false">S141+R141</f>
        <v>0.470108695652174</v>
      </c>
      <c r="U141" s="8" t="n">
        <f aca="false">S141-Q141</f>
        <v>0.0125</v>
      </c>
    </row>
    <row r="142" customFormat="false" ht="14.25" hidden="false" customHeight="true" outlineLevel="0" collapsed="false">
      <c r="A142" s="6" t="s">
        <v>277</v>
      </c>
      <c r="B142" s="6" t="s">
        <v>585</v>
      </c>
      <c r="C142" s="7" t="n">
        <v>5</v>
      </c>
      <c r="D142" s="7" t="s">
        <v>553</v>
      </c>
      <c r="E142" s="7" t="n">
        <v>26</v>
      </c>
      <c r="F142" s="7" t="n">
        <v>57</v>
      </c>
      <c r="G142" s="7" t="n">
        <v>0</v>
      </c>
      <c r="H142" s="7" t="n">
        <v>13</v>
      </c>
      <c r="I142" s="7" t="n">
        <v>0</v>
      </c>
      <c r="J142" s="7" t="n">
        <v>0</v>
      </c>
      <c r="K142" s="7" t="n">
        <v>0</v>
      </c>
      <c r="L142" s="7" t="n">
        <v>0</v>
      </c>
      <c r="M142" s="7" t="n">
        <v>13</v>
      </c>
      <c r="N142" s="7" t="n">
        <v>3</v>
      </c>
      <c r="O142" s="7" t="n">
        <v>2</v>
      </c>
      <c r="P142" s="7" t="n">
        <v>6</v>
      </c>
      <c r="Q142" s="8" t="n">
        <f aca="false">IF(F142=0,0,H142/F142)</f>
        <v>0.228070175438596</v>
      </c>
      <c r="R142" s="8" t="n">
        <f aca="false">IF(F142+O142=0,0,(H142+O142)/(F142+O142))</f>
        <v>0.254237288135593</v>
      </c>
      <c r="S142" s="8" t="n">
        <f aca="false">IF(F142=0,0,M142/F142)</f>
        <v>0.228070175438596</v>
      </c>
      <c r="T142" s="8" t="n">
        <f aca="false">S142+R142</f>
        <v>0.48230746357419</v>
      </c>
      <c r="U142" s="8" t="n">
        <f aca="false">S142-Q142</f>
        <v>0</v>
      </c>
    </row>
    <row r="143" customFormat="false" ht="14.25" hidden="false" customHeight="true" outlineLevel="0" collapsed="false">
      <c r="A143" s="6" t="s">
        <v>344</v>
      </c>
      <c r="B143" s="6" t="s">
        <v>147</v>
      </c>
      <c r="C143" s="7" t="n">
        <v>5</v>
      </c>
      <c r="D143" s="7" t="s">
        <v>586</v>
      </c>
      <c r="E143" s="7" t="n">
        <v>28</v>
      </c>
      <c r="F143" s="7" t="n">
        <v>80</v>
      </c>
      <c r="G143" s="7" t="n">
        <v>9</v>
      </c>
      <c r="H143" s="7" t="n">
        <v>13</v>
      </c>
      <c r="I143" s="7" t="n">
        <v>1</v>
      </c>
      <c r="J143" s="7" t="n">
        <v>0</v>
      </c>
      <c r="K143" s="7" t="n">
        <v>0</v>
      </c>
      <c r="L143" s="7" t="n">
        <v>1</v>
      </c>
      <c r="M143" s="7" t="n">
        <v>14</v>
      </c>
      <c r="N143" s="7" t="n">
        <v>1</v>
      </c>
      <c r="O143" s="7" t="n">
        <v>0</v>
      </c>
      <c r="P143" s="7" t="n">
        <v>0</v>
      </c>
      <c r="Q143" s="8" t="n">
        <f aca="false">IF(F143=0,0,H143/F143)</f>
        <v>0.1625</v>
      </c>
      <c r="R143" s="8" t="n">
        <f aca="false">IF(F143+O143=0,0,(H143+O143)/(F143+O143))</f>
        <v>0.1625</v>
      </c>
      <c r="S143" s="8" t="n">
        <f aca="false">IF(F143=0,0,M143/F143)</f>
        <v>0.175</v>
      </c>
      <c r="T143" s="8" t="n">
        <f aca="false">S143+R143</f>
        <v>0.3375</v>
      </c>
      <c r="U143" s="8" t="n">
        <f aca="false">S143-Q143</f>
        <v>0.0125</v>
      </c>
    </row>
    <row r="144" customFormat="false" ht="14.25" hidden="false" customHeight="true" outlineLevel="0" collapsed="false">
      <c r="A144" s="6" t="s">
        <v>135</v>
      </c>
      <c r="B144" s="6" t="s">
        <v>587</v>
      </c>
      <c r="C144" s="7" t="n">
        <v>7</v>
      </c>
      <c r="D144" s="9" t="s">
        <v>588</v>
      </c>
      <c r="E144" s="7" t="n">
        <v>45</v>
      </c>
      <c r="F144" s="7" t="n">
        <v>97</v>
      </c>
      <c r="G144" s="7" t="n">
        <v>12</v>
      </c>
      <c r="H144" s="7" t="n">
        <v>14</v>
      </c>
      <c r="I144" s="7" t="n">
        <v>1</v>
      </c>
      <c r="J144" s="7" t="n">
        <v>0</v>
      </c>
      <c r="K144" s="7" t="n">
        <v>0</v>
      </c>
      <c r="L144" s="7" t="n">
        <v>1</v>
      </c>
      <c r="M144" s="7" t="n">
        <v>15</v>
      </c>
      <c r="N144" s="7" t="n">
        <v>4</v>
      </c>
      <c r="O144" s="7" t="n">
        <v>10</v>
      </c>
      <c r="P144" s="7" t="n">
        <v>2</v>
      </c>
      <c r="Q144" s="8" t="n">
        <f aca="false">IF(F144=0,0,H144/F144)</f>
        <v>0.144329896907216</v>
      </c>
      <c r="R144" s="8" t="n">
        <f aca="false">IF(F144+O144=0,0,(H144+O144)/(F144+O144))</f>
        <v>0.224299065420561</v>
      </c>
      <c r="S144" s="8" t="n">
        <f aca="false">IF(F144=0,0,M144/F144)</f>
        <v>0.154639175257732</v>
      </c>
      <c r="T144" s="8" t="n">
        <f aca="false">S144+R144</f>
        <v>0.378938240678293</v>
      </c>
      <c r="U144" s="8" t="n">
        <f aca="false">S144-Q144</f>
        <v>0.0103092783505155</v>
      </c>
    </row>
    <row r="145" customFormat="false" ht="14.25" hidden="false" customHeight="true" outlineLevel="0" collapsed="false">
      <c r="A145" s="6" t="s">
        <v>255</v>
      </c>
      <c r="B145" s="6" t="s">
        <v>97</v>
      </c>
      <c r="C145" s="7" t="n">
        <v>4</v>
      </c>
      <c r="D145" s="7" t="s">
        <v>589</v>
      </c>
      <c r="E145" s="7" t="n">
        <v>7</v>
      </c>
      <c r="F145" s="7" t="n">
        <v>21</v>
      </c>
      <c r="G145" s="7" t="n">
        <v>9</v>
      </c>
      <c r="H145" s="7" t="n">
        <v>11</v>
      </c>
      <c r="I145" s="7" t="n">
        <v>3</v>
      </c>
      <c r="J145" s="7" t="n">
        <v>0</v>
      </c>
      <c r="K145" s="7" t="n">
        <v>0</v>
      </c>
      <c r="L145" s="7" t="n">
        <v>3</v>
      </c>
      <c r="M145" s="7" t="n">
        <v>14</v>
      </c>
      <c r="N145" s="7" t="n">
        <v>0</v>
      </c>
      <c r="O145" s="7" t="n">
        <v>3</v>
      </c>
      <c r="P145" s="7" t="n">
        <v>0</v>
      </c>
      <c r="Q145" s="8" t="n">
        <f aca="false">IF(F145=0,0,H145/F145)</f>
        <v>0.523809523809524</v>
      </c>
      <c r="R145" s="8" t="n">
        <f aca="false">IF(F145+O145=0,0,(H145+O145)/(F145+O145))</f>
        <v>0.583333333333333</v>
      </c>
      <c r="S145" s="8" t="n">
        <f aca="false">IF(F145=0,0,M145/F145)</f>
        <v>0.666666666666667</v>
      </c>
      <c r="T145" s="8" t="n">
        <f aca="false">S145+R145</f>
        <v>1.25</v>
      </c>
      <c r="U145" s="8" t="n">
        <f aca="false">S145-Q145</f>
        <v>0.142857142857143</v>
      </c>
    </row>
    <row r="146" customFormat="false" ht="14.25" hidden="false" customHeight="true" outlineLevel="0" collapsed="false">
      <c r="A146" s="6" t="s">
        <v>308</v>
      </c>
      <c r="B146" s="6" t="s">
        <v>192</v>
      </c>
      <c r="C146" s="7" t="n">
        <v>6</v>
      </c>
      <c r="D146" s="7" t="s">
        <v>549</v>
      </c>
      <c r="E146" s="7" t="n">
        <v>25</v>
      </c>
      <c r="F146" s="7" t="n">
        <v>57</v>
      </c>
      <c r="G146" s="7" t="n">
        <v>6</v>
      </c>
      <c r="H146" s="7" t="n">
        <v>11</v>
      </c>
      <c r="I146" s="7" t="n">
        <v>0</v>
      </c>
      <c r="J146" s="7" t="n">
        <v>0</v>
      </c>
      <c r="K146" s="7" t="n">
        <v>0</v>
      </c>
      <c r="L146" s="7" t="n">
        <v>0</v>
      </c>
      <c r="M146" s="7" t="n">
        <v>11</v>
      </c>
      <c r="N146" s="7" t="n">
        <v>4</v>
      </c>
      <c r="O146" s="7" t="n">
        <v>7</v>
      </c>
      <c r="P146" s="7" t="n">
        <v>0</v>
      </c>
      <c r="Q146" s="8" t="n">
        <f aca="false">IF(F146=0,0,H146/F146)</f>
        <v>0.192982456140351</v>
      </c>
      <c r="R146" s="8" t="n">
        <f aca="false">IF(F146+O146=0,0,(H146+O146)/(F146+O146))</f>
        <v>0.28125</v>
      </c>
      <c r="S146" s="8" t="n">
        <f aca="false">IF(F146=0,0,M146/F146)</f>
        <v>0.192982456140351</v>
      </c>
      <c r="T146" s="8" t="n">
        <f aca="false">S146+R146</f>
        <v>0.474232456140351</v>
      </c>
      <c r="U146" s="8" t="n">
        <f aca="false">S146-Q146</f>
        <v>0</v>
      </c>
    </row>
    <row r="147" customFormat="false" ht="14.25" hidden="false" customHeight="true" outlineLevel="0" collapsed="false">
      <c r="A147" s="6" t="s">
        <v>145</v>
      </c>
      <c r="B147" s="6" t="s">
        <v>579</v>
      </c>
      <c r="C147" s="7" t="n">
        <v>7</v>
      </c>
      <c r="D147" s="9" t="s">
        <v>588</v>
      </c>
      <c r="E147" s="7" t="n">
        <v>34</v>
      </c>
      <c r="F147" s="7" t="n">
        <v>63</v>
      </c>
      <c r="G147" s="7" t="n">
        <v>4</v>
      </c>
      <c r="H147" s="7" t="n">
        <v>11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11</v>
      </c>
      <c r="N147" s="7" t="n">
        <v>10</v>
      </c>
      <c r="O147" s="7" t="n">
        <v>19</v>
      </c>
      <c r="P147" s="7" t="n">
        <v>4</v>
      </c>
      <c r="Q147" s="8" t="n">
        <f aca="false">IF(F147=0,0,H147/F147)</f>
        <v>0.174603174603175</v>
      </c>
      <c r="R147" s="8" t="n">
        <f aca="false">IF(F147+O147=0,0,(H147+O147)/(F147+O147))</f>
        <v>0.365853658536585</v>
      </c>
      <c r="S147" s="8" t="n">
        <f aca="false">IF(F147=0,0,M147/F147)</f>
        <v>0.174603174603175</v>
      </c>
      <c r="T147" s="8" t="n">
        <f aca="false">S147+R147</f>
        <v>0.54045683313976</v>
      </c>
      <c r="U147" s="8" t="n">
        <f aca="false">S147-Q147</f>
        <v>0</v>
      </c>
    </row>
    <row r="148" customFormat="false" ht="14.25" hidden="false" customHeight="true" outlineLevel="0" collapsed="false">
      <c r="A148" s="6" t="s">
        <v>319</v>
      </c>
      <c r="B148" s="6" t="s">
        <v>71</v>
      </c>
      <c r="C148" s="7" t="n">
        <v>5</v>
      </c>
      <c r="D148" s="7" t="s">
        <v>586</v>
      </c>
      <c r="E148" s="7" t="n">
        <v>38</v>
      </c>
      <c r="F148" s="7" t="n">
        <v>78</v>
      </c>
      <c r="G148" s="7" t="n">
        <v>5</v>
      </c>
      <c r="H148" s="7" t="n">
        <v>11</v>
      </c>
      <c r="I148" s="7" t="n">
        <v>1</v>
      </c>
      <c r="J148" s="7" t="n">
        <v>0</v>
      </c>
      <c r="K148" s="7" t="n">
        <v>0</v>
      </c>
      <c r="L148" s="7" t="n">
        <v>1</v>
      </c>
      <c r="M148" s="7" t="n">
        <v>12</v>
      </c>
      <c r="N148" s="7" t="n">
        <v>7</v>
      </c>
      <c r="O148" s="7" t="n">
        <v>9</v>
      </c>
      <c r="P148" s="7" t="n">
        <v>2</v>
      </c>
      <c r="Q148" s="8" t="n">
        <f aca="false">IF(F148=0,0,H148/F148)</f>
        <v>0.141025641025641</v>
      </c>
      <c r="R148" s="8" t="n">
        <f aca="false">IF(F148+O148=0,0,(H148+O148)/(F148+O148))</f>
        <v>0.229885057471264</v>
      </c>
      <c r="S148" s="8" t="n">
        <f aca="false">IF(F148=0,0,M148/F148)</f>
        <v>0.153846153846154</v>
      </c>
      <c r="T148" s="8" t="n">
        <f aca="false">S148+R148</f>
        <v>0.383731211317418</v>
      </c>
      <c r="U148" s="8" t="n">
        <f aca="false">S148-Q148</f>
        <v>0.0128205128205128</v>
      </c>
    </row>
    <row r="149" customFormat="false" ht="14.25" hidden="false" customHeight="true" outlineLevel="0" collapsed="false">
      <c r="A149" s="6" t="s">
        <v>412</v>
      </c>
      <c r="B149" s="6" t="s">
        <v>71</v>
      </c>
      <c r="C149" s="7" t="n">
        <v>3</v>
      </c>
      <c r="D149" s="7" t="s">
        <v>563</v>
      </c>
      <c r="E149" s="7" t="n">
        <v>19</v>
      </c>
      <c r="F149" s="7" t="n">
        <v>36</v>
      </c>
      <c r="G149" s="7" t="n">
        <v>4</v>
      </c>
      <c r="H149" s="7" t="n">
        <v>10</v>
      </c>
      <c r="I149" s="7" t="n">
        <v>3</v>
      </c>
      <c r="J149" s="7" t="n">
        <v>0</v>
      </c>
      <c r="K149" s="7" t="n">
        <v>0</v>
      </c>
      <c r="L149" s="7" t="n">
        <v>3</v>
      </c>
      <c r="M149" s="7" t="n">
        <v>13</v>
      </c>
      <c r="N149" s="7" t="n">
        <v>8</v>
      </c>
      <c r="O149" s="7" t="n">
        <v>4</v>
      </c>
      <c r="P149" s="7" t="n">
        <v>6</v>
      </c>
      <c r="Q149" s="8" t="n">
        <f aca="false">IF(F149=0,0,H149/F149)</f>
        <v>0.277777777777778</v>
      </c>
      <c r="R149" s="8" t="n">
        <f aca="false">IF(F149+O149=0,0,(H149+O149)/(F149+O149))</f>
        <v>0.35</v>
      </c>
      <c r="S149" s="8" t="n">
        <f aca="false">IF(F149=0,0,M149/F149)</f>
        <v>0.361111111111111</v>
      </c>
      <c r="T149" s="8" t="n">
        <f aca="false">S149+R149</f>
        <v>0.711111111111111</v>
      </c>
      <c r="U149" s="8" t="n">
        <f aca="false">S149-Q149</f>
        <v>0.0833333333333333</v>
      </c>
    </row>
    <row r="150" customFormat="false" ht="14.25" hidden="false" customHeight="true" outlineLevel="0" collapsed="false">
      <c r="A150" s="6" t="s">
        <v>246</v>
      </c>
      <c r="B150" s="6" t="s">
        <v>71</v>
      </c>
      <c r="C150" s="7" t="n">
        <v>6</v>
      </c>
      <c r="D150" s="7" t="s">
        <v>590</v>
      </c>
      <c r="E150" s="7" t="n">
        <v>28</v>
      </c>
      <c r="F150" s="7" t="n">
        <v>54</v>
      </c>
      <c r="G150" s="7" t="n">
        <v>3</v>
      </c>
      <c r="H150" s="7" t="n">
        <v>10</v>
      </c>
      <c r="I150" s="7" t="n">
        <v>0</v>
      </c>
      <c r="J150" s="7" t="n">
        <v>0</v>
      </c>
      <c r="K150" s="7" t="n">
        <v>0</v>
      </c>
      <c r="L150" s="7" t="n">
        <v>0</v>
      </c>
      <c r="M150" s="7" t="n">
        <v>10</v>
      </c>
      <c r="N150" s="7" t="n">
        <v>1</v>
      </c>
      <c r="O150" s="7" t="n">
        <v>5</v>
      </c>
      <c r="P150" s="7" t="n">
        <v>7</v>
      </c>
      <c r="Q150" s="8" t="n">
        <f aca="false">IF(F150=0,0,H150/F150)</f>
        <v>0.185185185185185</v>
      </c>
      <c r="R150" s="8" t="n">
        <f aca="false">IF(F150+O150=0,0,(H150+O150)/(F150+O150))</f>
        <v>0.254237288135593</v>
      </c>
      <c r="S150" s="8" t="n">
        <f aca="false">IF(F150=0,0,M150/F150)</f>
        <v>0.185185185185185</v>
      </c>
      <c r="T150" s="8" t="n">
        <f aca="false">S150+R150</f>
        <v>0.439422473320778</v>
      </c>
      <c r="U150" s="8" t="n">
        <f aca="false">S150-Q150</f>
        <v>0</v>
      </c>
    </row>
    <row r="151" customFormat="false" ht="14.25" hidden="false" customHeight="true" outlineLevel="0" collapsed="false">
      <c r="A151" s="6" t="s">
        <v>487</v>
      </c>
      <c r="B151" s="6" t="s">
        <v>166</v>
      </c>
      <c r="C151" s="7" t="n">
        <v>2</v>
      </c>
      <c r="D151" s="7" t="s">
        <v>554</v>
      </c>
      <c r="E151" s="7" t="n">
        <v>20</v>
      </c>
      <c r="F151" s="7" t="n">
        <v>50</v>
      </c>
      <c r="G151" s="7" t="n">
        <v>4</v>
      </c>
      <c r="H151" s="7" t="n">
        <v>10</v>
      </c>
      <c r="I151" s="7" t="n">
        <v>1</v>
      </c>
      <c r="J151" s="7" t="n">
        <v>0</v>
      </c>
      <c r="K151" s="7" t="n">
        <v>0</v>
      </c>
      <c r="L151" s="7" t="n">
        <v>1</v>
      </c>
      <c r="M151" s="7" t="n">
        <v>11</v>
      </c>
      <c r="N151" s="7" t="n">
        <v>7</v>
      </c>
      <c r="O151" s="7" t="n">
        <v>5</v>
      </c>
      <c r="P151" s="7" t="n">
        <v>0</v>
      </c>
      <c r="Q151" s="8" t="n">
        <f aca="false">IF(F151=0,0,H151/F151)</f>
        <v>0.2</v>
      </c>
      <c r="R151" s="8" t="n">
        <f aca="false">IF(F151+O151=0,0,(H151+O151)/(F151+O151))</f>
        <v>0.272727272727273</v>
      </c>
      <c r="S151" s="8" t="n">
        <f aca="false">IF(F151=0,0,M151/F151)</f>
        <v>0.22</v>
      </c>
      <c r="T151" s="8" t="n">
        <f aca="false">S151+R151</f>
        <v>0.492727272727273</v>
      </c>
      <c r="U151" s="8" t="n">
        <f aca="false">S151-Q151</f>
        <v>0.02</v>
      </c>
    </row>
    <row r="152" customFormat="false" ht="14.25" hidden="false" customHeight="true" outlineLevel="0" collapsed="false">
      <c r="A152" s="6" t="s">
        <v>271</v>
      </c>
      <c r="B152" s="6" t="s">
        <v>121</v>
      </c>
      <c r="C152" s="7" t="n">
        <v>6</v>
      </c>
      <c r="D152" s="7" t="s">
        <v>590</v>
      </c>
      <c r="E152" s="7" t="n">
        <v>22</v>
      </c>
      <c r="F152" s="7" t="n">
        <v>29</v>
      </c>
      <c r="G152" s="7" t="n">
        <v>4</v>
      </c>
      <c r="H152" s="7" t="n">
        <v>9</v>
      </c>
      <c r="I152" s="7" t="n">
        <v>0</v>
      </c>
      <c r="J152" s="7" t="n">
        <v>0</v>
      </c>
      <c r="K152" s="7" t="n">
        <v>0</v>
      </c>
      <c r="L152" s="7" t="n">
        <v>0</v>
      </c>
      <c r="M152" s="7" t="n">
        <v>9</v>
      </c>
      <c r="N152" s="7" t="n">
        <v>1</v>
      </c>
      <c r="O152" s="7" t="n">
        <v>4</v>
      </c>
      <c r="P152" s="7" t="n">
        <v>2</v>
      </c>
      <c r="Q152" s="8" t="n">
        <f aca="false">IF(F152=0,0,H152/F152)</f>
        <v>0.310344827586207</v>
      </c>
      <c r="R152" s="8" t="n">
        <f aca="false">IF(F152+O152=0,0,(H152+O152)/(F152+O152))</f>
        <v>0.393939393939394</v>
      </c>
      <c r="S152" s="8" t="n">
        <f aca="false">IF(F152=0,0,M152/F152)</f>
        <v>0.310344827586207</v>
      </c>
      <c r="T152" s="8" t="n">
        <f aca="false">S152+R152</f>
        <v>0.704284221525601</v>
      </c>
      <c r="U152" s="8" t="n">
        <f aca="false">S152-Q152</f>
        <v>0</v>
      </c>
    </row>
    <row r="153" customFormat="false" ht="14.25" hidden="false" customHeight="true" outlineLevel="0" collapsed="false">
      <c r="A153" s="6" t="s">
        <v>221</v>
      </c>
      <c r="B153" s="6" t="s">
        <v>591</v>
      </c>
      <c r="C153" s="7" t="n">
        <v>3</v>
      </c>
      <c r="D153" s="7" t="s">
        <v>592</v>
      </c>
      <c r="E153" s="7" t="n">
        <v>13</v>
      </c>
      <c r="F153" s="7" t="n">
        <v>37</v>
      </c>
      <c r="G153" s="7" t="n">
        <v>3</v>
      </c>
      <c r="H153" s="7" t="n">
        <v>9</v>
      </c>
      <c r="I153" s="7" t="n">
        <v>3</v>
      </c>
      <c r="J153" s="7" t="n">
        <v>0</v>
      </c>
      <c r="K153" s="7" t="n">
        <v>0</v>
      </c>
      <c r="L153" s="7" t="n">
        <v>3</v>
      </c>
      <c r="M153" s="7" t="n">
        <v>12</v>
      </c>
      <c r="N153" s="7" t="n">
        <v>2</v>
      </c>
      <c r="O153" s="7" t="n">
        <v>4</v>
      </c>
      <c r="P153" s="7" t="n">
        <v>1</v>
      </c>
      <c r="Q153" s="8" t="n">
        <f aca="false">IF(F153=0,0,H153/F153)</f>
        <v>0.243243243243243</v>
      </c>
      <c r="R153" s="8" t="n">
        <f aca="false">IF(F153+O153=0,0,(H153+O153)/(F153+O153))</f>
        <v>0.317073170731707</v>
      </c>
      <c r="S153" s="8" t="n">
        <f aca="false">IF(F153=0,0,M153/F153)</f>
        <v>0.324324324324324</v>
      </c>
      <c r="T153" s="8" t="n">
        <f aca="false">S153+R153</f>
        <v>0.641397495056032</v>
      </c>
      <c r="U153" s="8" t="n">
        <f aca="false">S153-Q153</f>
        <v>0.0810810810810811</v>
      </c>
    </row>
    <row r="154" customFormat="false" ht="14.25" hidden="false" customHeight="true" outlineLevel="0" collapsed="false">
      <c r="A154" s="6" t="s">
        <v>188</v>
      </c>
      <c r="B154" s="6" t="s">
        <v>166</v>
      </c>
      <c r="C154" s="7" t="n">
        <v>7</v>
      </c>
      <c r="D154" s="10" t="s">
        <v>593</v>
      </c>
      <c r="E154" s="7" t="n">
        <v>25</v>
      </c>
      <c r="F154" s="7" t="n">
        <v>48</v>
      </c>
      <c r="G154" s="7" t="n">
        <v>6</v>
      </c>
      <c r="H154" s="7" t="n">
        <v>9</v>
      </c>
      <c r="I154" s="7" t="n">
        <v>0</v>
      </c>
      <c r="J154" s="7" t="n">
        <v>0</v>
      </c>
      <c r="K154" s="7" t="n">
        <v>0</v>
      </c>
      <c r="L154" s="7" t="n">
        <v>0</v>
      </c>
      <c r="M154" s="7" t="n">
        <v>9</v>
      </c>
      <c r="N154" s="7" t="n">
        <v>3</v>
      </c>
      <c r="O154" s="7" t="n">
        <v>6</v>
      </c>
      <c r="P154" s="7" t="n">
        <v>4</v>
      </c>
      <c r="Q154" s="8" t="n">
        <f aca="false">IF(F154=0,0,H154/F154)</f>
        <v>0.1875</v>
      </c>
      <c r="R154" s="8" t="n">
        <f aca="false">IF(F154+O154=0,0,(H154+O154)/(F154+O154))</f>
        <v>0.277777777777778</v>
      </c>
      <c r="S154" s="8" t="n">
        <f aca="false">IF(F154=0,0,M154/F154)</f>
        <v>0.1875</v>
      </c>
      <c r="T154" s="8" t="n">
        <f aca="false">S154+R154</f>
        <v>0.465277777777778</v>
      </c>
      <c r="U154" s="8" t="n">
        <f aca="false">S154-Q154</f>
        <v>0</v>
      </c>
    </row>
    <row r="155" customFormat="false" ht="14.25" hidden="false" customHeight="true" outlineLevel="0" collapsed="false">
      <c r="A155" s="6" t="s">
        <v>142</v>
      </c>
      <c r="B155" s="6" t="s">
        <v>121</v>
      </c>
      <c r="C155" s="7" t="n">
        <v>6</v>
      </c>
      <c r="D155" s="7" t="s">
        <v>594</v>
      </c>
      <c r="E155" s="7" t="n">
        <v>19</v>
      </c>
      <c r="F155" s="7" t="n">
        <v>39</v>
      </c>
      <c r="G155" s="7" t="n">
        <v>6</v>
      </c>
      <c r="H155" s="7" t="n">
        <v>9</v>
      </c>
      <c r="I155" s="7" t="n">
        <v>1</v>
      </c>
      <c r="J155" s="7" t="n">
        <v>0</v>
      </c>
      <c r="K155" s="7" t="n">
        <v>0</v>
      </c>
      <c r="L155" s="7" t="n">
        <v>1</v>
      </c>
      <c r="M155" s="7" t="n">
        <v>10</v>
      </c>
      <c r="N155" s="7" t="n">
        <v>7</v>
      </c>
      <c r="O155" s="7" t="n">
        <v>12</v>
      </c>
      <c r="P155" s="7" t="n">
        <v>3</v>
      </c>
      <c r="Q155" s="8" t="n">
        <f aca="false">IF(F155=0,0,H155/F155)</f>
        <v>0.230769230769231</v>
      </c>
      <c r="R155" s="8" t="n">
        <f aca="false">IF(F155+O155=0,0,(H155+O155)/(F155+O155))</f>
        <v>0.411764705882353</v>
      </c>
      <c r="S155" s="8" t="n">
        <f aca="false">IF(F155=0,0,M155/F155)</f>
        <v>0.256410256410256</v>
      </c>
      <c r="T155" s="8" t="n">
        <f aca="false">S155+R155</f>
        <v>0.668174962292609</v>
      </c>
      <c r="U155" s="8" t="n">
        <f aca="false">S155-Q155</f>
        <v>0.0256410256410256</v>
      </c>
    </row>
    <row r="156" customFormat="false" ht="14.25" hidden="false" customHeight="true" outlineLevel="0" collapsed="false">
      <c r="A156" s="6" t="s">
        <v>397</v>
      </c>
      <c r="B156" s="6" t="s">
        <v>166</v>
      </c>
      <c r="C156" s="7" t="n">
        <v>3</v>
      </c>
      <c r="D156" s="7" t="s">
        <v>584</v>
      </c>
      <c r="E156" s="7" t="n">
        <v>9</v>
      </c>
      <c r="F156" s="7" t="n">
        <v>21</v>
      </c>
      <c r="G156" s="7" t="n">
        <v>5</v>
      </c>
      <c r="H156" s="7" t="n">
        <v>8</v>
      </c>
      <c r="I156" s="7" t="n">
        <v>3</v>
      </c>
      <c r="J156" s="7" t="n">
        <v>0</v>
      </c>
      <c r="K156" s="7" t="n">
        <v>0</v>
      </c>
      <c r="L156" s="7" t="n">
        <v>3</v>
      </c>
      <c r="M156" s="7" t="n">
        <v>11</v>
      </c>
      <c r="N156" s="7" t="n">
        <v>3</v>
      </c>
      <c r="O156" s="7" t="n">
        <v>3</v>
      </c>
      <c r="P156" s="7" t="n">
        <v>2</v>
      </c>
      <c r="Q156" s="8" t="n">
        <f aca="false">IF(F156=0,0,H156/F156)</f>
        <v>0.380952380952381</v>
      </c>
      <c r="R156" s="8" t="n">
        <f aca="false">IF(F156+O156=0,0,(H156+O156)/(F156+O156))</f>
        <v>0.458333333333333</v>
      </c>
      <c r="S156" s="8" t="n">
        <f aca="false">IF(F156=0,0,M156/F156)</f>
        <v>0.523809523809524</v>
      </c>
      <c r="T156" s="8" t="n">
        <f aca="false">S156+R156</f>
        <v>0.982142857142857</v>
      </c>
      <c r="U156" s="8" t="n">
        <f aca="false">S156-Q156</f>
        <v>0.142857142857143</v>
      </c>
    </row>
    <row r="157" customFormat="false" ht="14.25" hidden="false" customHeight="true" outlineLevel="0" collapsed="false">
      <c r="A157" s="6" t="s">
        <v>326</v>
      </c>
      <c r="B157" s="6" t="s">
        <v>97</v>
      </c>
      <c r="C157" s="7" t="n">
        <v>2</v>
      </c>
      <c r="D157" s="7" t="s">
        <v>595</v>
      </c>
      <c r="E157" s="7" t="n">
        <v>14</v>
      </c>
      <c r="F157" s="7" t="n">
        <v>38</v>
      </c>
      <c r="G157" s="7" t="n">
        <v>4</v>
      </c>
      <c r="H157" s="7" t="n">
        <v>8</v>
      </c>
      <c r="I157" s="7" t="n">
        <v>2</v>
      </c>
      <c r="J157" s="7" t="n">
        <v>0</v>
      </c>
      <c r="K157" s="7" t="n">
        <v>0</v>
      </c>
      <c r="L157" s="7" t="n">
        <v>2</v>
      </c>
      <c r="M157" s="7" t="n">
        <v>10</v>
      </c>
      <c r="N157" s="7" t="n">
        <v>7</v>
      </c>
      <c r="O157" s="7" t="n">
        <v>3</v>
      </c>
      <c r="P157" s="7" t="n">
        <v>3</v>
      </c>
      <c r="Q157" s="8" t="n">
        <f aca="false">IF(F157=0,0,H157/F157)</f>
        <v>0.210526315789474</v>
      </c>
      <c r="R157" s="8" t="n">
        <f aca="false">IF(F157+O157=0,0,(H157+O157)/(F157+O157))</f>
        <v>0.268292682926829</v>
      </c>
      <c r="S157" s="8" t="n">
        <f aca="false">IF(F157=0,0,M157/F157)</f>
        <v>0.263157894736842</v>
      </c>
      <c r="T157" s="8" t="n">
        <f aca="false">S157+R157</f>
        <v>0.531450577663671</v>
      </c>
      <c r="U157" s="8" t="n">
        <f aca="false">S157-Q157</f>
        <v>0.0526315789473684</v>
      </c>
    </row>
    <row r="158" customFormat="false" ht="14.25" hidden="false" customHeight="true" outlineLevel="0" collapsed="false">
      <c r="A158" s="6" t="s">
        <v>451</v>
      </c>
      <c r="B158" s="6" t="s">
        <v>212</v>
      </c>
      <c r="C158" s="7" t="n">
        <v>2</v>
      </c>
      <c r="D158" s="7" t="s">
        <v>569</v>
      </c>
      <c r="E158" s="7" t="n">
        <v>17</v>
      </c>
      <c r="F158" s="7" t="n">
        <v>46</v>
      </c>
      <c r="G158" s="7" t="n">
        <v>1</v>
      </c>
      <c r="H158" s="7" t="n">
        <v>8</v>
      </c>
      <c r="I158" s="7" t="n">
        <v>3</v>
      </c>
      <c r="J158" s="7" t="n">
        <v>0</v>
      </c>
      <c r="K158" s="7" t="n">
        <v>0</v>
      </c>
      <c r="L158" s="7" t="n">
        <v>3</v>
      </c>
      <c r="M158" s="7" t="n">
        <v>11</v>
      </c>
      <c r="N158" s="7" t="n">
        <v>6</v>
      </c>
      <c r="O158" s="7" t="n">
        <v>2</v>
      </c>
      <c r="P158" s="7" t="n">
        <v>6</v>
      </c>
      <c r="Q158" s="8" t="n">
        <f aca="false">IF(F158=0,0,H158/F158)</f>
        <v>0.173913043478261</v>
      </c>
      <c r="R158" s="8" t="n">
        <f aca="false">IF(F158+O158=0,0,(H158+O158)/(F158+O158))</f>
        <v>0.208333333333333</v>
      </c>
      <c r="S158" s="8" t="n">
        <f aca="false">IF(F158=0,0,M158/F158)</f>
        <v>0.239130434782609</v>
      </c>
      <c r="T158" s="8" t="n">
        <f aca="false">S158+R158</f>
        <v>0.447463768115942</v>
      </c>
      <c r="U158" s="8" t="n">
        <f aca="false">S158-Q158</f>
        <v>0.0652173913043478</v>
      </c>
    </row>
    <row r="159" customFormat="false" ht="14.25" hidden="false" customHeight="true" outlineLevel="0" collapsed="false">
      <c r="A159" s="6" t="s">
        <v>109</v>
      </c>
      <c r="B159" s="6" t="s">
        <v>97</v>
      </c>
      <c r="C159" s="7" t="n">
        <v>5</v>
      </c>
      <c r="D159" s="7" t="s">
        <v>557</v>
      </c>
      <c r="E159" s="7" t="n">
        <v>27</v>
      </c>
      <c r="F159" s="7" t="n">
        <v>75</v>
      </c>
      <c r="G159" s="7" t="n">
        <v>3</v>
      </c>
      <c r="H159" s="7" t="n">
        <v>9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9</v>
      </c>
      <c r="N159" s="7" t="n">
        <v>1</v>
      </c>
      <c r="O159" s="7" t="n">
        <v>0</v>
      </c>
      <c r="P159" s="7" t="n">
        <v>6</v>
      </c>
      <c r="Q159" s="8" t="n">
        <f aca="false">IF(F159=0,0,H159/F159)</f>
        <v>0.12</v>
      </c>
      <c r="R159" s="8" t="n">
        <f aca="false">IF(F159+O159=0,0,(H159+O159)/(F159+O159))</f>
        <v>0.12</v>
      </c>
      <c r="S159" s="8" t="n">
        <f aca="false">IF(F159=0,0,M159/F159)</f>
        <v>0.12</v>
      </c>
      <c r="T159" s="8" t="n">
        <f aca="false">S159+R159</f>
        <v>0.24</v>
      </c>
      <c r="U159" s="8" t="n">
        <f aca="false">S159-Q159</f>
        <v>0</v>
      </c>
    </row>
    <row r="160" customFormat="false" ht="14.25" hidden="false" customHeight="true" outlineLevel="0" collapsed="false">
      <c r="A160" s="6" t="s">
        <v>275</v>
      </c>
      <c r="B160" s="6" t="s">
        <v>166</v>
      </c>
      <c r="C160" s="7" t="n">
        <v>7</v>
      </c>
      <c r="D160" s="7" t="s">
        <v>581</v>
      </c>
      <c r="E160" s="7" t="n">
        <v>63</v>
      </c>
      <c r="F160" s="7" t="n">
        <v>93</v>
      </c>
      <c r="G160" s="7" t="n">
        <v>5</v>
      </c>
      <c r="H160" s="7" t="n">
        <v>8</v>
      </c>
      <c r="I160" s="7" t="n">
        <v>0</v>
      </c>
      <c r="J160" s="7" t="n">
        <v>0</v>
      </c>
      <c r="K160" s="7" t="n">
        <v>0</v>
      </c>
      <c r="L160" s="7" t="n">
        <v>0</v>
      </c>
      <c r="M160" s="7" t="n">
        <v>8</v>
      </c>
      <c r="N160" s="7" t="n">
        <v>2</v>
      </c>
      <c r="O160" s="7" t="n">
        <v>9</v>
      </c>
      <c r="P160" s="7" t="n">
        <v>6</v>
      </c>
      <c r="Q160" s="8" t="n">
        <f aca="false">IF(F160=0,0,H160/F160)</f>
        <v>0.0860215053763441</v>
      </c>
      <c r="R160" s="8" t="n">
        <f aca="false">IF(F160+O160=0,0,(H160+O160)/(F160+O160))</f>
        <v>0.166666666666667</v>
      </c>
      <c r="S160" s="8" t="n">
        <f aca="false">IF(F160=0,0,M160/F160)</f>
        <v>0.0860215053763441</v>
      </c>
      <c r="T160" s="8" t="n">
        <f aca="false">S160+R160</f>
        <v>0.252688172043011</v>
      </c>
      <c r="U160" s="8" t="n">
        <f aca="false">S160-Q160</f>
        <v>0</v>
      </c>
    </row>
    <row r="161" customFormat="false" ht="14.25" hidden="false" customHeight="true" outlineLevel="0" collapsed="false">
      <c r="A161" s="6" t="s">
        <v>261</v>
      </c>
      <c r="B161" s="6" t="s">
        <v>97</v>
      </c>
      <c r="C161" s="7" t="n">
        <v>3</v>
      </c>
      <c r="D161" s="7" t="s">
        <v>556</v>
      </c>
      <c r="E161" s="7" t="n">
        <v>8</v>
      </c>
      <c r="F161" s="7" t="n">
        <v>24</v>
      </c>
      <c r="G161" s="7" t="n">
        <v>4</v>
      </c>
      <c r="H161" s="7" t="n">
        <v>7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7</v>
      </c>
      <c r="N161" s="7" t="n">
        <v>3</v>
      </c>
      <c r="O161" s="7" t="n">
        <v>0</v>
      </c>
      <c r="P161" s="7" t="n">
        <v>3</v>
      </c>
      <c r="Q161" s="8" t="n">
        <f aca="false">IF(F161=0,0,H161/F161)</f>
        <v>0.291666666666667</v>
      </c>
      <c r="R161" s="8" t="n">
        <f aca="false">IF(F161+O161=0,0,(H161+O161)/(F161+O161))</f>
        <v>0.291666666666667</v>
      </c>
      <c r="S161" s="8" t="n">
        <f aca="false">IF(F161=0,0,M161/F161)</f>
        <v>0.291666666666667</v>
      </c>
      <c r="T161" s="8" t="n">
        <f aca="false">S161+R161</f>
        <v>0.583333333333333</v>
      </c>
      <c r="U161" s="8" t="n">
        <f aca="false">S161-Q161</f>
        <v>0</v>
      </c>
    </row>
    <row r="162" customFormat="false" ht="14.25" hidden="false" customHeight="true" outlineLevel="0" collapsed="false">
      <c r="A162" s="6" t="s">
        <v>117</v>
      </c>
      <c r="B162" s="6" t="s">
        <v>97</v>
      </c>
      <c r="C162" s="7" t="n">
        <v>3</v>
      </c>
      <c r="D162" s="7" t="s">
        <v>552</v>
      </c>
      <c r="E162" s="7" t="n">
        <v>13</v>
      </c>
      <c r="F162" s="7" t="n">
        <v>30</v>
      </c>
      <c r="G162" s="7" t="n">
        <v>3</v>
      </c>
      <c r="H162" s="7" t="n">
        <v>7</v>
      </c>
      <c r="I162" s="7" t="n">
        <v>1</v>
      </c>
      <c r="J162" s="7" t="n">
        <v>0</v>
      </c>
      <c r="K162" s="7" t="n">
        <v>0</v>
      </c>
      <c r="L162" s="7" t="n">
        <v>1</v>
      </c>
      <c r="M162" s="7" t="n">
        <v>8</v>
      </c>
      <c r="N162" s="7" t="n">
        <v>1</v>
      </c>
      <c r="O162" s="7" t="n">
        <v>3</v>
      </c>
      <c r="P162" s="7" t="n">
        <v>1</v>
      </c>
      <c r="Q162" s="8" t="n">
        <f aca="false">IF(F162=0,0,H162/F162)</f>
        <v>0.233333333333333</v>
      </c>
      <c r="R162" s="8" t="n">
        <f aca="false">IF(F162+O162=0,0,(H162+O162)/(F162+O162))</f>
        <v>0.303030303030303</v>
      </c>
      <c r="S162" s="8" t="n">
        <f aca="false">IF(F162=0,0,M162/F162)</f>
        <v>0.266666666666667</v>
      </c>
      <c r="T162" s="8" t="n">
        <f aca="false">S162+R162</f>
        <v>0.56969696969697</v>
      </c>
      <c r="U162" s="8" t="n">
        <f aca="false">S162-Q162</f>
        <v>0.0333333333333333</v>
      </c>
    </row>
    <row r="163" customFormat="false" ht="14.25" hidden="false" customHeight="true" outlineLevel="0" collapsed="false">
      <c r="A163" s="6" t="s">
        <v>233</v>
      </c>
      <c r="B163" s="6" t="s">
        <v>212</v>
      </c>
      <c r="C163" s="7" t="n">
        <v>6</v>
      </c>
      <c r="D163" s="7" t="s">
        <v>541</v>
      </c>
      <c r="E163" s="7" t="n">
        <v>15</v>
      </c>
      <c r="F163" s="7" t="n">
        <v>30</v>
      </c>
      <c r="G163" s="7" t="n">
        <v>3</v>
      </c>
      <c r="H163" s="7" t="n">
        <v>7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7</v>
      </c>
      <c r="N163" s="7" t="n">
        <v>1</v>
      </c>
      <c r="O163" s="7" t="n">
        <v>10</v>
      </c>
      <c r="P163" s="7" t="n">
        <v>3</v>
      </c>
      <c r="Q163" s="8" t="n">
        <f aca="false">IF(F163=0,0,H163/F163)</f>
        <v>0.233333333333333</v>
      </c>
      <c r="R163" s="8" t="n">
        <f aca="false">IF(F163+O163=0,0,(H163+O163)/(F163+O163))</f>
        <v>0.425</v>
      </c>
      <c r="S163" s="8" t="n">
        <f aca="false">IF(F163=0,0,M163/F163)</f>
        <v>0.233333333333333</v>
      </c>
      <c r="T163" s="8" t="n">
        <f aca="false">S163+R163</f>
        <v>0.658333333333333</v>
      </c>
      <c r="U163" s="8" t="n">
        <f aca="false">S163-Q163</f>
        <v>0</v>
      </c>
    </row>
    <row r="164" customFormat="false" ht="14.25" hidden="false" customHeight="true" outlineLevel="0" collapsed="false">
      <c r="A164" s="6" t="s">
        <v>87</v>
      </c>
      <c r="B164" s="6" t="s">
        <v>71</v>
      </c>
      <c r="C164" s="7" t="n">
        <v>5</v>
      </c>
      <c r="D164" s="7" t="s">
        <v>557</v>
      </c>
      <c r="E164" s="7" t="n">
        <v>20</v>
      </c>
      <c r="F164" s="7" t="n">
        <v>49</v>
      </c>
      <c r="G164" s="7" t="n">
        <v>9</v>
      </c>
      <c r="H164" s="7" t="n">
        <v>7</v>
      </c>
      <c r="I164" s="7" t="n">
        <v>0</v>
      </c>
      <c r="J164" s="7" t="n">
        <v>0</v>
      </c>
      <c r="K164" s="7" t="n">
        <v>0</v>
      </c>
      <c r="L164" s="7" t="n">
        <v>0</v>
      </c>
      <c r="M164" s="7" t="n">
        <v>7</v>
      </c>
      <c r="N164" s="7" t="n">
        <v>3</v>
      </c>
      <c r="O164" s="7" t="n">
        <v>6</v>
      </c>
      <c r="P164" s="7" t="n">
        <v>4</v>
      </c>
      <c r="Q164" s="8" t="n">
        <f aca="false">IF(F164=0,0,H164/F164)</f>
        <v>0.142857142857143</v>
      </c>
      <c r="R164" s="8" t="n">
        <f aca="false">IF(F164+O164=0,0,(H164+O164)/(F164+O164))</f>
        <v>0.236363636363636</v>
      </c>
      <c r="S164" s="8" t="n">
        <f aca="false">IF(F164=0,0,M164/F164)</f>
        <v>0.142857142857143</v>
      </c>
      <c r="T164" s="8" t="n">
        <f aca="false">S164+R164</f>
        <v>0.379220779220779</v>
      </c>
      <c r="U164" s="8" t="n">
        <f aca="false">S164-Q164</f>
        <v>0</v>
      </c>
    </row>
    <row r="165" customFormat="false" ht="14.25" hidden="false" customHeight="true" outlineLevel="0" collapsed="false">
      <c r="A165" s="6" t="s">
        <v>363</v>
      </c>
      <c r="B165" s="6" t="s">
        <v>596</v>
      </c>
      <c r="C165" s="7" t="n">
        <v>3</v>
      </c>
      <c r="D165" s="9" t="s">
        <v>597</v>
      </c>
      <c r="E165" s="7" t="n">
        <v>19</v>
      </c>
      <c r="F165" s="7" t="n">
        <v>51</v>
      </c>
      <c r="G165" s="7" t="n">
        <v>7</v>
      </c>
      <c r="H165" s="7" t="n">
        <v>7</v>
      </c>
      <c r="I165" s="7" t="n">
        <v>1</v>
      </c>
      <c r="J165" s="7" t="n">
        <v>0</v>
      </c>
      <c r="K165" s="7" t="n">
        <v>0</v>
      </c>
      <c r="L165" s="7" t="n">
        <v>1</v>
      </c>
      <c r="M165" s="7" t="n">
        <v>8</v>
      </c>
      <c r="N165" s="7" t="n">
        <v>0</v>
      </c>
      <c r="O165" s="7" t="n">
        <v>3</v>
      </c>
      <c r="P165" s="7" t="n">
        <v>1</v>
      </c>
      <c r="Q165" s="8" t="n">
        <f aca="false">IF(F165=0,0,H165/F165)</f>
        <v>0.137254901960784</v>
      </c>
      <c r="R165" s="8" t="n">
        <f aca="false">IF(F165+O165=0,0,(H165+O165)/(F165+O165))</f>
        <v>0.185185185185185</v>
      </c>
      <c r="S165" s="8" t="n">
        <f aca="false">IF(F165=0,0,M165/F165)</f>
        <v>0.156862745098039</v>
      </c>
      <c r="T165" s="8" t="n">
        <f aca="false">S165+R165</f>
        <v>0.342047930283224</v>
      </c>
      <c r="U165" s="8" t="n">
        <f aca="false">S165-Q165</f>
        <v>0.0196078431372549</v>
      </c>
    </row>
    <row r="166" customFormat="false" ht="14.25" hidden="false" customHeight="true" outlineLevel="0" collapsed="false">
      <c r="A166" s="6" t="s">
        <v>78</v>
      </c>
      <c r="B166" s="6" t="s">
        <v>71</v>
      </c>
      <c r="C166" s="7" t="n">
        <v>1</v>
      </c>
      <c r="D166" s="7" t="s">
        <v>555</v>
      </c>
      <c r="E166" s="7" t="n">
        <v>10</v>
      </c>
      <c r="F166" s="7" t="n">
        <v>34</v>
      </c>
      <c r="G166" s="7" t="n">
        <v>10</v>
      </c>
      <c r="H166" s="7" t="n">
        <v>19</v>
      </c>
      <c r="I166" s="7" t="n">
        <v>5</v>
      </c>
      <c r="J166" s="7" t="n">
        <v>0</v>
      </c>
      <c r="K166" s="7" t="n">
        <v>1</v>
      </c>
      <c r="L166" s="7" t="n">
        <v>6</v>
      </c>
      <c r="M166" s="7" t="n">
        <v>27</v>
      </c>
      <c r="N166" s="7" t="n">
        <v>4</v>
      </c>
      <c r="O166" s="7" t="n">
        <v>1</v>
      </c>
      <c r="P166" s="7" t="n">
        <v>0</v>
      </c>
      <c r="Q166" s="8" t="n">
        <f aca="false">IF(F166=0,0,H166/F166)</f>
        <v>0.558823529411765</v>
      </c>
      <c r="R166" s="8" t="n">
        <f aca="false">IF(F166+O166=0,0,(H166+O166)/(F166+O166))</f>
        <v>0.571428571428571</v>
      </c>
      <c r="S166" s="8" t="n">
        <f aca="false">IF(F166=0,0,M166/F166)</f>
        <v>0.794117647058824</v>
      </c>
      <c r="T166" s="8" t="n">
        <f aca="false">S166+R166</f>
        <v>1.3655462184874</v>
      </c>
      <c r="U166" s="8" t="n">
        <f aca="false">S166-Q166</f>
        <v>0.235294117647059</v>
      </c>
    </row>
    <row r="167" customFormat="false" ht="14.25" hidden="false" customHeight="true" outlineLevel="0" collapsed="false">
      <c r="A167" s="6" t="s">
        <v>292</v>
      </c>
      <c r="B167" s="6" t="s">
        <v>147</v>
      </c>
      <c r="C167" s="7" t="n">
        <v>1</v>
      </c>
      <c r="D167" s="7" t="s">
        <v>570</v>
      </c>
      <c r="E167" s="7" t="n">
        <v>9</v>
      </c>
      <c r="F167" s="7" t="n">
        <v>22</v>
      </c>
      <c r="G167" s="7" t="n">
        <v>1</v>
      </c>
      <c r="H167" s="7" t="n">
        <v>6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6</v>
      </c>
      <c r="N167" s="7" t="n">
        <v>2</v>
      </c>
      <c r="O167" s="7" t="n">
        <v>1</v>
      </c>
      <c r="P167" s="7" t="n">
        <v>0</v>
      </c>
      <c r="Q167" s="8" t="n">
        <f aca="false">IF(F167=0,0,H167/F167)</f>
        <v>0.272727272727273</v>
      </c>
      <c r="R167" s="8" t="n">
        <f aca="false">IF(F167+O167=0,0,(H167+O167)/(F167+O167))</f>
        <v>0.304347826086957</v>
      </c>
      <c r="S167" s="8" t="n">
        <f aca="false">IF(F167=0,0,M167/F167)</f>
        <v>0.272727272727273</v>
      </c>
      <c r="T167" s="8" t="n">
        <f aca="false">S167+R167</f>
        <v>0.577075098814229</v>
      </c>
      <c r="U167" s="8" t="n">
        <f aca="false">S167-Q167</f>
        <v>0</v>
      </c>
    </row>
    <row r="168" customFormat="false" ht="14.25" hidden="false" customHeight="true" outlineLevel="0" collapsed="false">
      <c r="A168" s="6" t="s">
        <v>417</v>
      </c>
      <c r="B168" s="6" t="s">
        <v>598</v>
      </c>
      <c r="C168" s="7" t="n">
        <v>3</v>
      </c>
      <c r="D168" s="9" t="s">
        <v>599</v>
      </c>
      <c r="E168" s="7" t="n">
        <v>9</v>
      </c>
      <c r="F168" s="7" t="n">
        <v>22</v>
      </c>
      <c r="G168" s="7" t="n">
        <v>1</v>
      </c>
      <c r="H168" s="7" t="n">
        <v>6</v>
      </c>
      <c r="I168" s="7" t="n">
        <v>1</v>
      </c>
      <c r="J168" s="7" t="n">
        <v>0</v>
      </c>
      <c r="K168" s="7" t="n">
        <v>0</v>
      </c>
      <c r="L168" s="7" t="n">
        <v>1</v>
      </c>
      <c r="M168" s="7" t="n">
        <v>7</v>
      </c>
      <c r="N168" s="7" t="n">
        <v>5</v>
      </c>
      <c r="O168" s="7" t="n">
        <v>1</v>
      </c>
      <c r="P168" s="7" t="n">
        <v>1</v>
      </c>
      <c r="Q168" s="8" t="n">
        <f aca="false">IF(F168=0,0,H168/F168)</f>
        <v>0.272727272727273</v>
      </c>
      <c r="R168" s="8" t="n">
        <f aca="false">IF(F168+O168=0,0,(H168+O168)/(F168+O168))</f>
        <v>0.304347826086957</v>
      </c>
      <c r="S168" s="8" t="n">
        <f aca="false">IF(F168=0,0,M168/F168)</f>
        <v>0.318181818181818</v>
      </c>
      <c r="T168" s="8" t="n">
        <f aca="false">S168+R168</f>
        <v>0.622529644268775</v>
      </c>
      <c r="U168" s="8" t="n">
        <f aca="false">S168-Q168</f>
        <v>0.0454545454545455</v>
      </c>
    </row>
    <row r="169" customFormat="false" ht="14.25" hidden="false" customHeight="true" outlineLevel="0" collapsed="false">
      <c r="A169" s="6" t="s">
        <v>252</v>
      </c>
      <c r="B169" s="6" t="s">
        <v>97</v>
      </c>
      <c r="C169" s="7" t="n">
        <v>3</v>
      </c>
      <c r="D169" s="9" t="s">
        <v>580</v>
      </c>
      <c r="E169" s="7" t="n">
        <v>21</v>
      </c>
      <c r="F169" s="7" t="n">
        <v>60</v>
      </c>
      <c r="G169" s="7" t="n">
        <v>2</v>
      </c>
      <c r="H169" s="7" t="n">
        <v>11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11</v>
      </c>
      <c r="N169" s="7" t="n">
        <v>2</v>
      </c>
      <c r="O169" s="7" t="n">
        <v>6</v>
      </c>
      <c r="P169" s="7" t="n">
        <v>10</v>
      </c>
      <c r="Q169" s="8" t="n">
        <f aca="false">IF(F169=0,0,H169/F169)</f>
        <v>0.183333333333333</v>
      </c>
      <c r="R169" s="8" t="n">
        <f aca="false">IF(F169+O169=0,0,(H169+O169)/(F169+O169))</f>
        <v>0.257575757575758</v>
      </c>
      <c r="S169" s="8" t="n">
        <f aca="false">IF(F169=0,0,M169/F169)</f>
        <v>0.183333333333333</v>
      </c>
      <c r="T169" s="8" t="n">
        <f aca="false">S169+R169</f>
        <v>0.440909090909091</v>
      </c>
      <c r="U169" s="8" t="n">
        <f aca="false">S169-Q169</f>
        <v>0</v>
      </c>
    </row>
    <row r="170" customFormat="false" ht="14.25" hidden="false" customHeight="true" outlineLevel="0" collapsed="false">
      <c r="A170" s="6" t="s">
        <v>318</v>
      </c>
      <c r="B170" s="6" t="s">
        <v>71</v>
      </c>
      <c r="C170" s="7" t="n">
        <v>2</v>
      </c>
      <c r="D170" s="7" t="s">
        <v>595</v>
      </c>
      <c r="E170" s="7" t="n">
        <v>11</v>
      </c>
      <c r="F170" s="7" t="n">
        <v>28</v>
      </c>
      <c r="G170" s="7" t="n">
        <v>4</v>
      </c>
      <c r="H170" s="7" t="n">
        <v>6</v>
      </c>
      <c r="I170" s="7" t="n">
        <v>1</v>
      </c>
      <c r="J170" s="7" t="n">
        <v>0</v>
      </c>
      <c r="K170" s="7" t="n">
        <v>0</v>
      </c>
      <c r="L170" s="7" t="n">
        <v>1</v>
      </c>
      <c r="M170" s="7" t="n">
        <v>7</v>
      </c>
      <c r="N170" s="7" t="n">
        <v>3</v>
      </c>
      <c r="O170" s="7" t="n">
        <v>3</v>
      </c>
      <c r="P170" s="7" t="n">
        <v>2</v>
      </c>
      <c r="Q170" s="8" t="n">
        <f aca="false">IF(F170=0,0,H170/F170)</f>
        <v>0.214285714285714</v>
      </c>
      <c r="R170" s="8" t="n">
        <f aca="false">IF(F170+O170=0,0,(H170+O170)/(F170+O170))</f>
        <v>0.290322580645161</v>
      </c>
      <c r="S170" s="8" t="n">
        <f aca="false">IF(F170=0,0,M170/F170)</f>
        <v>0.25</v>
      </c>
      <c r="T170" s="8" t="n">
        <f aca="false">S170+R170</f>
        <v>0.540322580645161</v>
      </c>
      <c r="U170" s="8" t="n">
        <f aca="false">S170-Q170</f>
        <v>0.0357142857142857</v>
      </c>
    </row>
    <row r="171" customFormat="false" ht="14.25" hidden="false" customHeight="true" outlineLevel="0" collapsed="false">
      <c r="A171" s="6" t="s">
        <v>63</v>
      </c>
      <c r="B171" s="6" t="s">
        <v>50</v>
      </c>
      <c r="C171" s="7" t="n">
        <v>5</v>
      </c>
      <c r="D171" s="7" t="s">
        <v>557</v>
      </c>
      <c r="E171" s="7" t="n">
        <v>20</v>
      </c>
      <c r="F171" s="7" t="n">
        <v>36</v>
      </c>
      <c r="G171" s="7" t="n">
        <v>1</v>
      </c>
      <c r="H171" s="7" t="n">
        <v>6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6</v>
      </c>
      <c r="N171" s="7" t="n">
        <v>1</v>
      </c>
      <c r="O171" s="7" t="n">
        <v>2</v>
      </c>
      <c r="P171" s="7" t="n">
        <v>6</v>
      </c>
      <c r="Q171" s="8" t="n">
        <f aca="false">IF(F171=0,0,H171/F171)</f>
        <v>0.166666666666667</v>
      </c>
      <c r="R171" s="8" t="n">
        <f aca="false">IF(F171+O171=0,0,(H171+O171)/(F171+O171))</f>
        <v>0.210526315789474</v>
      </c>
      <c r="S171" s="8" t="n">
        <f aca="false">IF(F171=0,0,M171/F171)</f>
        <v>0.166666666666667</v>
      </c>
      <c r="T171" s="8" t="n">
        <f aca="false">S171+R171</f>
        <v>0.37719298245614</v>
      </c>
      <c r="U171" s="8" t="n">
        <f aca="false">S171-Q171</f>
        <v>0</v>
      </c>
    </row>
    <row r="172" customFormat="false" ht="14.25" hidden="false" customHeight="true" outlineLevel="0" collapsed="false">
      <c r="A172" s="6" t="s">
        <v>139</v>
      </c>
      <c r="B172" s="6" t="s">
        <v>121</v>
      </c>
      <c r="C172" s="7" t="n">
        <v>4</v>
      </c>
      <c r="D172" s="7" t="s">
        <v>600</v>
      </c>
      <c r="E172" s="7" t="n">
        <v>18</v>
      </c>
      <c r="F172" s="7" t="n">
        <v>37</v>
      </c>
      <c r="G172" s="7" t="n">
        <v>5</v>
      </c>
      <c r="H172" s="7" t="n">
        <v>8</v>
      </c>
      <c r="I172" s="7" t="n">
        <v>2</v>
      </c>
      <c r="J172" s="7" t="n">
        <v>0</v>
      </c>
      <c r="K172" s="7" t="n">
        <v>0</v>
      </c>
      <c r="L172" s="7" t="n">
        <v>2</v>
      </c>
      <c r="M172" s="7" t="n">
        <v>10</v>
      </c>
      <c r="N172" s="7" t="n">
        <v>3</v>
      </c>
      <c r="O172" s="7" t="n">
        <v>0</v>
      </c>
      <c r="P172" s="7" t="n">
        <v>2</v>
      </c>
      <c r="Q172" s="8" t="n">
        <f aca="false">IF(F172=0,0,H172/F172)</f>
        <v>0.216216216216216</v>
      </c>
      <c r="R172" s="8" t="n">
        <f aca="false">IF(F172+O172=0,0,(H172+O172)/(F172+O172))</f>
        <v>0.216216216216216</v>
      </c>
      <c r="S172" s="8" t="n">
        <f aca="false">IF(F172=0,0,M172/F172)</f>
        <v>0.27027027027027</v>
      </c>
      <c r="T172" s="8" t="n">
        <f aca="false">S172+R172</f>
        <v>0.486486486486487</v>
      </c>
      <c r="U172" s="8" t="n">
        <f aca="false">S172-Q172</f>
        <v>0.0540540540540541</v>
      </c>
    </row>
    <row r="173" customFormat="false" ht="14.25" hidden="false" customHeight="true" outlineLevel="0" collapsed="false">
      <c r="A173" s="6" t="s">
        <v>160</v>
      </c>
      <c r="B173" s="6" t="s">
        <v>147</v>
      </c>
      <c r="C173" s="7" t="n">
        <v>7</v>
      </c>
      <c r="D173" s="7" t="s">
        <v>536</v>
      </c>
      <c r="E173" s="7" t="n">
        <v>21</v>
      </c>
      <c r="F173" s="7" t="n">
        <v>47</v>
      </c>
      <c r="G173" s="7" t="n">
        <v>5</v>
      </c>
      <c r="H173" s="7" t="n">
        <v>7</v>
      </c>
      <c r="I173" s="7" t="n">
        <v>1</v>
      </c>
      <c r="J173" s="7" t="n">
        <v>0</v>
      </c>
      <c r="K173" s="7" t="n">
        <v>0</v>
      </c>
      <c r="L173" s="7" t="n">
        <v>1</v>
      </c>
      <c r="M173" s="7" t="n">
        <v>8</v>
      </c>
      <c r="N173" s="7" t="n">
        <v>5</v>
      </c>
      <c r="O173" s="7" t="n">
        <v>5</v>
      </c>
      <c r="P173" s="7" t="n">
        <v>2</v>
      </c>
      <c r="Q173" s="8" t="n">
        <f aca="false">IF(F173=0,0,H173/F173)</f>
        <v>0.148936170212766</v>
      </c>
      <c r="R173" s="8" t="n">
        <f aca="false">IF(F173+O173=0,0,(H173+O173)/(F173+O173))</f>
        <v>0.230769230769231</v>
      </c>
      <c r="S173" s="8" t="n">
        <f aca="false">IF(F173=0,0,M173/F173)</f>
        <v>0.170212765957447</v>
      </c>
      <c r="T173" s="8" t="n">
        <f aca="false">S173+R173</f>
        <v>0.400981996726678</v>
      </c>
      <c r="U173" s="8" t="n">
        <f aca="false">S173-Q173</f>
        <v>0.0212765957446809</v>
      </c>
    </row>
    <row r="174" customFormat="false" ht="14.25" hidden="false" customHeight="true" outlineLevel="0" collapsed="false">
      <c r="A174" s="6" t="s">
        <v>463</v>
      </c>
      <c r="B174" s="6" t="s">
        <v>97</v>
      </c>
      <c r="C174" s="7" t="n">
        <v>1</v>
      </c>
      <c r="D174" s="7" t="s">
        <v>571</v>
      </c>
      <c r="E174" s="7" t="n">
        <v>2</v>
      </c>
      <c r="F174" s="7" t="n">
        <v>6</v>
      </c>
      <c r="G174" s="7" t="n">
        <v>3</v>
      </c>
      <c r="H174" s="7" t="n">
        <v>5</v>
      </c>
      <c r="I174" s="7" t="n">
        <v>0</v>
      </c>
      <c r="J174" s="7" t="n">
        <v>0</v>
      </c>
      <c r="K174" s="7" t="n">
        <v>0</v>
      </c>
      <c r="L174" s="7" t="n">
        <v>0</v>
      </c>
      <c r="M174" s="7" t="n">
        <v>5</v>
      </c>
      <c r="N174" s="7" t="n">
        <v>4</v>
      </c>
      <c r="O174" s="7" t="n">
        <v>0</v>
      </c>
      <c r="P174" s="7" t="n">
        <v>0</v>
      </c>
      <c r="Q174" s="8" t="n">
        <f aca="false">IF(F174=0,0,H174/F174)</f>
        <v>0.833333333333333</v>
      </c>
      <c r="R174" s="8" t="n">
        <f aca="false">IF(F174+O174=0,0,(H174+O174)/(F174+O174))</f>
        <v>0.833333333333333</v>
      </c>
      <c r="S174" s="8" t="n">
        <f aca="false">IF(F174=0,0,M174/F174)</f>
        <v>0.833333333333333</v>
      </c>
      <c r="T174" s="8" t="n">
        <f aca="false">S174+R174</f>
        <v>1.66666666666667</v>
      </c>
      <c r="U174" s="8" t="n">
        <f aca="false">S174-Q174</f>
        <v>0</v>
      </c>
    </row>
    <row r="175" customFormat="false" ht="14.25" hidden="false" customHeight="true" outlineLevel="0" collapsed="false">
      <c r="A175" s="6" t="s">
        <v>379</v>
      </c>
      <c r="B175" s="6" t="s">
        <v>97</v>
      </c>
      <c r="C175" s="7" t="n">
        <v>1</v>
      </c>
      <c r="D175" s="7" t="s">
        <v>601</v>
      </c>
      <c r="E175" s="7" t="n">
        <v>2</v>
      </c>
      <c r="F175" s="7" t="n">
        <v>7</v>
      </c>
      <c r="G175" s="7" t="n">
        <v>1</v>
      </c>
      <c r="H175" s="7" t="n">
        <v>5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5</v>
      </c>
      <c r="N175" s="7" t="n">
        <v>1</v>
      </c>
      <c r="O175" s="7" t="n">
        <v>0</v>
      </c>
      <c r="P175" s="7" t="n">
        <v>1</v>
      </c>
      <c r="Q175" s="8" t="n">
        <f aca="false">IF(F175=0,0,H175/F175)</f>
        <v>0.714285714285714</v>
      </c>
      <c r="R175" s="8" t="n">
        <f aca="false">IF(F175+O175=0,0,(H175+O175)/(F175+O175))</f>
        <v>0.714285714285714</v>
      </c>
      <c r="S175" s="8" t="n">
        <f aca="false">IF(F175=0,0,M175/F175)</f>
        <v>0.714285714285714</v>
      </c>
      <c r="T175" s="8" t="n">
        <f aca="false">S175+R175</f>
        <v>1.42857142857143</v>
      </c>
      <c r="U175" s="8" t="n">
        <f aca="false">S175-Q175</f>
        <v>0</v>
      </c>
    </row>
    <row r="176" customFormat="false" ht="14.25" hidden="false" customHeight="true" outlineLevel="0" collapsed="false">
      <c r="A176" s="6" t="s">
        <v>500</v>
      </c>
      <c r="B176" s="6" t="s">
        <v>212</v>
      </c>
      <c r="C176" s="7" t="n">
        <v>2</v>
      </c>
      <c r="D176" s="7" t="s">
        <v>554</v>
      </c>
      <c r="E176" s="7" t="n">
        <v>8</v>
      </c>
      <c r="F176" s="7" t="n">
        <v>16</v>
      </c>
      <c r="G176" s="7" t="n">
        <v>1</v>
      </c>
      <c r="H176" s="7" t="n">
        <v>5</v>
      </c>
      <c r="I176" s="7" t="n">
        <v>0</v>
      </c>
      <c r="J176" s="7" t="n">
        <v>0</v>
      </c>
      <c r="K176" s="7" t="n">
        <v>0</v>
      </c>
      <c r="L176" s="7" t="n">
        <v>0</v>
      </c>
      <c r="M176" s="7" t="n">
        <v>5</v>
      </c>
      <c r="N176" s="7" t="n">
        <v>2</v>
      </c>
      <c r="O176" s="7" t="n">
        <v>0</v>
      </c>
      <c r="P176" s="7" t="n">
        <v>2</v>
      </c>
      <c r="Q176" s="8" t="n">
        <f aca="false">IF(F176=0,0,H176/F176)</f>
        <v>0.3125</v>
      </c>
      <c r="R176" s="8" t="n">
        <f aca="false">IF(F176+O176=0,0,(H176+O176)/(F176+O176))</f>
        <v>0.3125</v>
      </c>
      <c r="S176" s="8" t="n">
        <f aca="false">IF(F176=0,0,M176/F176)</f>
        <v>0.3125</v>
      </c>
      <c r="T176" s="8" t="n">
        <f aca="false">S176+R176</f>
        <v>0.625</v>
      </c>
      <c r="U176" s="8" t="n">
        <f aca="false">S176-Q176</f>
        <v>0</v>
      </c>
    </row>
    <row r="177" customFormat="false" ht="14.25" hidden="false" customHeight="true" outlineLevel="0" collapsed="false">
      <c r="A177" s="6" t="s">
        <v>382</v>
      </c>
      <c r="B177" s="6" t="s">
        <v>97</v>
      </c>
      <c r="C177" s="7" t="n">
        <v>2</v>
      </c>
      <c r="D177" s="7" t="s">
        <v>602</v>
      </c>
      <c r="E177" s="7" t="n">
        <v>7</v>
      </c>
      <c r="F177" s="7" t="n">
        <v>17</v>
      </c>
      <c r="G177" s="7" t="n">
        <v>1</v>
      </c>
      <c r="H177" s="7" t="n">
        <v>5</v>
      </c>
      <c r="I177" s="7" t="n">
        <v>0</v>
      </c>
      <c r="J177" s="7" t="n">
        <v>0</v>
      </c>
      <c r="K177" s="7" t="n">
        <v>0</v>
      </c>
      <c r="L177" s="7" t="n">
        <v>0</v>
      </c>
      <c r="M177" s="7" t="n">
        <v>5</v>
      </c>
      <c r="N177" s="7" t="n">
        <v>1</v>
      </c>
      <c r="O177" s="7" t="n">
        <v>3</v>
      </c>
      <c r="P177" s="7" t="n">
        <v>0</v>
      </c>
      <c r="Q177" s="8" t="n">
        <f aca="false">IF(F177=0,0,H177/F177)</f>
        <v>0.294117647058824</v>
      </c>
      <c r="R177" s="8" t="n">
        <f aca="false">IF(F177+O177=0,0,(H177+O177)/(F177+O177))</f>
        <v>0.4</v>
      </c>
      <c r="S177" s="8" t="n">
        <f aca="false">IF(F177=0,0,M177/F177)</f>
        <v>0.294117647058824</v>
      </c>
      <c r="T177" s="8" t="n">
        <f aca="false">S177+R177</f>
        <v>0.694117647058824</v>
      </c>
      <c r="U177" s="8" t="n">
        <f aca="false">S177-Q177</f>
        <v>0</v>
      </c>
    </row>
    <row r="178" customFormat="false" ht="14.25" hidden="false" customHeight="true" outlineLevel="0" collapsed="false">
      <c r="A178" s="6" t="s">
        <v>220</v>
      </c>
      <c r="B178" s="6" t="s">
        <v>212</v>
      </c>
      <c r="C178" s="7" t="n">
        <v>2</v>
      </c>
      <c r="D178" s="7" t="s">
        <v>562</v>
      </c>
      <c r="E178" s="7" t="n">
        <v>9</v>
      </c>
      <c r="F178" s="7" t="n">
        <v>24</v>
      </c>
      <c r="G178" s="7" t="n">
        <v>1</v>
      </c>
      <c r="H178" s="7" t="n">
        <v>5</v>
      </c>
      <c r="I178" s="7" t="n">
        <v>0</v>
      </c>
      <c r="J178" s="7" t="n">
        <v>0</v>
      </c>
      <c r="K178" s="7" t="n">
        <v>0</v>
      </c>
      <c r="L178" s="7" t="n">
        <v>0</v>
      </c>
      <c r="M178" s="7" t="n">
        <v>5</v>
      </c>
      <c r="N178" s="7" t="n">
        <v>0</v>
      </c>
      <c r="O178" s="7" t="n">
        <v>2</v>
      </c>
      <c r="P178" s="7" t="n">
        <v>1</v>
      </c>
      <c r="Q178" s="8" t="n">
        <f aca="false">IF(F178=0,0,H178/F178)</f>
        <v>0.208333333333333</v>
      </c>
      <c r="R178" s="8" t="n">
        <f aca="false">IF(F178+O178=0,0,(H178+O178)/(F178+O178))</f>
        <v>0.269230769230769</v>
      </c>
      <c r="S178" s="8" t="n">
        <f aca="false">IF(F178=0,0,M178/F178)</f>
        <v>0.208333333333333</v>
      </c>
      <c r="T178" s="8" t="n">
        <f aca="false">S178+R178</f>
        <v>0.477564102564103</v>
      </c>
      <c r="U178" s="8" t="n">
        <f aca="false">S178-Q178</f>
        <v>0</v>
      </c>
    </row>
    <row r="179" customFormat="false" ht="14.25" hidden="false" customHeight="true" outlineLevel="0" collapsed="false">
      <c r="A179" s="6" t="s">
        <v>228</v>
      </c>
      <c r="B179" s="6" t="s">
        <v>575</v>
      </c>
      <c r="C179" s="7" t="n">
        <v>5</v>
      </c>
      <c r="D179" s="9" t="s">
        <v>603</v>
      </c>
      <c r="E179" s="7" t="n">
        <v>18</v>
      </c>
      <c r="F179" s="7" t="n">
        <v>44</v>
      </c>
      <c r="G179" s="7" t="n">
        <v>2</v>
      </c>
      <c r="H179" s="7" t="n">
        <v>6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6</v>
      </c>
      <c r="N179" s="7" t="n">
        <v>1</v>
      </c>
      <c r="O179" s="7" t="n">
        <v>0</v>
      </c>
      <c r="P179" s="7" t="n">
        <v>1</v>
      </c>
      <c r="Q179" s="8" t="n">
        <f aca="false">IF(F179=0,0,H179/F179)</f>
        <v>0.136363636363636</v>
      </c>
      <c r="R179" s="8" t="n">
        <f aca="false">IF(F179+O179=0,0,(H179+O179)/(F179+O179))</f>
        <v>0.136363636363636</v>
      </c>
      <c r="S179" s="8" t="n">
        <f aca="false">IF(F179=0,0,M179/F179)</f>
        <v>0.136363636363636</v>
      </c>
      <c r="T179" s="8" t="n">
        <f aca="false">S179+R179</f>
        <v>0.272727272727273</v>
      </c>
      <c r="U179" s="8" t="n">
        <f aca="false">S179-Q179</f>
        <v>0</v>
      </c>
    </row>
    <row r="180" customFormat="false" ht="14.25" hidden="false" customHeight="true" outlineLevel="0" collapsed="false">
      <c r="A180" s="6" t="s">
        <v>161</v>
      </c>
      <c r="B180" s="6" t="s">
        <v>147</v>
      </c>
      <c r="C180" s="7" t="n">
        <v>6</v>
      </c>
      <c r="D180" s="9" t="s">
        <v>604</v>
      </c>
      <c r="E180" s="7" t="n">
        <v>32</v>
      </c>
      <c r="F180" s="7" t="n">
        <v>88</v>
      </c>
      <c r="G180" s="7" t="n">
        <v>3</v>
      </c>
      <c r="H180" s="7" t="n">
        <v>9</v>
      </c>
      <c r="I180" s="7" t="n">
        <v>0</v>
      </c>
      <c r="J180" s="7" t="n">
        <v>0</v>
      </c>
      <c r="K180" s="7" t="n">
        <v>0</v>
      </c>
      <c r="L180" s="7" t="n">
        <v>0</v>
      </c>
      <c r="M180" s="7" t="n">
        <v>9</v>
      </c>
      <c r="N180" s="7" t="n">
        <v>5</v>
      </c>
      <c r="O180" s="7" t="n">
        <v>2</v>
      </c>
      <c r="P180" s="7" t="n">
        <v>4</v>
      </c>
      <c r="Q180" s="8" t="n">
        <f aca="false">IF(F180=0,0,H180/F180)</f>
        <v>0.102272727272727</v>
      </c>
      <c r="R180" s="8" t="n">
        <f aca="false">IF(F180+O180=0,0,(H180+O180)/(F180+O180))</f>
        <v>0.122222222222222</v>
      </c>
      <c r="S180" s="8" t="n">
        <f aca="false">IF(F180=0,0,M180/F180)</f>
        <v>0.102272727272727</v>
      </c>
      <c r="T180" s="8" t="n">
        <f aca="false">S180+R180</f>
        <v>0.22449494949495</v>
      </c>
      <c r="U180" s="8" t="n">
        <f aca="false">S180-Q180</f>
        <v>0</v>
      </c>
    </row>
    <row r="181" customFormat="false" ht="14.25" hidden="false" customHeight="true" outlineLevel="0" collapsed="false">
      <c r="A181" s="6" t="s">
        <v>92</v>
      </c>
      <c r="B181" s="6" t="s">
        <v>71</v>
      </c>
      <c r="C181" s="7" t="n">
        <v>5</v>
      </c>
      <c r="D181" s="7" t="s">
        <v>557</v>
      </c>
      <c r="E181" s="7" t="n">
        <v>26</v>
      </c>
      <c r="F181" s="7" t="n">
        <v>70</v>
      </c>
      <c r="G181" s="7" t="n">
        <v>9</v>
      </c>
      <c r="H181" s="7" t="n">
        <v>8</v>
      </c>
      <c r="I181" s="7" t="n">
        <v>0</v>
      </c>
      <c r="J181" s="7" t="n">
        <v>0</v>
      </c>
      <c r="K181" s="7" t="n">
        <v>0</v>
      </c>
      <c r="L181" s="7" t="n">
        <v>0</v>
      </c>
      <c r="M181" s="7" t="n">
        <v>8</v>
      </c>
      <c r="N181" s="7" t="n">
        <v>2</v>
      </c>
      <c r="O181" s="7" t="n">
        <v>4</v>
      </c>
      <c r="P181" s="7" t="n">
        <v>0</v>
      </c>
      <c r="Q181" s="8" t="n">
        <f aca="false">IF(F181=0,0,H181/F181)</f>
        <v>0.114285714285714</v>
      </c>
      <c r="R181" s="8" t="n">
        <f aca="false">IF(F181+O181=0,0,(H181+O181)/(F181+O181))</f>
        <v>0.162162162162162</v>
      </c>
      <c r="S181" s="8" t="n">
        <f aca="false">IF(F181=0,0,M181/F181)</f>
        <v>0.114285714285714</v>
      </c>
      <c r="T181" s="8" t="n">
        <f aca="false">S181+R181</f>
        <v>0.276447876447876</v>
      </c>
      <c r="U181" s="8" t="n">
        <f aca="false">S181-Q181</f>
        <v>0</v>
      </c>
    </row>
    <row r="182" customFormat="false" ht="14.25" hidden="false" customHeight="true" outlineLevel="0" collapsed="false">
      <c r="A182" s="6" t="s">
        <v>375</v>
      </c>
      <c r="B182" s="6" t="s">
        <v>71</v>
      </c>
      <c r="C182" s="7" t="n">
        <v>4</v>
      </c>
      <c r="D182" s="7" t="s">
        <v>605</v>
      </c>
      <c r="E182" s="7" t="n">
        <v>23</v>
      </c>
      <c r="F182" s="7" t="n">
        <v>57</v>
      </c>
      <c r="G182" s="7" t="n">
        <v>3</v>
      </c>
      <c r="H182" s="7" t="n">
        <v>5</v>
      </c>
      <c r="I182" s="7" t="n">
        <v>0</v>
      </c>
      <c r="J182" s="7" t="n">
        <v>0</v>
      </c>
      <c r="K182" s="7" t="n">
        <v>0</v>
      </c>
      <c r="L182" s="7" t="n">
        <v>0</v>
      </c>
      <c r="M182" s="7" t="n">
        <v>5</v>
      </c>
      <c r="N182" s="7" t="n">
        <v>3</v>
      </c>
      <c r="O182" s="7" t="n">
        <v>2</v>
      </c>
      <c r="P182" s="7" t="n">
        <v>0</v>
      </c>
      <c r="Q182" s="8" t="n">
        <f aca="false">IF(F182=0,0,H182/F182)</f>
        <v>0.087719298245614</v>
      </c>
      <c r="R182" s="8" t="n">
        <f aca="false">IF(F182+O182=0,0,(H182+O182)/(F182+O182))</f>
        <v>0.11864406779661</v>
      </c>
      <c r="S182" s="8" t="n">
        <f aca="false">IF(F182=0,0,M182/F182)</f>
        <v>0.087719298245614</v>
      </c>
      <c r="T182" s="8" t="n">
        <f aca="false">S182+R182</f>
        <v>0.206363366042224</v>
      </c>
      <c r="U182" s="8" t="n">
        <f aca="false">S182-Q182</f>
        <v>0</v>
      </c>
    </row>
    <row r="183" customFormat="false" ht="14.25" hidden="false" customHeight="true" outlineLevel="0" collapsed="false">
      <c r="A183" s="6" t="s">
        <v>257</v>
      </c>
      <c r="B183" s="6" t="s">
        <v>97</v>
      </c>
      <c r="C183" s="7" t="n">
        <v>3</v>
      </c>
      <c r="D183" s="9" t="s">
        <v>606</v>
      </c>
      <c r="E183" s="7" t="n">
        <v>16</v>
      </c>
      <c r="F183" s="7" t="n">
        <v>39</v>
      </c>
      <c r="G183" s="7" t="n">
        <v>3</v>
      </c>
      <c r="H183" s="7" t="n">
        <v>7</v>
      </c>
      <c r="I183" s="7" t="n">
        <v>3</v>
      </c>
      <c r="J183" s="7" t="n">
        <v>0</v>
      </c>
      <c r="K183" s="7" t="n">
        <v>0</v>
      </c>
      <c r="L183" s="7" t="n">
        <v>3</v>
      </c>
      <c r="M183" s="7" t="n">
        <v>10</v>
      </c>
      <c r="N183" s="7" t="n">
        <v>3</v>
      </c>
      <c r="O183" s="7" t="n">
        <v>1</v>
      </c>
      <c r="P183" s="7" t="n">
        <v>2</v>
      </c>
      <c r="Q183" s="8" t="n">
        <f aca="false">IF(F183=0,0,H183/F183)</f>
        <v>0.17948717948718</v>
      </c>
      <c r="R183" s="8" t="n">
        <f aca="false">IF(F183+O183=0,0,(H183+O183)/(F183+O183))</f>
        <v>0.2</v>
      </c>
      <c r="S183" s="8" t="n">
        <f aca="false">IF(F183=0,0,M183/F183)</f>
        <v>0.256410256410256</v>
      </c>
      <c r="T183" s="8" t="n">
        <f aca="false">S183+R183</f>
        <v>0.456410256410256</v>
      </c>
      <c r="U183" s="8" t="n">
        <f aca="false">S183-Q183</f>
        <v>0.0769230769230769</v>
      </c>
    </row>
    <row r="184" customFormat="false" ht="14.25" hidden="false" customHeight="true" outlineLevel="0" collapsed="false">
      <c r="A184" s="6" t="s">
        <v>250</v>
      </c>
      <c r="B184" s="6" t="s">
        <v>97</v>
      </c>
      <c r="C184" s="7" t="n">
        <v>1</v>
      </c>
      <c r="D184" s="7" t="s">
        <v>607</v>
      </c>
      <c r="E184" s="7" t="n">
        <v>5</v>
      </c>
      <c r="F184" s="7" t="n">
        <v>12</v>
      </c>
      <c r="G184" s="7" t="n">
        <v>2</v>
      </c>
      <c r="H184" s="7" t="n">
        <v>4</v>
      </c>
      <c r="I184" s="7" t="n">
        <v>1</v>
      </c>
      <c r="J184" s="7" t="n">
        <v>0</v>
      </c>
      <c r="K184" s="7" t="n">
        <v>0</v>
      </c>
      <c r="L184" s="7" t="n">
        <v>1</v>
      </c>
      <c r="M184" s="7" t="n">
        <v>5</v>
      </c>
      <c r="N184" s="7" t="n">
        <v>3</v>
      </c>
      <c r="O184" s="7" t="n">
        <v>2</v>
      </c>
      <c r="P184" s="7" t="n">
        <v>1</v>
      </c>
      <c r="Q184" s="8" t="n">
        <f aca="false">IF(F184=0,0,H184/F184)</f>
        <v>0.333333333333333</v>
      </c>
      <c r="R184" s="8" t="n">
        <f aca="false">IF(F184+O184=0,0,(H184+O184)/(F184+O184))</f>
        <v>0.428571428571429</v>
      </c>
      <c r="S184" s="8" t="n">
        <f aca="false">IF(F184=0,0,M184/F184)</f>
        <v>0.416666666666667</v>
      </c>
      <c r="T184" s="8" t="n">
        <f aca="false">S184+R184</f>
        <v>0.845238095238095</v>
      </c>
      <c r="U184" s="8" t="n">
        <f aca="false">S184-Q184</f>
        <v>0.0833333333333334</v>
      </c>
    </row>
    <row r="185" customFormat="false" ht="14.25" hidden="false" customHeight="true" outlineLevel="0" collapsed="false">
      <c r="A185" s="6" t="s">
        <v>486</v>
      </c>
      <c r="B185" s="6" t="s">
        <v>166</v>
      </c>
      <c r="C185" s="7" t="n">
        <v>1</v>
      </c>
      <c r="D185" s="7" t="s">
        <v>571</v>
      </c>
      <c r="E185" s="7" t="n">
        <v>5</v>
      </c>
      <c r="F185" s="7" t="n">
        <v>16</v>
      </c>
      <c r="G185" s="7" t="n">
        <v>1</v>
      </c>
      <c r="H185" s="7" t="n">
        <v>4</v>
      </c>
      <c r="I185" s="7" t="n">
        <v>1</v>
      </c>
      <c r="J185" s="7" t="n">
        <v>0</v>
      </c>
      <c r="K185" s="7" t="n">
        <v>0</v>
      </c>
      <c r="L185" s="7" t="n">
        <v>1</v>
      </c>
      <c r="M185" s="7" t="n">
        <v>5</v>
      </c>
      <c r="N185" s="7" t="n">
        <v>0</v>
      </c>
      <c r="O185" s="7" t="n">
        <v>0</v>
      </c>
      <c r="P185" s="7" t="n">
        <v>2</v>
      </c>
      <c r="Q185" s="8" t="n">
        <f aca="false">IF(F185=0,0,H185/F185)</f>
        <v>0.25</v>
      </c>
      <c r="R185" s="8" t="n">
        <f aca="false">IF(F185+O185=0,0,(H185+O185)/(F185+O185))</f>
        <v>0.25</v>
      </c>
      <c r="S185" s="8" t="n">
        <f aca="false">IF(F185=0,0,M185/F185)</f>
        <v>0.3125</v>
      </c>
      <c r="T185" s="8" t="n">
        <f aca="false">S185+R185</f>
        <v>0.5625</v>
      </c>
      <c r="U185" s="8" t="n">
        <f aca="false">S185-Q185</f>
        <v>0.0625</v>
      </c>
    </row>
    <row r="186" customFormat="false" ht="14.25" hidden="false" customHeight="true" outlineLevel="0" collapsed="false">
      <c r="A186" s="6" t="s">
        <v>411</v>
      </c>
      <c r="B186" s="6" t="s">
        <v>71</v>
      </c>
      <c r="C186" s="7" t="n">
        <v>1</v>
      </c>
      <c r="D186" s="7" t="s">
        <v>568</v>
      </c>
      <c r="E186" s="7" t="n">
        <v>6</v>
      </c>
      <c r="F186" s="7" t="n">
        <v>18</v>
      </c>
      <c r="G186" s="7" t="n">
        <v>3</v>
      </c>
      <c r="H186" s="7" t="n">
        <v>4</v>
      </c>
      <c r="I186" s="7" t="n">
        <v>2</v>
      </c>
      <c r="J186" s="7" t="n">
        <v>0</v>
      </c>
      <c r="K186" s="7" t="n">
        <v>0</v>
      </c>
      <c r="L186" s="7" t="n">
        <v>2</v>
      </c>
      <c r="M186" s="7" t="n">
        <v>6</v>
      </c>
      <c r="N186" s="7" t="n">
        <v>1</v>
      </c>
      <c r="O186" s="7" t="n">
        <v>1</v>
      </c>
      <c r="P186" s="7" t="n">
        <v>4</v>
      </c>
      <c r="Q186" s="8" t="n">
        <f aca="false">IF(F186=0,0,H186/F186)</f>
        <v>0.222222222222222</v>
      </c>
      <c r="R186" s="8" t="n">
        <f aca="false">IF(F186+O186=0,0,(H186+O186)/(F186+O186))</f>
        <v>0.263157894736842</v>
      </c>
      <c r="S186" s="8" t="n">
        <f aca="false">IF(F186=0,0,M186/F186)</f>
        <v>0.333333333333333</v>
      </c>
      <c r="T186" s="8" t="n">
        <f aca="false">S186+R186</f>
        <v>0.596491228070175</v>
      </c>
      <c r="U186" s="8" t="n">
        <f aca="false">S186-Q186</f>
        <v>0.111111111111111</v>
      </c>
    </row>
    <row r="187" customFormat="false" ht="14.25" hidden="false" customHeight="true" outlineLevel="0" collapsed="false">
      <c r="A187" s="6" t="s">
        <v>157</v>
      </c>
      <c r="B187" s="6" t="s">
        <v>147</v>
      </c>
      <c r="C187" s="7" t="n">
        <v>2</v>
      </c>
      <c r="D187" s="7" t="s">
        <v>562</v>
      </c>
      <c r="E187" s="7" t="n">
        <v>13</v>
      </c>
      <c r="F187" s="7" t="n">
        <v>28</v>
      </c>
      <c r="G187" s="7" t="n">
        <v>3</v>
      </c>
      <c r="H187" s="7" t="n">
        <v>6</v>
      </c>
      <c r="I187" s="7" t="n">
        <v>0</v>
      </c>
      <c r="J187" s="7" t="n">
        <v>0</v>
      </c>
      <c r="K187" s="7" t="n">
        <v>1</v>
      </c>
      <c r="L187" s="7" t="n">
        <v>1</v>
      </c>
      <c r="M187" s="7" t="n">
        <v>9</v>
      </c>
      <c r="N187" s="7" t="n">
        <v>7</v>
      </c>
      <c r="O187" s="7" t="n">
        <v>0</v>
      </c>
      <c r="P187" s="7" t="n">
        <v>0</v>
      </c>
      <c r="Q187" s="8" t="n">
        <f aca="false">IF(F187=0,0,H187/F187)</f>
        <v>0.214285714285714</v>
      </c>
      <c r="R187" s="8" t="n">
        <f aca="false">IF(F187+O187=0,0,(H187+O187)/(F187+O187))</f>
        <v>0.214285714285714</v>
      </c>
      <c r="S187" s="8" t="n">
        <f aca="false">IF(F187=0,0,M187/F187)</f>
        <v>0.321428571428571</v>
      </c>
      <c r="T187" s="8" t="n">
        <f aca="false">S187+R187</f>
        <v>0.535714285714286</v>
      </c>
      <c r="U187" s="8" t="n">
        <f aca="false">S187-Q187</f>
        <v>0.107142857142857</v>
      </c>
    </row>
    <row r="188" customFormat="false" ht="14.25" hidden="false" customHeight="true" outlineLevel="0" collapsed="false">
      <c r="A188" s="6" t="s">
        <v>224</v>
      </c>
      <c r="B188" s="6" t="s">
        <v>212</v>
      </c>
      <c r="C188" s="7" t="n">
        <v>4</v>
      </c>
      <c r="D188" s="7" t="s">
        <v>600</v>
      </c>
      <c r="E188" s="7" t="n">
        <v>18</v>
      </c>
      <c r="F188" s="7" t="n">
        <v>41</v>
      </c>
      <c r="G188" s="7" t="n">
        <v>3</v>
      </c>
      <c r="H188" s="7" t="n">
        <v>4</v>
      </c>
      <c r="I188" s="7" t="n">
        <v>0</v>
      </c>
      <c r="J188" s="7" t="n">
        <v>0</v>
      </c>
      <c r="K188" s="7" t="n">
        <v>0</v>
      </c>
      <c r="L188" s="7" t="n">
        <v>0</v>
      </c>
      <c r="M188" s="7" t="n">
        <v>4</v>
      </c>
      <c r="N188" s="7" t="n">
        <v>0</v>
      </c>
      <c r="O188" s="7" t="n">
        <v>6</v>
      </c>
      <c r="P188" s="7" t="n">
        <v>3</v>
      </c>
      <c r="Q188" s="8" t="n">
        <f aca="false">IF(F188=0,0,H188/F188)</f>
        <v>0.0975609756097561</v>
      </c>
      <c r="R188" s="8" t="n">
        <f aca="false">IF(F188+O188=0,0,(H188+O188)/(F188+O188))</f>
        <v>0.212765957446809</v>
      </c>
      <c r="S188" s="8" t="n">
        <f aca="false">IF(F188=0,0,M188/F188)</f>
        <v>0.0975609756097561</v>
      </c>
      <c r="T188" s="8" t="n">
        <f aca="false">S188+R188</f>
        <v>0.310326933056565</v>
      </c>
      <c r="U188" s="8" t="n">
        <f aca="false">S188-Q188</f>
        <v>0</v>
      </c>
    </row>
    <row r="189" customFormat="false" ht="14.25" hidden="false" customHeight="true" outlineLevel="0" collapsed="false">
      <c r="A189" s="6" t="s">
        <v>183</v>
      </c>
      <c r="B189" s="6" t="s">
        <v>166</v>
      </c>
      <c r="C189" s="7" t="n">
        <v>7</v>
      </c>
      <c r="D189" s="7" t="s">
        <v>578</v>
      </c>
      <c r="E189" s="7" t="n">
        <v>23</v>
      </c>
      <c r="F189" s="7" t="n">
        <v>44</v>
      </c>
      <c r="G189" s="7" t="n">
        <v>4</v>
      </c>
      <c r="H189" s="7" t="n">
        <v>4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4</v>
      </c>
      <c r="N189" s="7" t="n">
        <v>2</v>
      </c>
      <c r="O189" s="7" t="n">
        <v>6</v>
      </c>
      <c r="P189" s="7" t="n">
        <v>2</v>
      </c>
      <c r="Q189" s="8" t="n">
        <f aca="false">IF(F189=0,0,H189/F189)</f>
        <v>0.0909090909090909</v>
      </c>
      <c r="R189" s="8" t="n">
        <f aca="false">IF(F189+O189=0,0,(H189+O189)/(F189+O189))</f>
        <v>0.2</v>
      </c>
      <c r="S189" s="8" t="n">
        <f aca="false">IF(F189=0,0,M189/F189)</f>
        <v>0.0909090909090909</v>
      </c>
      <c r="T189" s="8" t="n">
        <f aca="false">S189+R189</f>
        <v>0.290909090909091</v>
      </c>
      <c r="U189" s="8" t="n">
        <f aca="false">S189-Q189</f>
        <v>0</v>
      </c>
    </row>
    <row r="190" customFormat="false" ht="14.25" hidden="false" customHeight="true" outlineLevel="0" collapsed="false">
      <c r="A190" s="6" t="s">
        <v>457</v>
      </c>
      <c r="B190" s="6" t="s">
        <v>608</v>
      </c>
      <c r="C190" s="7" t="n">
        <v>2</v>
      </c>
      <c r="D190" s="7" t="s">
        <v>554</v>
      </c>
      <c r="E190" s="7" t="n">
        <v>7</v>
      </c>
      <c r="F190" s="7" t="n">
        <v>19</v>
      </c>
      <c r="G190" s="7" t="n">
        <v>0</v>
      </c>
      <c r="H190" s="7" t="n">
        <v>4</v>
      </c>
      <c r="I190" s="7" t="n">
        <v>0</v>
      </c>
      <c r="J190" s="7" t="n">
        <v>0</v>
      </c>
      <c r="K190" s="7" t="n">
        <v>0</v>
      </c>
      <c r="L190" s="7" t="n">
        <v>0</v>
      </c>
      <c r="M190" s="7" t="n">
        <v>4</v>
      </c>
      <c r="N190" s="7" t="n">
        <v>1</v>
      </c>
      <c r="O190" s="7" t="n">
        <v>2</v>
      </c>
      <c r="P190" s="7" t="n">
        <v>3</v>
      </c>
      <c r="Q190" s="8" t="n">
        <f aca="false">IF(F190=0,0,H190/F190)</f>
        <v>0.210526315789474</v>
      </c>
      <c r="R190" s="8" t="n">
        <f aca="false">IF(F190+O190=0,0,(H190+O190)/(F190+O190))</f>
        <v>0.285714285714286</v>
      </c>
      <c r="S190" s="8" t="n">
        <f aca="false">IF(F190=0,0,M190/F190)</f>
        <v>0.210526315789474</v>
      </c>
      <c r="T190" s="8" t="n">
        <f aca="false">S190+R190</f>
        <v>0.496240601503759</v>
      </c>
      <c r="U190" s="8" t="n">
        <f aca="false">S190-Q190</f>
        <v>0</v>
      </c>
    </row>
    <row r="191" customFormat="false" ht="14.25" hidden="false" customHeight="true" outlineLevel="0" collapsed="false">
      <c r="A191" s="6" t="s">
        <v>84</v>
      </c>
      <c r="B191" s="6" t="s">
        <v>71</v>
      </c>
      <c r="C191" s="7" t="n">
        <v>1</v>
      </c>
      <c r="D191" s="7" t="s">
        <v>555</v>
      </c>
      <c r="E191" s="7" t="n">
        <v>2</v>
      </c>
      <c r="F191" s="7" t="n">
        <v>6</v>
      </c>
      <c r="G191" s="7" t="n">
        <v>2</v>
      </c>
      <c r="H191" s="7" t="n">
        <v>4</v>
      </c>
      <c r="I191" s="7" t="n">
        <v>2</v>
      </c>
      <c r="J191" s="7" t="n">
        <v>0</v>
      </c>
      <c r="K191" s="7" t="n">
        <v>0</v>
      </c>
      <c r="L191" s="7" t="n">
        <v>2</v>
      </c>
      <c r="M191" s="7" t="n">
        <v>6</v>
      </c>
      <c r="N191" s="7" t="n">
        <v>1</v>
      </c>
      <c r="O191" s="7" t="n">
        <v>1</v>
      </c>
      <c r="P191" s="7" t="n">
        <v>0</v>
      </c>
      <c r="Q191" s="8" t="n">
        <f aca="false">IF(F191=0,0,H191/F191)</f>
        <v>0.666666666666667</v>
      </c>
      <c r="R191" s="8" t="n">
        <f aca="false">IF(F191+O191=0,0,(H191+O191)/(F191+O191))</f>
        <v>0.714285714285714</v>
      </c>
      <c r="S191" s="8" t="n">
        <f aca="false">IF(F191=0,0,M191/F191)</f>
        <v>1</v>
      </c>
      <c r="T191" s="8" t="n">
        <f aca="false">S191+R191</f>
        <v>1.71428571428571</v>
      </c>
      <c r="U191" s="8" t="n">
        <f aca="false">S191-Q191</f>
        <v>0.333333333333333</v>
      </c>
    </row>
    <row r="192" customFormat="false" ht="14.25" hidden="false" customHeight="true" outlineLevel="0" collapsed="false">
      <c r="A192" s="6" t="s">
        <v>396</v>
      </c>
      <c r="B192" s="6" t="s">
        <v>166</v>
      </c>
      <c r="C192" s="7" t="n">
        <v>1</v>
      </c>
      <c r="D192" s="7" t="s">
        <v>601</v>
      </c>
      <c r="E192" s="7" t="n">
        <v>1</v>
      </c>
      <c r="F192" s="7" t="n">
        <v>4</v>
      </c>
      <c r="G192" s="7" t="n">
        <v>2</v>
      </c>
      <c r="H192" s="7" t="n">
        <v>3</v>
      </c>
      <c r="I192" s="7" t="n">
        <v>0</v>
      </c>
      <c r="J192" s="7" t="n">
        <v>0</v>
      </c>
      <c r="K192" s="7" t="n">
        <v>0</v>
      </c>
      <c r="L192" s="7" t="n">
        <v>0</v>
      </c>
      <c r="M192" s="7" t="n">
        <v>3</v>
      </c>
      <c r="N192" s="7" t="n">
        <v>1</v>
      </c>
      <c r="O192" s="7" t="n">
        <v>0</v>
      </c>
      <c r="P192" s="7" t="n">
        <v>0</v>
      </c>
      <c r="Q192" s="8" t="n">
        <f aca="false">IF(F192=0,0,H192/F192)</f>
        <v>0.75</v>
      </c>
      <c r="R192" s="8" t="n">
        <f aca="false">IF(F192+O192=0,0,(H192+O192)/(F192+O192))</f>
        <v>0.75</v>
      </c>
      <c r="S192" s="8" t="n">
        <f aca="false">IF(F192=0,0,M192/F192)</f>
        <v>0.75</v>
      </c>
      <c r="T192" s="8" t="n">
        <f aca="false">S192+R192</f>
        <v>1.5</v>
      </c>
      <c r="U192" s="8" t="n">
        <f aca="false">S192-Q192</f>
        <v>0</v>
      </c>
    </row>
    <row r="193" customFormat="false" ht="14.25" hidden="false" customHeight="true" outlineLevel="0" collapsed="false">
      <c r="A193" s="6" t="s">
        <v>328</v>
      </c>
      <c r="B193" s="6" t="s">
        <v>97</v>
      </c>
      <c r="C193" s="7" t="n">
        <v>1</v>
      </c>
      <c r="D193" s="7" t="s">
        <v>570</v>
      </c>
      <c r="E193" s="7" t="n">
        <v>5</v>
      </c>
      <c r="F193" s="7" t="n">
        <v>7</v>
      </c>
      <c r="G193" s="7" t="n">
        <v>0</v>
      </c>
      <c r="H193" s="7" t="n">
        <v>3</v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3</v>
      </c>
      <c r="N193" s="7" t="n">
        <v>0</v>
      </c>
      <c r="O193" s="7" t="n">
        <v>0</v>
      </c>
      <c r="P193" s="7" t="n">
        <v>0</v>
      </c>
      <c r="Q193" s="8" t="n">
        <f aca="false">IF(F193=0,0,H193/F193)</f>
        <v>0.428571428571429</v>
      </c>
      <c r="R193" s="8" t="n">
        <f aca="false">IF(F193+O193=0,0,(H193+O193)/(F193+O193))</f>
        <v>0.428571428571429</v>
      </c>
      <c r="S193" s="8" t="n">
        <f aca="false">IF(F193=0,0,M193/F193)</f>
        <v>0.428571428571429</v>
      </c>
      <c r="T193" s="8" t="n">
        <f aca="false">S193+R193</f>
        <v>0.857142857142857</v>
      </c>
      <c r="U193" s="8" t="n">
        <f aca="false">S193-Q193</f>
        <v>0</v>
      </c>
    </row>
    <row r="194" customFormat="false" ht="14.25" hidden="false" customHeight="true" outlineLevel="0" collapsed="false">
      <c r="A194" s="6" t="s">
        <v>307</v>
      </c>
      <c r="B194" s="6" t="s">
        <v>192</v>
      </c>
      <c r="C194" s="7" t="n">
        <v>2</v>
      </c>
      <c r="D194" s="7" t="s">
        <v>609</v>
      </c>
      <c r="E194" s="7" t="n">
        <v>2</v>
      </c>
      <c r="F194" s="7" t="n">
        <v>8</v>
      </c>
      <c r="G194" s="7" t="n">
        <v>2</v>
      </c>
      <c r="H194" s="7" t="n">
        <v>3</v>
      </c>
      <c r="I194" s="7" t="n">
        <v>0</v>
      </c>
      <c r="J194" s="7" t="n">
        <v>0</v>
      </c>
      <c r="K194" s="7" t="n">
        <v>0</v>
      </c>
      <c r="L194" s="7" t="n">
        <v>0</v>
      </c>
      <c r="M194" s="7" t="n">
        <v>3</v>
      </c>
      <c r="N194" s="7" t="n">
        <v>1</v>
      </c>
      <c r="O194" s="7" t="n">
        <v>1</v>
      </c>
      <c r="P194" s="7" t="n">
        <v>0</v>
      </c>
      <c r="Q194" s="8" t="n">
        <f aca="false">IF(F194=0,0,H194/F194)</f>
        <v>0.375</v>
      </c>
      <c r="R194" s="8" t="n">
        <f aca="false">IF(F194+O194=0,0,(H194+O194)/(F194+O194))</f>
        <v>0.444444444444444</v>
      </c>
      <c r="S194" s="8" t="n">
        <f aca="false">IF(F194=0,0,M194/F194)</f>
        <v>0.375</v>
      </c>
      <c r="T194" s="8" t="n">
        <f aca="false">S194+R194</f>
        <v>0.819444444444444</v>
      </c>
      <c r="U194" s="8" t="n">
        <f aca="false">S194-Q194</f>
        <v>0</v>
      </c>
    </row>
    <row r="195" customFormat="false" ht="14.25" hidden="false" customHeight="true" outlineLevel="0" collapsed="false">
      <c r="A195" s="6" t="s">
        <v>270</v>
      </c>
      <c r="B195" s="6" t="s">
        <v>121</v>
      </c>
      <c r="C195" s="7" t="n">
        <v>5</v>
      </c>
      <c r="D195" s="7" t="s">
        <v>610</v>
      </c>
      <c r="E195" s="7" t="n">
        <v>8</v>
      </c>
      <c r="F195" s="7" t="n">
        <v>11</v>
      </c>
      <c r="G195" s="7" t="n">
        <v>2</v>
      </c>
      <c r="H195" s="7" t="n">
        <v>3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3</v>
      </c>
      <c r="N195" s="7" t="n">
        <v>2</v>
      </c>
      <c r="O195" s="7" t="n">
        <v>1</v>
      </c>
      <c r="P195" s="7" t="n">
        <v>0</v>
      </c>
      <c r="Q195" s="8" t="n">
        <f aca="false">IF(F195=0,0,H195/F195)</f>
        <v>0.272727272727273</v>
      </c>
      <c r="R195" s="8" t="n">
        <f aca="false">IF(F195+O195=0,0,(H195+O195)/(F195+O195))</f>
        <v>0.333333333333333</v>
      </c>
      <c r="S195" s="8" t="n">
        <f aca="false">IF(F195=0,0,M195/F195)</f>
        <v>0.272727272727273</v>
      </c>
      <c r="T195" s="8" t="n">
        <f aca="false">S195+R195</f>
        <v>0.606060606060606</v>
      </c>
      <c r="U195" s="8" t="n">
        <f aca="false">S195-Q195</f>
        <v>0</v>
      </c>
    </row>
    <row r="196" customFormat="false" ht="14.25" hidden="false" customHeight="true" outlineLevel="0" collapsed="false">
      <c r="A196" s="6" t="s">
        <v>327</v>
      </c>
      <c r="B196" s="6" t="s">
        <v>97</v>
      </c>
      <c r="C196" s="7" t="n">
        <v>1</v>
      </c>
      <c r="D196" s="7" t="s">
        <v>570</v>
      </c>
      <c r="E196" s="7" t="n">
        <v>3</v>
      </c>
      <c r="F196" s="7" t="n">
        <v>9</v>
      </c>
      <c r="G196" s="7" t="n">
        <v>0</v>
      </c>
      <c r="H196" s="7" t="n">
        <v>3</v>
      </c>
      <c r="I196" s="7" t="n">
        <v>2</v>
      </c>
      <c r="J196" s="7" t="n">
        <v>0</v>
      </c>
      <c r="K196" s="7" t="n">
        <v>0</v>
      </c>
      <c r="L196" s="7" t="n">
        <v>2</v>
      </c>
      <c r="M196" s="7" t="n">
        <v>5</v>
      </c>
      <c r="N196" s="7" t="n">
        <v>2</v>
      </c>
      <c r="O196" s="7" t="n">
        <v>1</v>
      </c>
      <c r="P196" s="7" t="n">
        <v>0</v>
      </c>
      <c r="Q196" s="8" t="n">
        <f aca="false">IF(F196=0,0,H196/F196)</f>
        <v>0.333333333333333</v>
      </c>
      <c r="R196" s="8" t="n">
        <f aca="false">IF(F196+O196=0,0,(H196+O196)/(F196+O196))</f>
        <v>0.4</v>
      </c>
      <c r="S196" s="8" t="n">
        <f aca="false">IF(F196=0,0,M196/F196)</f>
        <v>0.555555555555556</v>
      </c>
      <c r="T196" s="8" t="n">
        <f aca="false">S196+R196</f>
        <v>0.955555555555556</v>
      </c>
      <c r="U196" s="8" t="n">
        <f aca="false">S196-Q196</f>
        <v>0.222222222222222</v>
      </c>
    </row>
    <row r="197" customFormat="false" ht="14.25" hidden="false" customHeight="true" outlineLevel="0" collapsed="false">
      <c r="A197" s="6" t="s">
        <v>501</v>
      </c>
      <c r="B197" s="6" t="s">
        <v>212</v>
      </c>
      <c r="C197" s="7" t="n">
        <v>2</v>
      </c>
      <c r="D197" s="7" t="s">
        <v>554</v>
      </c>
      <c r="E197" s="7" t="n">
        <v>3</v>
      </c>
      <c r="F197" s="7" t="n">
        <v>8</v>
      </c>
      <c r="G197" s="7" t="n">
        <v>2</v>
      </c>
      <c r="H197" s="7" t="n">
        <v>3</v>
      </c>
      <c r="I197" s="7" t="n">
        <v>1</v>
      </c>
      <c r="J197" s="7" t="n">
        <v>0</v>
      </c>
      <c r="K197" s="7" t="n">
        <v>0</v>
      </c>
      <c r="L197" s="7" t="n">
        <v>1</v>
      </c>
      <c r="M197" s="7" t="n">
        <v>4</v>
      </c>
      <c r="N197" s="7" t="n">
        <v>0</v>
      </c>
      <c r="O197" s="7" t="n">
        <v>1</v>
      </c>
      <c r="P197" s="7" t="n">
        <v>0</v>
      </c>
      <c r="Q197" s="8" t="n">
        <f aca="false">IF(F197=0,0,H197/F197)</f>
        <v>0.375</v>
      </c>
      <c r="R197" s="8" t="n">
        <f aca="false">IF(F197+O197=0,0,(H197+O197)/(F197+O197))</f>
        <v>0.444444444444444</v>
      </c>
      <c r="S197" s="8" t="n">
        <f aca="false">IF(F197=0,0,M197/F197)</f>
        <v>0.5</v>
      </c>
      <c r="T197" s="8" t="n">
        <f aca="false">S197+R197</f>
        <v>0.944444444444444</v>
      </c>
      <c r="U197" s="8" t="n">
        <f aca="false">S197-Q197</f>
        <v>0.125</v>
      </c>
    </row>
    <row r="198" customFormat="false" ht="14.25" hidden="false" customHeight="true" outlineLevel="0" collapsed="false">
      <c r="A198" s="6" t="s">
        <v>330</v>
      </c>
      <c r="B198" s="6" t="s">
        <v>147</v>
      </c>
      <c r="C198" s="7" t="n">
        <v>2</v>
      </c>
      <c r="D198" s="7" t="s">
        <v>574</v>
      </c>
      <c r="E198" s="7" t="n">
        <v>4</v>
      </c>
      <c r="F198" s="7" t="n">
        <v>11</v>
      </c>
      <c r="G198" s="7" t="n">
        <v>1</v>
      </c>
      <c r="H198" s="7" t="n">
        <v>3</v>
      </c>
      <c r="I198" s="7" t="n">
        <v>0</v>
      </c>
      <c r="J198" s="7" t="n">
        <v>0</v>
      </c>
      <c r="K198" s="7" t="n">
        <v>0</v>
      </c>
      <c r="L198" s="7" t="n">
        <v>0</v>
      </c>
      <c r="M198" s="7" t="n">
        <v>3</v>
      </c>
      <c r="N198" s="7" t="n">
        <v>4</v>
      </c>
      <c r="O198" s="7" t="n">
        <v>0</v>
      </c>
      <c r="P198" s="7" t="n">
        <v>1</v>
      </c>
      <c r="Q198" s="8" t="n">
        <f aca="false">IF(F198=0,0,H198/F198)</f>
        <v>0.272727272727273</v>
      </c>
      <c r="R198" s="8" t="n">
        <f aca="false">IF(F198+O198=0,0,(H198+O198)/(F198+O198))</f>
        <v>0.272727272727273</v>
      </c>
      <c r="S198" s="8" t="n">
        <f aca="false">IF(F198=0,0,M198/F198)</f>
        <v>0.272727272727273</v>
      </c>
      <c r="T198" s="8" t="n">
        <f aca="false">S198+R198</f>
        <v>0.545454545454545</v>
      </c>
      <c r="U198" s="8" t="n">
        <f aca="false">S198-Q198</f>
        <v>0</v>
      </c>
    </row>
    <row r="199" customFormat="false" ht="14.25" hidden="false" customHeight="true" outlineLevel="0" collapsed="false">
      <c r="A199" s="6" t="s">
        <v>266</v>
      </c>
      <c r="B199" s="6" t="s">
        <v>121</v>
      </c>
      <c r="C199" s="7" t="n">
        <v>1</v>
      </c>
      <c r="D199" s="7" t="s">
        <v>607</v>
      </c>
      <c r="E199" s="7" t="n">
        <v>4</v>
      </c>
      <c r="F199" s="7" t="n">
        <v>10</v>
      </c>
      <c r="G199" s="7" t="n">
        <v>1</v>
      </c>
      <c r="H199" s="7" t="n">
        <v>3</v>
      </c>
      <c r="I199" s="7" t="n">
        <v>0</v>
      </c>
      <c r="J199" s="7" t="n">
        <v>0</v>
      </c>
      <c r="K199" s="7" t="n">
        <v>0</v>
      </c>
      <c r="L199" s="7" t="n">
        <v>0</v>
      </c>
      <c r="M199" s="7" t="n">
        <v>3</v>
      </c>
      <c r="N199" s="7" t="n">
        <v>2</v>
      </c>
      <c r="O199" s="7" t="n">
        <v>0</v>
      </c>
      <c r="P199" s="7" t="n">
        <v>0</v>
      </c>
      <c r="Q199" s="8" t="n">
        <f aca="false">IF(F199=0,0,H199/F199)</f>
        <v>0.3</v>
      </c>
      <c r="R199" s="8" t="n">
        <f aca="false">IF(F199+O199=0,0,(H199+O199)/(F199+O199))</f>
        <v>0.3</v>
      </c>
      <c r="S199" s="8" t="n">
        <f aca="false">IF(F199=0,0,M199/F199)</f>
        <v>0.3</v>
      </c>
      <c r="T199" s="8" t="n">
        <f aca="false">S199+R199</f>
        <v>0.6</v>
      </c>
      <c r="U199" s="8" t="n">
        <f aca="false">S199-Q199</f>
        <v>0</v>
      </c>
    </row>
    <row r="200" customFormat="false" ht="14.25" hidden="false" customHeight="true" outlineLevel="0" collapsed="false">
      <c r="A200" s="6" t="s">
        <v>452</v>
      </c>
      <c r="B200" s="6" t="s">
        <v>212</v>
      </c>
      <c r="C200" s="7" t="n">
        <v>1</v>
      </c>
      <c r="D200" s="7" t="s">
        <v>568</v>
      </c>
      <c r="E200" s="7" t="n">
        <v>5</v>
      </c>
      <c r="F200" s="7" t="n">
        <v>14</v>
      </c>
      <c r="G200" s="7" t="n">
        <v>1</v>
      </c>
      <c r="H200" s="7" t="n">
        <v>3</v>
      </c>
      <c r="I200" s="7" t="n">
        <v>1</v>
      </c>
      <c r="J200" s="7" t="n">
        <v>0</v>
      </c>
      <c r="K200" s="7" t="n">
        <v>0</v>
      </c>
      <c r="L200" s="7" t="n">
        <v>1</v>
      </c>
      <c r="M200" s="7" t="n">
        <v>4</v>
      </c>
      <c r="N200" s="7" t="n">
        <v>0</v>
      </c>
      <c r="O200" s="7" t="n">
        <v>0</v>
      </c>
      <c r="P200" s="7" t="n">
        <v>5</v>
      </c>
      <c r="Q200" s="8" t="n">
        <f aca="false">IF(F200=0,0,H200/F200)</f>
        <v>0.214285714285714</v>
      </c>
      <c r="R200" s="8" t="n">
        <f aca="false">IF(F200+O200=0,0,(H200+O200)/(F200+O200))</f>
        <v>0.214285714285714</v>
      </c>
      <c r="S200" s="8" t="n">
        <f aca="false">IF(F200=0,0,M200/F200)</f>
        <v>0.285714285714286</v>
      </c>
      <c r="T200" s="8" t="n">
        <f aca="false">S200+R200</f>
        <v>0.5</v>
      </c>
      <c r="U200" s="8" t="n">
        <f aca="false">S200-Q200</f>
        <v>0.0714285714285714</v>
      </c>
    </row>
    <row r="201" customFormat="false" ht="14.25" hidden="false" customHeight="true" outlineLevel="0" collapsed="false">
      <c r="A201" s="6" t="s">
        <v>525</v>
      </c>
      <c r="B201" s="6" t="s">
        <v>212</v>
      </c>
      <c r="C201" s="7" t="n">
        <v>2</v>
      </c>
      <c r="D201" s="9" t="s">
        <v>611</v>
      </c>
      <c r="E201" s="7" t="n">
        <v>13</v>
      </c>
      <c r="F201" s="7" t="n">
        <v>25</v>
      </c>
      <c r="G201" s="7" t="n">
        <v>2</v>
      </c>
      <c r="H201" s="7" t="n">
        <v>5</v>
      </c>
      <c r="I201" s="7" t="n">
        <v>0</v>
      </c>
      <c r="J201" s="7" t="n">
        <v>0</v>
      </c>
      <c r="K201" s="7" t="n">
        <v>0</v>
      </c>
      <c r="L201" s="7" t="n">
        <v>0</v>
      </c>
      <c r="M201" s="7" t="n">
        <v>5</v>
      </c>
      <c r="N201" s="7" t="n">
        <v>3</v>
      </c>
      <c r="O201" s="7" t="n">
        <v>1</v>
      </c>
      <c r="P201" s="7" t="n">
        <v>2</v>
      </c>
      <c r="Q201" s="8" t="n">
        <f aca="false">IF(F201=0,0,H201/F201)</f>
        <v>0.2</v>
      </c>
      <c r="R201" s="8" t="n">
        <f aca="false">IF(F201+O201=0,0,(H201+O201)/(F201+O201))</f>
        <v>0.230769230769231</v>
      </c>
      <c r="S201" s="8" t="n">
        <f aca="false">IF(F201=0,0,M201/F201)</f>
        <v>0.2</v>
      </c>
      <c r="T201" s="8" t="n">
        <f aca="false">S201+R201</f>
        <v>0.430769230769231</v>
      </c>
      <c r="U201" s="8" t="n">
        <f aca="false">S201-Q201</f>
        <v>0</v>
      </c>
    </row>
    <row r="202" customFormat="false" ht="14.25" hidden="false" customHeight="true" outlineLevel="0" collapsed="false">
      <c r="A202" s="6" t="s">
        <v>477</v>
      </c>
      <c r="B202" s="6" t="s">
        <v>121</v>
      </c>
      <c r="C202" s="7" t="n">
        <v>2</v>
      </c>
      <c r="D202" s="7" t="s">
        <v>554</v>
      </c>
      <c r="E202" s="7" t="n">
        <v>5</v>
      </c>
      <c r="F202" s="7" t="n">
        <v>15</v>
      </c>
      <c r="G202" s="7" t="n">
        <v>0</v>
      </c>
      <c r="H202" s="7" t="n">
        <v>3</v>
      </c>
      <c r="I202" s="7" t="n">
        <v>0</v>
      </c>
      <c r="J202" s="7" t="n">
        <v>0</v>
      </c>
      <c r="K202" s="7" t="n">
        <v>0</v>
      </c>
      <c r="L202" s="7" t="n">
        <v>0</v>
      </c>
      <c r="M202" s="7" t="n">
        <v>3</v>
      </c>
      <c r="N202" s="7" t="n">
        <v>3</v>
      </c>
      <c r="O202" s="7" t="n">
        <v>0</v>
      </c>
      <c r="P202" s="7" t="n">
        <v>1</v>
      </c>
      <c r="Q202" s="8" t="n">
        <f aca="false">IF(F202=0,0,H202/F202)</f>
        <v>0.2</v>
      </c>
      <c r="R202" s="8" t="n">
        <f aca="false">IF(F202+O202=0,0,(H202+O202)/(F202+O202))</f>
        <v>0.2</v>
      </c>
      <c r="S202" s="8" t="n">
        <f aca="false">IF(F202=0,0,M202/F202)</f>
        <v>0.2</v>
      </c>
      <c r="T202" s="8" t="n">
        <f aca="false">S202+R202</f>
        <v>0.4</v>
      </c>
      <c r="U202" s="8" t="n">
        <f aca="false">S202-Q202</f>
        <v>0</v>
      </c>
    </row>
    <row r="203" customFormat="false" ht="14.25" hidden="false" customHeight="true" outlineLevel="0" collapsed="false">
      <c r="A203" s="6" t="s">
        <v>298</v>
      </c>
      <c r="B203" s="6" t="s">
        <v>121</v>
      </c>
      <c r="C203" s="7" t="n">
        <v>2</v>
      </c>
      <c r="D203" s="7" t="s">
        <v>612</v>
      </c>
      <c r="E203" s="7" t="n">
        <v>9</v>
      </c>
      <c r="F203" s="7" t="n">
        <v>19</v>
      </c>
      <c r="G203" s="7" t="n">
        <v>2</v>
      </c>
      <c r="H203" s="7" t="n">
        <v>3</v>
      </c>
      <c r="I203" s="7" t="n">
        <v>0</v>
      </c>
      <c r="J203" s="7" t="n">
        <v>0</v>
      </c>
      <c r="K203" s="7" t="n">
        <v>0</v>
      </c>
      <c r="L203" s="7" t="n">
        <v>0</v>
      </c>
      <c r="M203" s="7" t="n">
        <v>3</v>
      </c>
      <c r="N203" s="7" t="n">
        <v>0</v>
      </c>
      <c r="O203" s="7" t="n">
        <v>0</v>
      </c>
      <c r="P203" s="7" t="n">
        <v>0</v>
      </c>
      <c r="Q203" s="8" t="n">
        <f aca="false">IF(F203=0,0,H203/F203)</f>
        <v>0.157894736842105</v>
      </c>
      <c r="R203" s="8" t="n">
        <f aca="false">IF(F203+O203=0,0,(H203+O203)/(F203+O203))</f>
        <v>0.157894736842105</v>
      </c>
      <c r="S203" s="8" t="n">
        <f aca="false">IF(F203=0,0,M203/F203)</f>
        <v>0.157894736842105</v>
      </c>
      <c r="T203" s="8" t="n">
        <f aca="false">S203+R203</f>
        <v>0.315789473684211</v>
      </c>
      <c r="U203" s="8" t="n">
        <f aca="false">S203-Q203</f>
        <v>0</v>
      </c>
    </row>
    <row r="204" customFormat="false" ht="14.25" hidden="false" customHeight="true" outlineLevel="0" collapsed="false">
      <c r="A204" s="6" t="s">
        <v>89</v>
      </c>
      <c r="B204" s="6" t="s">
        <v>71</v>
      </c>
      <c r="C204" s="7" t="n">
        <v>4</v>
      </c>
      <c r="D204" s="7" t="s">
        <v>558</v>
      </c>
      <c r="E204" s="7" t="n">
        <v>9</v>
      </c>
      <c r="F204" s="7" t="n">
        <v>21</v>
      </c>
      <c r="G204" s="7" t="n">
        <v>4</v>
      </c>
      <c r="H204" s="7" t="n">
        <v>3</v>
      </c>
      <c r="I204" s="7" t="n">
        <v>0</v>
      </c>
      <c r="J204" s="7" t="n">
        <v>0</v>
      </c>
      <c r="K204" s="7" t="n">
        <v>0</v>
      </c>
      <c r="L204" s="7" t="n">
        <v>0</v>
      </c>
      <c r="M204" s="7" t="n">
        <v>3</v>
      </c>
      <c r="N204" s="7" t="n">
        <v>2</v>
      </c>
      <c r="O204" s="7" t="n">
        <v>3</v>
      </c>
      <c r="P204" s="7" t="n">
        <v>1</v>
      </c>
      <c r="Q204" s="8" t="n">
        <f aca="false">IF(F204=0,0,H204/F204)</f>
        <v>0.142857142857143</v>
      </c>
      <c r="R204" s="8" t="n">
        <f aca="false">IF(F204+O204=0,0,(H204+O204)/(F204+O204))</f>
        <v>0.25</v>
      </c>
      <c r="S204" s="8" t="n">
        <f aca="false">IF(F204=0,0,M204/F204)</f>
        <v>0.142857142857143</v>
      </c>
      <c r="T204" s="8" t="n">
        <f aca="false">S204+R204</f>
        <v>0.392857142857143</v>
      </c>
      <c r="U204" s="8" t="n">
        <f aca="false">S204-Q204</f>
        <v>0</v>
      </c>
    </row>
    <row r="205" customFormat="false" ht="14.25" hidden="false" customHeight="true" outlineLevel="0" collapsed="false">
      <c r="A205" s="6" t="s">
        <v>362</v>
      </c>
      <c r="B205" s="6" t="s">
        <v>212</v>
      </c>
      <c r="C205" s="7" t="n">
        <v>4</v>
      </c>
      <c r="D205" s="7" t="s">
        <v>544</v>
      </c>
      <c r="E205" s="7" t="n">
        <v>10</v>
      </c>
      <c r="F205" s="7" t="n">
        <v>23</v>
      </c>
      <c r="G205" s="7" t="n">
        <v>0</v>
      </c>
      <c r="H205" s="7" t="n">
        <v>3</v>
      </c>
      <c r="I205" s="7" t="n">
        <v>0</v>
      </c>
      <c r="J205" s="7" t="n">
        <v>0</v>
      </c>
      <c r="K205" s="7" t="n">
        <v>0</v>
      </c>
      <c r="L205" s="7" t="n">
        <v>0</v>
      </c>
      <c r="M205" s="7" t="n">
        <v>3</v>
      </c>
      <c r="N205" s="7" t="n">
        <v>0</v>
      </c>
      <c r="O205" s="7" t="n">
        <v>0</v>
      </c>
      <c r="P205" s="7" t="n">
        <v>2</v>
      </c>
      <c r="Q205" s="8" t="n">
        <f aca="false">IF(F205=0,0,H205/F205)</f>
        <v>0.130434782608696</v>
      </c>
      <c r="R205" s="8" t="n">
        <f aca="false">IF(F205+O205=0,0,(H205+O205)/(F205+O205))</f>
        <v>0.130434782608696</v>
      </c>
      <c r="S205" s="8" t="n">
        <f aca="false">IF(F205=0,0,M205/F205)</f>
        <v>0.130434782608696</v>
      </c>
      <c r="T205" s="8" t="n">
        <f aca="false">S205+R205</f>
        <v>0.260869565217391</v>
      </c>
      <c r="U205" s="8" t="n">
        <f aca="false">S205-Q205</f>
        <v>0</v>
      </c>
    </row>
    <row r="206" customFormat="false" ht="14.25" hidden="false" customHeight="true" outlineLevel="0" collapsed="false">
      <c r="A206" s="6" t="s">
        <v>159</v>
      </c>
      <c r="B206" s="6" t="s">
        <v>147</v>
      </c>
      <c r="C206" s="7" t="n">
        <v>3</v>
      </c>
      <c r="D206" s="7" t="s">
        <v>552</v>
      </c>
      <c r="E206" s="7" t="n">
        <v>14</v>
      </c>
      <c r="F206" s="7" t="n">
        <v>36</v>
      </c>
      <c r="G206" s="7" t="n">
        <v>1</v>
      </c>
      <c r="H206" s="7" t="n">
        <v>4</v>
      </c>
      <c r="I206" s="7" t="n">
        <v>1</v>
      </c>
      <c r="J206" s="7" t="n">
        <v>0</v>
      </c>
      <c r="K206" s="7" t="n">
        <v>0</v>
      </c>
      <c r="L206" s="7" t="n">
        <v>1</v>
      </c>
      <c r="M206" s="7" t="n">
        <v>5</v>
      </c>
      <c r="N206" s="7" t="n">
        <v>2</v>
      </c>
      <c r="O206" s="7" t="n">
        <v>0</v>
      </c>
      <c r="P206" s="7" t="n">
        <v>0</v>
      </c>
      <c r="Q206" s="8" t="n">
        <f aca="false">IF(F206=0,0,H206/F206)</f>
        <v>0.111111111111111</v>
      </c>
      <c r="R206" s="8" t="n">
        <f aca="false">IF(F206+O206=0,0,(H206+O206)/(F206+O206))</f>
        <v>0.111111111111111</v>
      </c>
      <c r="S206" s="8" t="n">
        <f aca="false">IF(F206=0,0,M206/F206)</f>
        <v>0.138888888888889</v>
      </c>
      <c r="T206" s="8" t="n">
        <f aca="false">S206+R206</f>
        <v>0.25</v>
      </c>
      <c r="U206" s="8" t="n">
        <f aca="false">S206-Q206</f>
        <v>0.0277777777777778</v>
      </c>
    </row>
    <row r="207" customFormat="false" ht="14.25" hidden="false" customHeight="true" outlineLevel="0" collapsed="false">
      <c r="A207" s="6" t="s">
        <v>395</v>
      </c>
      <c r="B207" s="6" t="s">
        <v>147</v>
      </c>
      <c r="C207" s="7" t="n">
        <v>3</v>
      </c>
      <c r="D207" s="7" t="s">
        <v>584</v>
      </c>
      <c r="E207" s="7" t="n">
        <v>13</v>
      </c>
      <c r="F207" s="7" t="n">
        <v>30</v>
      </c>
      <c r="G207" s="7" t="n">
        <v>4</v>
      </c>
      <c r="H207" s="7" t="n">
        <v>3</v>
      </c>
      <c r="I207" s="7" t="n">
        <v>0</v>
      </c>
      <c r="J207" s="7" t="n">
        <v>0</v>
      </c>
      <c r="K207" s="7" t="n">
        <v>0</v>
      </c>
      <c r="L207" s="7" t="n">
        <v>0</v>
      </c>
      <c r="M207" s="7" t="n">
        <v>3</v>
      </c>
      <c r="N207" s="7" t="n">
        <v>2</v>
      </c>
      <c r="O207" s="7" t="n">
        <v>7</v>
      </c>
      <c r="P207" s="7" t="n">
        <v>2</v>
      </c>
      <c r="Q207" s="8" t="n">
        <f aca="false">IF(F207=0,0,H207/F207)</f>
        <v>0.1</v>
      </c>
      <c r="R207" s="8" t="n">
        <f aca="false">IF(F207+O207=0,0,(H207+O207)/(F207+O207))</f>
        <v>0.27027027027027</v>
      </c>
      <c r="S207" s="8" t="n">
        <f aca="false">IF(F207=0,0,M207/F207)</f>
        <v>0.1</v>
      </c>
      <c r="T207" s="8" t="n">
        <f aca="false">S207+R207</f>
        <v>0.37027027027027</v>
      </c>
      <c r="U207" s="8" t="n">
        <f aca="false">S207-Q207</f>
        <v>0</v>
      </c>
    </row>
    <row r="208" customFormat="false" ht="14.25" hidden="false" customHeight="true" outlineLevel="0" collapsed="false">
      <c r="A208" s="6" t="s">
        <v>524</v>
      </c>
      <c r="B208" s="6" t="s">
        <v>212</v>
      </c>
      <c r="C208" s="7" t="n">
        <v>1</v>
      </c>
      <c r="D208" s="7" t="s">
        <v>573</v>
      </c>
      <c r="E208" s="7" t="n">
        <v>3</v>
      </c>
      <c r="F208" s="7" t="n">
        <v>8</v>
      </c>
      <c r="G208" s="7" t="n">
        <v>2</v>
      </c>
      <c r="H208" s="7" t="n">
        <v>3</v>
      </c>
      <c r="I208" s="7" t="n">
        <v>0</v>
      </c>
      <c r="J208" s="7" t="n">
        <v>0</v>
      </c>
      <c r="K208" s="7" t="n">
        <v>0</v>
      </c>
      <c r="L208" s="7" t="n">
        <v>0</v>
      </c>
      <c r="M208" s="7" t="n">
        <v>3</v>
      </c>
      <c r="N208" s="7" t="n">
        <v>0</v>
      </c>
      <c r="O208" s="7" t="n">
        <v>0</v>
      </c>
      <c r="P208" s="7" t="n">
        <v>1</v>
      </c>
      <c r="Q208" s="8" t="n">
        <f aca="false">IF(F208=0,0,H208/F208)</f>
        <v>0.375</v>
      </c>
      <c r="R208" s="8" t="n">
        <f aca="false">IF(F208+O208=0,0,(H208+O208)/(F208+O208))</f>
        <v>0.375</v>
      </c>
      <c r="S208" s="8" t="n">
        <f aca="false">IF(F208=0,0,M208/F208)</f>
        <v>0.375</v>
      </c>
      <c r="T208" s="8" t="n">
        <f aca="false">S208+R208</f>
        <v>0.75</v>
      </c>
      <c r="U208" s="8" t="n">
        <f aca="false">S208-Q208</f>
        <v>0</v>
      </c>
    </row>
    <row r="209" customFormat="false" ht="14.25" hidden="false" customHeight="true" outlineLevel="0" collapsed="false">
      <c r="A209" s="6" t="s">
        <v>420</v>
      </c>
      <c r="B209" s="6" t="s">
        <v>97</v>
      </c>
      <c r="C209" s="7" t="n">
        <v>1</v>
      </c>
      <c r="D209" s="7" t="s">
        <v>568</v>
      </c>
      <c r="E209" s="7" t="n">
        <v>1</v>
      </c>
      <c r="F209" s="7" t="n">
        <v>3</v>
      </c>
      <c r="G209" s="7" t="n">
        <v>0</v>
      </c>
      <c r="H209" s="7" t="n">
        <v>2</v>
      </c>
      <c r="I209" s="7" t="n">
        <v>0</v>
      </c>
      <c r="J209" s="7" t="n">
        <v>0</v>
      </c>
      <c r="K209" s="7" t="n">
        <v>0</v>
      </c>
      <c r="L209" s="7" t="n">
        <v>0</v>
      </c>
      <c r="M209" s="7" t="n">
        <v>2</v>
      </c>
      <c r="N209" s="7" t="n">
        <v>0</v>
      </c>
      <c r="O209" s="7" t="n">
        <v>0</v>
      </c>
      <c r="P209" s="7" t="n">
        <v>0</v>
      </c>
      <c r="Q209" s="8" t="n">
        <f aca="false">IF(F209=0,0,H209/F209)</f>
        <v>0.666666666666667</v>
      </c>
      <c r="R209" s="8" t="n">
        <f aca="false">IF(F209+O209=0,0,(H209+O209)/(F209+O209))</f>
        <v>0.666666666666667</v>
      </c>
      <c r="S209" s="8" t="n">
        <f aca="false">IF(F209=0,0,M209/F209)</f>
        <v>0.666666666666667</v>
      </c>
      <c r="T209" s="8" t="n">
        <f aca="false">S209+R209</f>
        <v>1.33333333333333</v>
      </c>
      <c r="U209" s="8" t="n">
        <f aca="false">S209-Q209</f>
        <v>0</v>
      </c>
    </row>
    <row r="210" customFormat="false" ht="14.25" hidden="false" customHeight="true" outlineLevel="0" collapsed="false">
      <c r="A210" s="6" t="s">
        <v>368</v>
      </c>
      <c r="B210" s="6" t="s">
        <v>71</v>
      </c>
      <c r="C210" s="7" t="n">
        <v>1</v>
      </c>
      <c r="D210" s="7" t="s">
        <v>601</v>
      </c>
      <c r="E210" s="7" t="n">
        <v>1</v>
      </c>
      <c r="F210" s="7" t="n">
        <v>3</v>
      </c>
      <c r="G210" s="7" t="n">
        <v>0</v>
      </c>
      <c r="H210" s="7" t="n">
        <v>2</v>
      </c>
      <c r="I210" s="7" t="n">
        <v>1</v>
      </c>
      <c r="J210" s="7" t="n">
        <v>0</v>
      </c>
      <c r="K210" s="7" t="n">
        <v>0</v>
      </c>
      <c r="L210" s="7" t="n">
        <v>1</v>
      </c>
      <c r="M210" s="7" t="n">
        <v>3</v>
      </c>
      <c r="N210" s="7" t="n">
        <v>0</v>
      </c>
      <c r="O210" s="7" t="n">
        <v>0</v>
      </c>
      <c r="P210" s="7" t="n">
        <v>0</v>
      </c>
      <c r="Q210" s="8" t="n">
        <f aca="false">IF(F210=0,0,H210/F210)</f>
        <v>0.666666666666667</v>
      </c>
      <c r="R210" s="8" t="n">
        <f aca="false">IF(F210+O210=0,0,(H210+O210)/(F210+O210))</f>
        <v>0.666666666666667</v>
      </c>
      <c r="S210" s="8" t="n">
        <f aca="false">IF(F210=0,0,M210/F210)</f>
        <v>1</v>
      </c>
      <c r="T210" s="8" t="n">
        <f aca="false">S210+R210</f>
        <v>1.66666666666667</v>
      </c>
      <c r="U210" s="8" t="n">
        <f aca="false">S210-Q210</f>
        <v>0.333333333333333</v>
      </c>
    </row>
    <row r="211" customFormat="false" ht="14.25" hidden="false" customHeight="true" outlineLevel="0" collapsed="false">
      <c r="A211" s="6" t="s">
        <v>334</v>
      </c>
      <c r="B211" s="6" t="s">
        <v>121</v>
      </c>
      <c r="C211" s="7" t="n">
        <v>1</v>
      </c>
      <c r="D211" s="7" t="s">
        <v>570</v>
      </c>
      <c r="E211" s="7" t="n">
        <v>2</v>
      </c>
      <c r="F211" s="7" t="n">
        <v>3</v>
      </c>
      <c r="G211" s="7" t="n">
        <v>3</v>
      </c>
      <c r="H211" s="7" t="n">
        <v>2</v>
      </c>
      <c r="I211" s="7" t="n">
        <v>2</v>
      </c>
      <c r="J211" s="7" t="n">
        <v>0</v>
      </c>
      <c r="K211" s="7" t="n">
        <v>0</v>
      </c>
      <c r="L211" s="7" t="n">
        <v>2</v>
      </c>
      <c r="M211" s="7" t="n">
        <v>4</v>
      </c>
      <c r="N211" s="7" t="n">
        <v>2</v>
      </c>
      <c r="O211" s="7" t="n">
        <v>1</v>
      </c>
      <c r="P211" s="7" t="n">
        <v>0</v>
      </c>
      <c r="Q211" s="8" t="n">
        <f aca="false">IF(F211=0,0,H211/F211)</f>
        <v>0.666666666666667</v>
      </c>
      <c r="R211" s="8" t="n">
        <f aca="false">IF(F211+O211=0,0,(H211+O211)/(F211+O211))</f>
        <v>0.75</v>
      </c>
      <c r="S211" s="8" t="n">
        <f aca="false">IF(F211=0,0,M211/F211)</f>
        <v>1.33333333333333</v>
      </c>
      <c r="T211" s="8" t="n">
        <f aca="false">S211+R211</f>
        <v>2.08333333333333</v>
      </c>
      <c r="U211" s="8" t="n">
        <f aca="false">S211-Q211</f>
        <v>0.666666666666667</v>
      </c>
    </row>
    <row r="212" customFormat="false" ht="14.25" hidden="false" customHeight="true" outlineLevel="0" collapsed="false">
      <c r="A212" s="6" t="s">
        <v>267</v>
      </c>
      <c r="B212" s="6" t="s">
        <v>121</v>
      </c>
      <c r="C212" s="7" t="n">
        <v>1</v>
      </c>
      <c r="D212" s="7" t="s">
        <v>607</v>
      </c>
      <c r="E212" s="7" t="n">
        <v>1</v>
      </c>
      <c r="F212" s="7" t="n">
        <v>3</v>
      </c>
      <c r="G212" s="7" t="n">
        <v>1</v>
      </c>
      <c r="H212" s="7" t="n">
        <v>2</v>
      </c>
      <c r="I212" s="7" t="n">
        <v>0</v>
      </c>
      <c r="J212" s="7" t="n">
        <v>0</v>
      </c>
      <c r="K212" s="7" t="n">
        <v>0</v>
      </c>
      <c r="L212" s="7" t="n">
        <v>0</v>
      </c>
      <c r="M212" s="7" t="n">
        <v>2</v>
      </c>
      <c r="N212" s="7" t="n">
        <v>1</v>
      </c>
      <c r="O212" s="7" t="n">
        <v>0</v>
      </c>
      <c r="P212" s="7" t="n">
        <v>0</v>
      </c>
      <c r="Q212" s="8" t="n">
        <f aca="false">IF(F212=0,0,H212/F212)</f>
        <v>0.666666666666667</v>
      </c>
      <c r="R212" s="8" t="n">
        <f aca="false">IF(F212+O212=0,0,(H212+O212)/(F212+O212))</f>
        <v>0.666666666666667</v>
      </c>
      <c r="S212" s="8" t="n">
        <f aca="false">IF(F212=0,0,M212/F212)</f>
        <v>0.666666666666667</v>
      </c>
      <c r="T212" s="8" t="n">
        <f aca="false">S212+R212</f>
        <v>1.33333333333333</v>
      </c>
      <c r="U212" s="8" t="n">
        <f aca="false">S212-Q212</f>
        <v>0</v>
      </c>
    </row>
    <row r="213" customFormat="false" ht="14.25" hidden="false" customHeight="true" outlineLevel="0" collapsed="false">
      <c r="A213" s="6" t="s">
        <v>106</v>
      </c>
      <c r="B213" s="6" t="s">
        <v>97</v>
      </c>
      <c r="C213" s="7" t="n">
        <v>1</v>
      </c>
      <c r="D213" s="7" t="s">
        <v>555</v>
      </c>
      <c r="E213" s="7" t="n">
        <v>1</v>
      </c>
      <c r="F213" s="7" t="n">
        <v>3</v>
      </c>
      <c r="G213" s="7" t="n">
        <v>2</v>
      </c>
      <c r="H213" s="7" t="n">
        <v>2</v>
      </c>
      <c r="I213" s="7" t="n">
        <v>0</v>
      </c>
      <c r="J213" s="7" t="n">
        <v>0</v>
      </c>
      <c r="K213" s="7" t="n">
        <v>0</v>
      </c>
      <c r="L213" s="7" t="n">
        <v>0</v>
      </c>
      <c r="M213" s="7" t="n">
        <v>2</v>
      </c>
      <c r="N213" s="7" t="n">
        <v>1</v>
      </c>
      <c r="O213" s="7" t="n">
        <v>1</v>
      </c>
      <c r="P213" s="7" t="n">
        <v>0</v>
      </c>
      <c r="Q213" s="8" t="n">
        <f aca="false">IF(F213=0,0,H213/F213)</f>
        <v>0.666666666666667</v>
      </c>
      <c r="R213" s="8" t="n">
        <f aca="false">IF(F213+O213=0,0,(H213+O213)/(F213+O213))</f>
        <v>0.75</v>
      </c>
      <c r="S213" s="8" t="n">
        <f aca="false">IF(F213=0,0,M213/F213)</f>
        <v>0.666666666666667</v>
      </c>
      <c r="T213" s="8" t="n">
        <f aca="false">S213+R213</f>
        <v>1.41666666666667</v>
      </c>
      <c r="U213" s="8" t="n">
        <f aca="false">S213-Q213</f>
        <v>0</v>
      </c>
    </row>
    <row r="214" customFormat="false" ht="14.25" hidden="false" customHeight="true" outlineLevel="0" collapsed="false">
      <c r="A214" s="6" t="s">
        <v>106</v>
      </c>
      <c r="B214" s="6" t="s">
        <v>192</v>
      </c>
      <c r="C214" s="7" t="n">
        <v>1</v>
      </c>
      <c r="D214" s="7" t="s">
        <v>571</v>
      </c>
      <c r="E214" s="7" t="n">
        <v>2</v>
      </c>
      <c r="F214" s="7" t="n">
        <v>4</v>
      </c>
      <c r="G214" s="7" t="n">
        <v>1</v>
      </c>
      <c r="H214" s="7" t="n">
        <v>2</v>
      </c>
      <c r="I214" s="7" t="n">
        <v>0</v>
      </c>
      <c r="J214" s="7" t="n">
        <v>0</v>
      </c>
      <c r="K214" s="7" t="n">
        <v>0</v>
      </c>
      <c r="L214" s="7" t="n">
        <v>0</v>
      </c>
      <c r="M214" s="7" t="n">
        <v>2</v>
      </c>
      <c r="N214" s="7" t="n">
        <v>0</v>
      </c>
      <c r="O214" s="7" t="n">
        <v>1</v>
      </c>
      <c r="P214" s="7" t="n">
        <v>0</v>
      </c>
      <c r="Q214" s="8" t="n">
        <f aca="false">IF(F214=0,0,H214/F214)</f>
        <v>0.5</v>
      </c>
      <c r="R214" s="8" t="n">
        <f aca="false">IF(F214+O214=0,0,(H214+O214)/(F214+O214))</f>
        <v>0.6</v>
      </c>
      <c r="S214" s="8" t="n">
        <f aca="false">IF(F214=0,0,M214/F214)</f>
        <v>0.5</v>
      </c>
      <c r="T214" s="8" t="n">
        <f aca="false">S214+R214</f>
        <v>1.1</v>
      </c>
      <c r="U214" s="8" t="n">
        <f aca="false">S214-Q214</f>
        <v>0</v>
      </c>
    </row>
    <row r="215" customFormat="false" ht="14.25" hidden="false" customHeight="true" outlineLevel="0" collapsed="false">
      <c r="A215" s="6" t="s">
        <v>380</v>
      </c>
      <c r="B215" s="6" t="s">
        <v>97</v>
      </c>
      <c r="C215" s="7" t="n">
        <v>1</v>
      </c>
      <c r="D215" s="7" t="s">
        <v>601</v>
      </c>
      <c r="E215" s="7" t="n">
        <v>2</v>
      </c>
      <c r="F215" s="7" t="n">
        <v>5</v>
      </c>
      <c r="G215" s="7" t="n">
        <v>1</v>
      </c>
      <c r="H215" s="7" t="n">
        <v>2</v>
      </c>
      <c r="I215" s="7" t="n">
        <v>1</v>
      </c>
      <c r="J215" s="7" t="n">
        <v>0</v>
      </c>
      <c r="K215" s="7" t="n">
        <v>0</v>
      </c>
      <c r="L215" s="7" t="n">
        <v>1</v>
      </c>
      <c r="M215" s="7" t="n">
        <v>3</v>
      </c>
      <c r="N215" s="7" t="n">
        <v>0</v>
      </c>
      <c r="O215" s="7" t="n">
        <v>0</v>
      </c>
      <c r="P215" s="7" t="n">
        <v>1</v>
      </c>
      <c r="Q215" s="8" t="n">
        <f aca="false">IF(F215=0,0,H215/F215)</f>
        <v>0.4</v>
      </c>
      <c r="R215" s="8" t="n">
        <f aca="false">IF(F215+O215=0,0,(H215+O215)/(F215+O215))</f>
        <v>0.4</v>
      </c>
      <c r="S215" s="8" t="n">
        <f aca="false">IF(F215=0,0,M215/F215)</f>
        <v>0.6</v>
      </c>
      <c r="T215" s="8" t="n">
        <f aca="false">S215+R215</f>
        <v>1</v>
      </c>
      <c r="U215" s="8" t="n">
        <f aca="false">S215-Q215</f>
        <v>0.2</v>
      </c>
    </row>
    <row r="216" customFormat="false" ht="14.25" hidden="false" customHeight="true" outlineLevel="0" collapsed="false">
      <c r="A216" s="6" t="s">
        <v>335</v>
      </c>
      <c r="B216" s="6" t="s">
        <v>121</v>
      </c>
      <c r="C216" s="7" t="n">
        <v>1</v>
      </c>
      <c r="D216" s="7" t="s">
        <v>570</v>
      </c>
      <c r="E216" s="7" t="n">
        <v>2</v>
      </c>
      <c r="F216" s="7" t="n">
        <v>5</v>
      </c>
      <c r="G216" s="7" t="n">
        <v>1</v>
      </c>
      <c r="H216" s="7" t="n">
        <v>2</v>
      </c>
      <c r="I216" s="7" t="n">
        <v>1</v>
      </c>
      <c r="J216" s="7" t="n">
        <v>0</v>
      </c>
      <c r="K216" s="7" t="n">
        <v>0</v>
      </c>
      <c r="L216" s="7" t="n">
        <v>1</v>
      </c>
      <c r="M216" s="7" t="n">
        <v>3</v>
      </c>
      <c r="N216" s="7" t="n">
        <v>0</v>
      </c>
      <c r="O216" s="7" t="n">
        <v>0</v>
      </c>
      <c r="P216" s="7" t="n">
        <v>0</v>
      </c>
      <c r="Q216" s="8" t="n">
        <f aca="false">IF(F216=0,0,H216/F216)</f>
        <v>0.4</v>
      </c>
      <c r="R216" s="8" t="n">
        <f aca="false">IF(F216+O216=0,0,(H216+O216)/(F216+O216))</f>
        <v>0.4</v>
      </c>
      <c r="S216" s="8" t="n">
        <f aca="false">IF(F216=0,0,M216/F216)</f>
        <v>0.6</v>
      </c>
      <c r="T216" s="8" t="n">
        <f aca="false">S216+R216</f>
        <v>1</v>
      </c>
      <c r="U216" s="8" t="n">
        <f aca="false">S216-Q216</f>
        <v>0.2</v>
      </c>
    </row>
    <row r="217" customFormat="false" ht="14.25" hidden="false" customHeight="true" outlineLevel="0" collapsed="false">
      <c r="A217" s="6" t="s">
        <v>256</v>
      </c>
      <c r="B217" s="6" t="s">
        <v>97</v>
      </c>
      <c r="C217" s="7" t="n">
        <v>1</v>
      </c>
      <c r="D217" s="7" t="s">
        <v>607</v>
      </c>
      <c r="E217" s="7" t="n">
        <v>2</v>
      </c>
      <c r="F217" s="7" t="n">
        <v>5</v>
      </c>
      <c r="G217" s="7" t="n">
        <v>0</v>
      </c>
      <c r="H217" s="7" t="n">
        <v>2</v>
      </c>
      <c r="I217" s="7" t="n">
        <v>0</v>
      </c>
      <c r="J217" s="7" t="n">
        <v>0</v>
      </c>
      <c r="K217" s="7" t="n">
        <v>0</v>
      </c>
      <c r="L217" s="7" t="n">
        <v>0</v>
      </c>
      <c r="M217" s="7" t="n">
        <v>2</v>
      </c>
      <c r="N217" s="7" t="n">
        <v>0</v>
      </c>
      <c r="O217" s="7" t="n">
        <v>0</v>
      </c>
      <c r="P217" s="7" t="n">
        <v>0</v>
      </c>
      <c r="Q217" s="8" t="n">
        <f aca="false">IF(F217=0,0,H217/F217)</f>
        <v>0.4</v>
      </c>
      <c r="R217" s="8" t="n">
        <f aca="false">IF(F217+O217=0,0,(H217+O217)/(F217+O217))</f>
        <v>0.4</v>
      </c>
      <c r="S217" s="8" t="n">
        <f aca="false">IF(F217=0,0,M217/F217)</f>
        <v>0.4</v>
      </c>
      <c r="T217" s="8" t="n">
        <f aca="false">S217+R217</f>
        <v>0.8</v>
      </c>
      <c r="U217" s="8" t="n">
        <f aca="false">S217-Q217</f>
        <v>0</v>
      </c>
    </row>
    <row r="218" customFormat="false" ht="14.25" hidden="false" customHeight="true" outlineLevel="0" collapsed="false">
      <c r="A218" s="6" t="s">
        <v>104</v>
      </c>
      <c r="B218" s="6" t="s">
        <v>97</v>
      </c>
      <c r="C218" s="7" t="n">
        <v>1</v>
      </c>
      <c r="D218" s="7" t="s">
        <v>555</v>
      </c>
      <c r="E218" s="7" t="n">
        <v>3</v>
      </c>
      <c r="F218" s="7" t="n">
        <v>7</v>
      </c>
      <c r="G218" s="7" t="n">
        <v>0</v>
      </c>
      <c r="H218" s="7" t="n">
        <v>2</v>
      </c>
      <c r="I218" s="7" t="n">
        <v>1</v>
      </c>
      <c r="J218" s="7" t="n">
        <v>0</v>
      </c>
      <c r="K218" s="7" t="n">
        <v>0</v>
      </c>
      <c r="L218" s="7" t="n">
        <v>1</v>
      </c>
      <c r="M218" s="7" t="n">
        <v>3</v>
      </c>
      <c r="N218" s="7" t="n">
        <v>0</v>
      </c>
      <c r="O218" s="7" t="n">
        <v>1</v>
      </c>
      <c r="P218" s="7" t="n">
        <v>0</v>
      </c>
      <c r="Q218" s="8" t="n">
        <f aca="false">IF(F218=0,0,H218/F218)</f>
        <v>0.285714285714286</v>
      </c>
      <c r="R218" s="8" t="n">
        <f aca="false">IF(F218+O218=0,0,(H218+O218)/(F218+O218))</f>
        <v>0.375</v>
      </c>
      <c r="S218" s="8" t="n">
        <f aca="false">IF(F218=0,0,M218/F218)</f>
        <v>0.428571428571429</v>
      </c>
      <c r="T218" s="8" t="n">
        <f aca="false">S218+R218</f>
        <v>0.803571428571429</v>
      </c>
      <c r="U218" s="8" t="n">
        <f aca="false">S218-Q218</f>
        <v>0.142857142857143</v>
      </c>
    </row>
    <row r="219" customFormat="false" ht="14.25" hidden="false" customHeight="true" outlineLevel="0" collapsed="false">
      <c r="A219" s="6" t="s">
        <v>107</v>
      </c>
      <c r="B219" s="6" t="s">
        <v>97</v>
      </c>
      <c r="C219" s="7" t="n">
        <v>1</v>
      </c>
      <c r="D219" s="7" t="s">
        <v>555</v>
      </c>
      <c r="E219" s="7" t="n">
        <v>8</v>
      </c>
      <c r="F219" s="7" t="n">
        <v>24</v>
      </c>
      <c r="G219" s="7" t="n">
        <v>1</v>
      </c>
      <c r="H219" s="7" t="n">
        <v>5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5</v>
      </c>
      <c r="N219" s="7" t="n">
        <v>2</v>
      </c>
      <c r="O219" s="7" t="n">
        <v>0</v>
      </c>
      <c r="P219" s="7" t="n">
        <v>2</v>
      </c>
      <c r="Q219" s="8" t="n">
        <f aca="false">IF(F219=0,0,H219/F219)</f>
        <v>0.208333333333333</v>
      </c>
      <c r="R219" s="8" t="n">
        <f aca="false">IF(F219+O219=0,0,(H219+O219)/(F219+O219))</f>
        <v>0.208333333333333</v>
      </c>
      <c r="S219" s="8" t="n">
        <f aca="false">IF(F219=0,0,M219/F219)</f>
        <v>0.208333333333333</v>
      </c>
      <c r="T219" s="8" t="n">
        <f aca="false">S219+R219</f>
        <v>0.416666666666667</v>
      </c>
      <c r="U219" s="8" t="n">
        <f aca="false">S219-Q219</f>
        <v>0</v>
      </c>
    </row>
    <row r="220" customFormat="false" ht="14.25" hidden="false" customHeight="true" outlineLevel="0" collapsed="false">
      <c r="A220" s="6" t="s">
        <v>303</v>
      </c>
      <c r="B220" s="6" t="s">
        <v>147</v>
      </c>
      <c r="C220" s="7" t="n">
        <v>1</v>
      </c>
      <c r="D220" s="7" t="s">
        <v>613</v>
      </c>
      <c r="E220" s="7" t="n">
        <v>3</v>
      </c>
      <c r="F220" s="7" t="n">
        <v>8</v>
      </c>
      <c r="G220" s="7" t="n">
        <v>2</v>
      </c>
      <c r="H220" s="7" t="n">
        <v>2</v>
      </c>
      <c r="I220" s="7" t="n">
        <v>0</v>
      </c>
      <c r="J220" s="7" t="n">
        <v>0</v>
      </c>
      <c r="K220" s="7" t="n">
        <v>0</v>
      </c>
      <c r="L220" s="7" t="n">
        <v>0</v>
      </c>
      <c r="M220" s="7" t="n">
        <v>2</v>
      </c>
      <c r="N220" s="7" t="n">
        <v>3</v>
      </c>
      <c r="O220" s="7" t="n">
        <v>4</v>
      </c>
      <c r="P220" s="7" t="n">
        <v>0</v>
      </c>
      <c r="Q220" s="8" t="n">
        <f aca="false">IF(F220=0,0,H220/F220)</f>
        <v>0.25</v>
      </c>
      <c r="R220" s="8" t="n">
        <f aca="false">IF(F220+O220=0,0,(H220+O220)/(F220+O220))</f>
        <v>0.5</v>
      </c>
      <c r="S220" s="8" t="n">
        <f aca="false">IF(F220=0,0,M220/F220)</f>
        <v>0.25</v>
      </c>
      <c r="T220" s="8" t="n">
        <f aca="false">S220+R220</f>
        <v>0.75</v>
      </c>
      <c r="U220" s="8" t="n">
        <f aca="false">S220-Q220</f>
        <v>0</v>
      </c>
    </row>
    <row r="221" customFormat="false" ht="14.25" hidden="false" customHeight="true" outlineLevel="0" collapsed="false">
      <c r="A221" s="6" t="s">
        <v>65</v>
      </c>
      <c r="B221" s="6" t="s">
        <v>50</v>
      </c>
      <c r="C221" s="7" t="n">
        <v>4</v>
      </c>
      <c r="D221" s="7" t="s">
        <v>614</v>
      </c>
      <c r="E221" s="7" t="n">
        <v>5</v>
      </c>
      <c r="F221" s="7" t="n">
        <v>7</v>
      </c>
      <c r="G221" s="7" t="n">
        <v>0</v>
      </c>
      <c r="H221" s="7" t="n">
        <v>2</v>
      </c>
      <c r="I221" s="7" t="n">
        <v>1</v>
      </c>
      <c r="J221" s="7" t="n">
        <v>0</v>
      </c>
      <c r="K221" s="7" t="n">
        <v>0</v>
      </c>
      <c r="L221" s="7" t="n">
        <v>1</v>
      </c>
      <c r="M221" s="7" t="n">
        <v>3</v>
      </c>
      <c r="N221" s="7" t="n">
        <v>3</v>
      </c>
      <c r="O221" s="7" t="n">
        <v>1</v>
      </c>
      <c r="P221" s="7" t="n">
        <v>2</v>
      </c>
      <c r="Q221" s="8" t="n">
        <f aca="false">IF(F221=0,0,H221/F221)</f>
        <v>0.285714285714286</v>
      </c>
      <c r="R221" s="8" t="n">
        <f aca="false">IF(F221+O221=0,0,(H221+O221)/(F221+O221))</f>
        <v>0.375</v>
      </c>
      <c r="S221" s="8" t="n">
        <f aca="false">IF(F221=0,0,M221/F221)</f>
        <v>0.428571428571429</v>
      </c>
      <c r="T221" s="8" t="n">
        <f aca="false">S221+R221</f>
        <v>0.803571428571429</v>
      </c>
      <c r="U221" s="8" t="n">
        <f aca="false">S221-Q221</f>
        <v>0.142857142857143</v>
      </c>
    </row>
    <row r="222" customFormat="false" ht="14.25" hidden="false" customHeight="true" outlineLevel="0" collapsed="false">
      <c r="A222" s="6" t="s">
        <v>465</v>
      </c>
      <c r="B222" s="6" t="s">
        <v>97</v>
      </c>
      <c r="C222" s="7" t="n">
        <v>1</v>
      </c>
      <c r="D222" s="7" t="s">
        <v>571</v>
      </c>
      <c r="E222" s="7" t="n">
        <v>4</v>
      </c>
      <c r="F222" s="7" t="n">
        <v>10</v>
      </c>
      <c r="G222" s="7" t="n">
        <v>1</v>
      </c>
      <c r="H222" s="7" t="n">
        <v>2</v>
      </c>
      <c r="I222" s="7" t="n">
        <v>0</v>
      </c>
      <c r="J222" s="7" t="n">
        <v>0</v>
      </c>
      <c r="K222" s="7" t="n">
        <v>0</v>
      </c>
      <c r="L222" s="7" t="n">
        <v>0</v>
      </c>
      <c r="M222" s="7" t="n">
        <v>2</v>
      </c>
      <c r="N222" s="7" t="n">
        <v>1</v>
      </c>
      <c r="O222" s="7" t="n">
        <v>0</v>
      </c>
      <c r="P222" s="7" t="n">
        <v>3</v>
      </c>
      <c r="Q222" s="8" t="n">
        <f aca="false">IF(F222=0,0,H222/F222)</f>
        <v>0.2</v>
      </c>
      <c r="R222" s="8" t="n">
        <f aca="false">IF(F222+O222=0,0,(H222+O222)/(F222+O222))</f>
        <v>0.2</v>
      </c>
      <c r="S222" s="8" t="n">
        <f aca="false">IF(F222=0,0,M222/F222)</f>
        <v>0.2</v>
      </c>
      <c r="T222" s="8" t="n">
        <f aca="false">S222+R222</f>
        <v>0.4</v>
      </c>
      <c r="U222" s="8" t="n">
        <f aca="false">S222-Q222</f>
        <v>0</v>
      </c>
    </row>
    <row r="223" customFormat="false" ht="14.25" hidden="false" customHeight="true" outlineLevel="0" collapsed="false">
      <c r="A223" s="6" t="s">
        <v>431</v>
      </c>
      <c r="B223" s="6" t="s">
        <v>121</v>
      </c>
      <c r="C223" s="7" t="n">
        <v>2</v>
      </c>
      <c r="D223" s="7" t="s">
        <v>569</v>
      </c>
      <c r="E223" s="7" t="n">
        <v>5</v>
      </c>
      <c r="F223" s="7" t="n">
        <v>10</v>
      </c>
      <c r="G223" s="7" t="n">
        <v>1</v>
      </c>
      <c r="H223" s="7" t="n">
        <v>2</v>
      </c>
      <c r="I223" s="7" t="n">
        <v>0</v>
      </c>
      <c r="J223" s="7" t="n">
        <v>0</v>
      </c>
      <c r="K223" s="7" t="n">
        <v>0</v>
      </c>
      <c r="L223" s="7" t="n">
        <v>0</v>
      </c>
      <c r="M223" s="7" t="n">
        <v>2</v>
      </c>
      <c r="N223" s="7" t="n">
        <v>1</v>
      </c>
      <c r="O223" s="7" t="n">
        <v>1</v>
      </c>
      <c r="P223" s="7" t="n">
        <v>0</v>
      </c>
      <c r="Q223" s="8" t="n">
        <f aca="false">IF(F223=0,0,H223/F223)</f>
        <v>0.2</v>
      </c>
      <c r="R223" s="8" t="n">
        <f aca="false">IF(F223+O223=0,0,(H223+O223)/(F223+O223))</f>
        <v>0.272727272727273</v>
      </c>
      <c r="S223" s="8" t="n">
        <f aca="false">IF(F223=0,0,M223/F223)</f>
        <v>0.2</v>
      </c>
      <c r="T223" s="8" t="n">
        <f aca="false">S223+R223</f>
        <v>0.472727272727273</v>
      </c>
      <c r="U223" s="8" t="n">
        <f aca="false">S223-Q223</f>
        <v>0</v>
      </c>
    </row>
    <row r="224" customFormat="false" ht="14.25" hidden="false" customHeight="true" outlineLevel="0" collapsed="false">
      <c r="A224" s="6" t="s">
        <v>428</v>
      </c>
      <c r="B224" s="6" t="s">
        <v>121</v>
      </c>
      <c r="C224" s="7" t="n">
        <v>3</v>
      </c>
      <c r="D224" s="7" t="s">
        <v>563</v>
      </c>
      <c r="E224" s="7" t="n">
        <v>8</v>
      </c>
      <c r="F224" s="7" t="n">
        <v>15</v>
      </c>
      <c r="G224" s="7" t="n">
        <v>1</v>
      </c>
      <c r="H224" s="7" t="n">
        <v>2</v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2</v>
      </c>
      <c r="N224" s="7" t="n">
        <v>0</v>
      </c>
      <c r="O224" s="7" t="n">
        <v>0</v>
      </c>
      <c r="P224" s="7" t="n">
        <v>0</v>
      </c>
      <c r="Q224" s="8" t="n">
        <f aca="false">IF(F224=0,0,H224/F224)</f>
        <v>0.133333333333333</v>
      </c>
      <c r="R224" s="8" t="n">
        <f aca="false">IF(F224+O224=0,0,(H224+O224)/(F224+O224))</f>
        <v>0.133333333333333</v>
      </c>
      <c r="S224" s="8" t="n">
        <f aca="false">IF(F224=0,0,M224/F224)</f>
        <v>0.133333333333333</v>
      </c>
      <c r="T224" s="8" t="n">
        <f aca="false">S224+R224</f>
        <v>0.266666666666667</v>
      </c>
      <c r="U224" s="8" t="n">
        <f aca="false">S224-Q224</f>
        <v>0</v>
      </c>
    </row>
    <row r="225" customFormat="false" ht="14.25" hidden="false" customHeight="true" outlineLevel="0" collapsed="false">
      <c r="A225" s="6" t="s">
        <v>435</v>
      </c>
      <c r="B225" s="6" t="s">
        <v>147</v>
      </c>
      <c r="C225" s="7" t="n">
        <v>2</v>
      </c>
      <c r="D225" s="7" t="s">
        <v>569</v>
      </c>
      <c r="E225" s="7" t="n">
        <v>3</v>
      </c>
      <c r="F225" s="7" t="n">
        <v>12</v>
      </c>
      <c r="G225" s="7" t="n">
        <v>0</v>
      </c>
      <c r="H225" s="7" t="n">
        <v>2</v>
      </c>
      <c r="I225" s="7" t="n">
        <v>0</v>
      </c>
      <c r="J225" s="7" t="n">
        <v>0</v>
      </c>
      <c r="K225" s="7" t="n">
        <v>0</v>
      </c>
      <c r="L225" s="7" t="n">
        <v>0</v>
      </c>
      <c r="M225" s="7" t="n">
        <v>2</v>
      </c>
      <c r="N225" s="7" t="n">
        <v>0</v>
      </c>
      <c r="O225" s="7" t="n">
        <v>0</v>
      </c>
      <c r="P225" s="7" t="n">
        <v>0</v>
      </c>
      <c r="Q225" s="8" t="n">
        <f aca="false">IF(F225=0,0,H225/F225)</f>
        <v>0.166666666666667</v>
      </c>
      <c r="R225" s="8" t="n">
        <f aca="false">IF(F225+O225=0,0,(H225+O225)/(F225+O225))</f>
        <v>0.166666666666667</v>
      </c>
      <c r="S225" s="8" t="n">
        <f aca="false">IF(F225=0,0,M225/F225)</f>
        <v>0.166666666666667</v>
      </c>
      <c r="T225" s="8" t="n">
        <f aca="false">S225+R225</f>
        <v>0.333333333333333</v>
      </c>
      <c r="U225" s="8" t="n">
        <f aca="false">S225-Q225</f>
        <v>0</v>
      </c>
    </row>
    <row r="226" customFormat="false" ht="14.25" hidden="false" customHeight="true" outlineLevel="0" collapsed="false">
      <c r="A226" s="6" t="s">
        <v>359</v>
      </c>
      <c r="B226" s="6" t="s">
        <v>212</v>
      </c>
      <c r="C226" s="7" t="n">
        <v>1</v>
      </c>
      <c r="D226" s="7" t="s">
        <v>570</v>
      </c>
      <c r="E226" s="7" t="n">
        <v>6</v>
      </c>
      <c r="F226" s="7" t="n">
        <v>13</v>
      </c>
      <c r="G226" s="7" t="n">
        <v>0</v>
      </c>
      <c r="H226" s="7" t="n">
        <v>2</v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2</v>
      </c>
      <c r="N226" s="7" t="n">
        <v>1</v>
      </c>
      <c r="O226" s="7" t="n">
        <v>0</v>
      </c>
      <c r="P226" s="7" t="n">
        <v>1</v>
      </c>
      <c r="Q226" s="8" t="n">
        <f aca="false">IF(F226=0,0,H226/F226)</f>
        <v>0.153846153846154</v>
      </c>
      <c r="R226" s="8" t="n">
        <f aca="false">IF(F226+O226=0,0,(H226+O226)/(F226+O226))</f>
        <v>0.153846153846154</v>
      </c>
      <c r="S226" s="8" t="n">
        <f aca="false">IF(F226=0,0,M226/F226)</f>
        <v>0.153846153846154</v>
      </c>
      <c r="T226" s="8" t="n">
        <f aca="false">S226+R226</f>
        <v>0.307692307692308</v>
      </c>
      <c r="U226" s="8" t="n">
        <f aca="false">S226-Q226</f>
        <v>0</v>
      </c>
    </row>
    <row r="227" customFormat="false" ht="14.25" hidden="false" customHeight="true" outlineLevel="0" collapsed="false">
      <c r="A227" s="6" t="s">
        <v>293</v>
      </c>
      <c r="B227" s="6" t="s">
        <v>97</v>
      </c>
      <c r="C227" s="7" t="n">
        <v>2</v>
      </c>
      <c r="D227" s="7" t="s">
        <v>609</v>
      </c>
      <c r="E227" s="7" t="n">
        <v>6</v>
      </c>
      <c r="F227" s="7" t="n">
        <v>13</v>
      </c>
      <c r="G227" s="7" t="n">
        <v>1</v>
      </c>
      <c r="H227" s="7" t="n">
        <v>2</v>
      </c>
      <c r="I227" s="7" t="n">
        <v>0</v>
      </c>
      <c r="J227" s="7" t="n">
        <v>0</v>
      </c>
      <c r="K227" s="7" t="n">
        <v>0</v>
      </c>
      <c r="L227" s="7" t="n">
        <v>0</v>
      </c>
      <c r="M227" s="7" t="n">
        <v>2</v>
      </c>
      <c r="N227" s="7" t="n">
        <v>2</v>
      </c>
      <c r="O227" s="7" t="n">
        <v>2</v>
      </c>
      <c r="P227" s="7" t="n">
        <v>2</v>
      </c>
      <c r="Q227" s="8" t="n">
        <f aca="false">IF(F227=0,0,H227/F227)</f>
        <v>0.153846153846154</v>
      </c>
      <c r="R227" s="8" t="n">
        <f aca="false">IF(F227+O227=0,0,(H227+O227)/(F227+O227))</f>
        <v>0.266666666666667</v>
      </c>
      <c r="S227" s="8" t="n">
        <f aca="false">IF(F227=0,0,M227/F227)</f>
        <v>0.153846153846154</v>
      </c>
      <c r="T227" s="8" t="n">
        <f aca="false">S227+R227</f>
        <v>0.420512820512821</v>
      </c>
      <c r="U227" s="8" t="n">
        <f aca="false">S227-Q227</f>
        <v>0</v>
      </c>
    </row>
    <row r="228" customFormat="false" ht="14.25" hidden="false" customHeight="true" outlineLevel="0" collapsed="false">
      <c r="A228" s="6" t="s">
        <v>181</v>
      </c>
      <c r="B228" s="6" t="s">
        <v>166</v>
      </c>
      <c r="C228" s="7" t="n">
        <v>3</v>
      </c>
      <c r="D228" s="9" t="s">
        <v>580</v>
      </c>
      <c r="E228" s="7" t="n">
        <v>15</v>
      </c>
      <c r="F228" s="7" t="n">
        <v>35</v>
      </c>
      <c r="G228" s="7" t="n">
        <v>1</v>
      </c>
      <c r="H228" s="7" t="n">
        <v>5</v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5</v>
      </c>
      <c r="N228" s="7" t="n">
        <v>0</v>
      </c>
      <c r="O228" s="7" t="n">
        <v>1</v>
      </c>
      <c r="P228" s="7" t="n">
        <v>2</v>
      </c>
      <c r="Q228" s="8" t="n">
        <f aca="false">IF(F228=0,0,H228/F228)</f>
        <v>0.142857142857143</v>
      </c>
      <c r="R228" s="8" t="n">
        <f aca="false">IF(F228+O228=0,0,(H228+O228)/(F228+O228))</f>
        <v>0.166666666666667</v>
      </c>
      <c r="S228" s="8" t="n">
        <f aca="false">IF(F228=0,0,M228/F228)</f>
        <v>0.142857142857143</v>
      </c>
      <c r="T228" s="8" t="n">
        <f aca="false">S228+R228</f>
        <v>0.30952380952381</v>
      </c>
      <c r="U228" s="8" t="n">
        <f aca="false">S228-Q228</f>
        <v>0</v>
      </c>
    </row>
    <row r="229" customFormat="false" ht="14.25" hidden="false" customHeight="true" outlineLevel="0" collapsed="false">
      <c r="A229" s="6" t="s">
        <v>241</v>
      </c>
      <c r="B229" s="6" t="s">
        <v>50</v>
      </c>
      <c r="C229" s="7" t="n">
        <v>2</v>
      </c>
      <c r="D229" s="7" t="s">
        <v>564</v>
      </c>
      <c r="E229" s="7" t="n">
        <v>3</v>
      </c>
      <c r="F229" s="7" t="n">
        <v>5</v>
      </c>
      <c r="G229" s="7" t="n">
        <v>0</v>
      </c>
      <c r="H229" s="7" t="n">
        <v>2</v>
      </c>
      <c r="I229" s="7" t="n">
        <v>1</v>
      </c>
      <c r="J229" s="7" t="n">
        <v>0</v>
      </c>
      <c r="K229" s="7" t="n">
        <v>0</v>
      </c>
      <c r="L229" s="7" t="n">
        <v>1</v>
      </c>
      <c r="M229" s="7" t="n">
        <v>3</v>
      </c>
      <c r="N229" s="7" t="n">
        <v>0</v>
      </c>
      <c r="O229" s="7" t="n">
        <v>1</v>
      </c>
      <c r="P229" s="7" t="n">
        <v>0</v>
      </c>
      <c r="Q229" s="8" t="n">
        <f aca="false">IF(F229=0,0,H229/F229)</f>
        <v>0.4</v>
      </c>
      <c r="R229" s="8" t="n">
        <f aca="false">IF(F229+O229=0,0,(H229+O229)/(F229+O229))</f>
        <v>0.5</v>
      </c>
      <c r="S229" s="8" t="n">
        <f aca="false">IF(F229=0,0,M229/F229)</f>
        <v>0.6</v>
      </c>
      <c r="T229" s="8" t="n">
        <f aca="false">S229+R229</f>
        <v>1.1</v>
      </c>
      <c r="U229" s="8" t="n">
        <f aca="false">S229-Q229</f>
        <v>0.2</v>
      </c>
    </row>
    <row r="230" customFormat="false" ht="14.25" hidden="false" customHeight="true" outlineLevel="0" collapsed="false">
      <c r="A230" s="6" t="s">
        <v>390</v>
      </c>
      <c r="B230" s="6" t="s">
        <v>147</v>
      </c>
      <c r="C230" s="7" t="n">
        <v>3</v>
      </c>
      <c r="D230" s="7" t="s">
        <v>615</v>
      </c>
      <c r="E230" s="7" t="n">
        <v>5</v>
      </c>
      <c r="F230" s="7" t="n">
        <v>15</v>
      </c>
      <c r="G230" s="7" t="n">
        <v>1</v>
      </c>
      <c r="H230" s="7" t="n">
        <v>2</v>
      </c>
      <c r="I230" s="7" t="n">
        <v>1</v>
      </c>
      <c r="J230" s="7" t="n">
        <v>0</v>
      </c>
      <c r="K230" s="7" t="n">
        <v>0</v>
      </c>
      <c r="L230" s="7" t="n">
        <v>1</v>
      </c>
      <c r="M230" s="7" t="n">
        <v>3</v>
      </c>
      <c r="N230" s="7" t="n">
        <v>2</v>
      </c>
      <c r="O230" s="7" t="n">
        <v>1</v>
      </c>
      <c r="P230" s="7" t="n">
        <v>1</v>
      </c>
      <c r="Q230" s="8" t="n">
        <f aca="false">IF(F230=0,0,H230/F230)</f>
        <v>0.133333333333333</v>
      </c>
      <c r="R230" s="8" t="n">
        <f aca="false">IF(F230+O230=0,0,(H230+O230)/(F230+O230))</f>
        <v>0.1875</v>
      </c>
      <c r="S230" s="8" t="n">
        <f aca="false">IF(F230=0,0,M230/F230)</f>
        <v>0.2</v>
      </c>
      <c r="T230" s="8" t="n">
        <f aca="false">S230+R230</f>
        <v>0.3875</v>
      </c>
      <c r="U230" s="8" t="n">
        <f aca="false">S230-Q230</f>
        <v>0.0666666666666667</v>
      </c>
    </row>
    <row r="231" customFormat="false" ht="14.25" hidden="false" customHeight="true" outlineLevel="0" collapsed="false">
      <c r="A231" s="6" t="s">
        <v>134</v>
      </c>
      <c r="B231" s="6" t="s">
        <v>121</v>
      </c>
      <c r="C231" s="7" t="n">
        <v>2</v>
      </c>
      <c r="D231" s="7" t="s">
        <v>562</v>
      </c>
      <c r="E231" s="7" t="n">
        <v>6</v>
      </c>
      <c r="F231" s="7" t="n">
        <v>16</v>
      </c>
      <c r="G231" s="7" t="n">
        <v>3</v>
      </c>
      <c r="H231" s="7" t="n">
        <v>4</v>
      </c>
      <c r="I231" s="7" t="n">
        <v>0</v>
      </c>
      <c r="J231" s="7" t="n">
        <v>0</v>
      </c>
      <c r="K231" s="7" t="n">
        <v>0</v>
      </c>
      <c r="L231" s="7" t="n">
        <v>0</v>
      </c>
      <c r="M231" s="7" t="n">
        <v>4</v>
      </c>
      <c r="N231" s="7" t="n">
        <v>4</v>
      </c>
      <c r="O231" s="7" t="n">
        <v>1</v>
      </c>
      <c r="P231" s="7" t="n">
        <v>1</v>
      </c>
      <c r="Q231" s="8" t="n">
        <f aca="false">IF(F231=0,0,H231/F231)</f>
        <v>0.25</v>
      </c>
      <c r="R231" s="8" t="n">
        <f aca="false">IF(F231+O231=0,0,(H231+O231)/(F231+O231))</f>
        <v>0.294117647058824</v>
      </c>
      <c r="S231" s="8" t="n">
        <f aca="false">IF(F231=0,0,M231/F231)</f>
        <v>0.25</v>
      </c>
      <c r="T231" s="8" t="n">
        <f aca="false">S231+R231</f>
        <v>0.544117647058824</v>
      </c>
      <c r="U231" s="8" t="n">
        <f aca="false">S231-Q231</f>
        <v>0</v>
      </c>
    </row>
    <row r="232" customFormat="false" ht="14.25" hidden="false" customHeight="true" outlineLevel="0" collapsed="false">
      <c r="A232" s="6" t="s">
        <v>146</v>
      </c>
      <c r="B232" s="6" t="s">
        <v>121</v>
      </c>
      <c r="C232" s="7" t="n">
        <v>7</v>
      </c>
      <c r="D232" s="7" t="s">
        <v>546</v>
      </c>
      <c r="E232" s="7" t="n">
        <v>14</v>
      </c>
      <c r="F232" s="7" t="n">
        <v>28</v>
      </c>
      <c r="G232" s="7" t="n">
        <v>2</v>
      </c>
      <c r="H232" s="7" t="n">
        <v>3</v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3</v>
      </c>
      <c r="N232" s="7" t="n">
        <v>2</v>
      </c>
      <c r="O232" s="7" t="n">
        <v>0</v>
      </c>
      <c r="P232" s="7" t="n">
        <v>0</v>
      </c>
      <c r="Q232" s="8" t="n">
        <f aca="false">IF(F232=0,0,H232/F232)</f>
        <v>0.107142857142857</v>
      </c>
      <c r="R232" s="8" t="n">
        <f aca="false">IF(F232+O232=0,0,(H232+O232)/(F232+O232))</f>
        <v>0.107142857142857</v>
      </c>
      <c r="S232" s="8" t="n">
        <f aca="false">IF(F232=0,0,M232/F232)</f>
        <v>0.107142857142857</v>
      </c>
      <c r="T232" s="8" t="n">
        <f aca="false">S232+R232</f>
        <v>0.214285714285714</v>
      </c>
      <c r="U232" s="8" t="n">
        <f aca="false">S232-Q232</f>
        <v>0</v>
      </c>
    </row>
    <row r="233" customFormat="false" ht="14.25" hidden="false" customHeight="true" outlineLevel="0" collapsed="false">
      <c r="A233" s="6" t="s">
        <v>249</v>
      </c>
      <c r="B233" s="6" t="s">
        <v>71</v>
      </c>
      <c r="C233" s="7" t="n">
        <v>4</v>
      </c>
      <c r="D233" s="7" t="s">
        <v>616</v>
      </c>
      <c r="E233" s="7" t="n">
        <v>7</v>
      </c>
      <c r="F233" s="7" t="n">
        <v>18</v>
      </c>
      <c r="G233" s="7" t="n">
        <v>1</v>
      </c>
      <c r="H233" s="7" t="n">
        <v>2</v>
      </c>
      <c r="I233" s="7" t="n">
        <v>0</v>
      </c>
      <c r="J233" s="7" t="n">
        <v>0</v>
      </c>
      <c r="K233" s="7" t="n">
        <v>0</v>
      </c>
      <c r="L233" s="7" t="n">
        <v>0</v>
      </c>
      <c r="M233" s="7" t="n">
        <v>2</v>
      </c>
      <c r="N233" s="7" t="n">
        <v>1</v>
      </c>
      <c r="O233" s="7" t="n">
        <v>0</v>
      </c>
      <c r="P233" s="7" t="n">
        <v>0</v>
      </c>
      <c r="Q233" s="8" t="n">
        <f aca="false">IF(F233=0,0,H233/F233)</f>
        <v>0.111111111111111</v>
      </c>
      <c r="R233" s="8" t="n">
        <f aca="false">IF(F233+O233=0,0,(H233+O233)/(F233+O233))</f>
        <v>0.111111111111111</v>
      </c>
      <c r="S233" s="8" t="n">
        <f aca="false">IF(F233=0,0,M233/F233)</f>
        <v>0.111111111111111</v>
      </c>
      <c r="T233" s="8" t="n">
        <f aca="false">S233+R233</f>
        <v>0.222222222222222</v>
      </c>
      <c r="U233" s="8" t="n">
        <f aca="false">S233-Q233</f>
        <v>0</v>
      </c>
    </row>
    <row r="234" customFormat="false" ht="14.25" hidden="false" customHeight="true" outlineLevel="0" collapsed="false">
      <c r="A234" s="6" t="s">
        <v>301</v>
      </c>
      <c r="B234" s="6" t="s">
        <v>575</v>
      </c>
      <c r="C234" s="7" t="n">
        <v>6</v>
      </c>
      <c r="D234" s="7" t="s">
        <v>549</v>
      </c>
      <c r="E234" s="7" t="n">
        <v>9</v>
      </c>
      <c r="F234" s="7" t="n">
        <v>16</v>
      </c>
      <c r="G234" s="7" t="n">
        <v>3</v>
      </c>
      <c r="H234" s="7" t="n">
        <v>2</v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2</v>
      </c>
      <c r="N234" s="7" t="n">
        <v>1</v>
      </c>
      <c r="O234" s="7" t="n">
        <v>4</v>
      </c>
      <c r="P234" s="7" t="n">
        <v>3</v>
      </c>
      <c r="Q234" s="8" t="n">
        <f aca="false">IF(F234=0,0,H234/F234)</f>
        <v>0.125</v>
      </c>
      <c r="R234" s="8" t="n">
        <f aca="false">IF(F234+O234=0,0,(H234+O234)/(F234+O234))</f>
        <v>0.3</v>
      </c>
      <c r="S234" s="8" t="n">
        <f aca="false">IF(F234=0,0,M234/F234)</f>
        <v>0.125</v>
      </c>
      <c r="T234" s="8" t="n">
        <f aca="false">S234+R234</f>
        <v>0.425</v>
      </c>
      <c r="U234" s="8" t="n">
        <f aca="false">S234-Q234</f>
        <v>0</v>
      </c>
    </row>
    <row r="235" customFormat="false" ht="14.25" hidden="false" customHeight="true" outlineLevel="0" collapsed="false">
      <c r="A235" s="6" t="s">
        <v>223</v>
      </c>
      <c r="B235" s="6" t="s">
        <v>212</v>
      </c>
      <c r="C235" s="7" t="n">
        <v>1</v>
      </c>
      <c r="D235" s="7" t="s">
        <v>555</v>
      </c>
      <c r="E235" s="7" t="n">
        <v>3</v>
      </c>
      <c r="F235" s="7" t="n">
        <v>7</v>
      </c>
      <c r="G235" s="7" t="n">
        <v>1</v>
      </c>
      <c r="H235" s="7" t="n">
        <v>3</v>
      </c>
      <c r="I235" s="7" t="n">
        <v>0</v>
      </c>
      <c r="J235" s="7" t="n">
        <v>0</v>
      </c>
      <c r="K235" s="7" t="n">
        <v>0</v>
      </c>
      <c r="L235" s="7" t="n">
        <v>0</v>
      </c>
      <c r="M235" s="7" t="n">
        <v>3</v>
      </c>
      <c r="N235" s="7" t="n">
        <v>0</v>
      </c>
      <c r="O235" s="7" t="n">
        <v>1</v>
      </c>
      <c r="P235" s="7" t="n">
        <v>0</v>
      </c>
      <c r="Q235" s="8" t="n">
        <f aca="false">IF(F235=0,0,H235/F235)</f>
        <v>0.428571428571429</v>
      </c>
      <c r="R235" s="8" t="n">
        <f aca="false">IF(F235+O235=0,0,(H235+O235)/(F235+O235))</f>
        <v>0.5</v>
      </c>
      <c r="S235" s="8" t="n">
        <f aca="false">IF(F235=0,0,M235/F235)</f>
        <v>0.428571428571429</v>
      </c>
      <c r="T235" s="8" t="n">
        <f aca="false">S235+R235</f>
        <v>0.928571428571429</v>
      </c>
      <c r="U235" s="8" t="n">
        <f aca="false">S235-Q235</f>
        <v>0</v>
      </c>
    </row>
    <row r="236" customFormat="false" ht="14.25" hidden="false" customHeight="true" outlineLevel="0" collapsed="false">
      <c r="A236" s="6" t="s">
        <v>521</v>
      </c>
      <c r="B236" s="6" t="s">
        <v>192</v>
      </c>
      <c r="C236" s="7" t="n">
        <v>1</v>
      </c>
      <c r="D236" s="7" t="s">
        <v>573</v>
      </c>
      <c r="E236" s="7" t="n">
        <v>1</v>
      </c>
      <c r="F236" s="7" t="n">
        <v>3</v>
      </c>
      <c r="G236" s="7" t="n">
        <v>1</v>
      </c>
      <c r="H236" s="7" t="n">
        <v>2</v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2</v>
      </c>
      <c r="N236" s="7" t="n">
        <v>0</v>
      </c>
      <c r="O236" s="7" t="n">
        <v>0</v>
      </c>
      <c r="P236" s="7" t="n">
        <v>0</v>
      </c>
      <c r="Q236" s="8" t="n">
        <f aca="false">IF(F236=0,0,H236/F236)</f>
        <v>0.666666666666667</v>
      </c>
      <c r="R236" s="8" t="n">
        <f aca="false">IF(F236+O236=0,0,(H236+O236)/(F236+O236))</f>
        <v>0.666666666666667</v>
      </c>
      <c r="S236" s="8" t="n">
        <f aca="false">IF(F236=0,0,M236/F236)</f>
        <v>0.666666666666667</v>
      </c>
      <c r="T236" s="8" t="n">
        <f aca="false">S236+R236</f>
        <v>1.33333333333333</v>
      </c>
      <c r="U236" s="8" t="n">
        <f aca="false">S236-Q236</f>
        <v>0</v>
      </c>
    </row>
    <row r="237" customFormat="false" ht="14.25" hidden="false" customHeight="true" outlineLevel="0" collapsed="false">
      <c r="A237" s="6" t="s">
        <v>526</v>
      </c>
      <c r="B237" s="6" t="s">
        <v>212</v>
      </c>
      <c r="C237" s="7" t="n">
        <v>1</v>
      </c>
      <c r="D237" s="7" t="s">
        <v>573</v>
      </c>
      <c r="E237" s="7" t="n">
        <v>5</v>
      </c>
      <c r="F237" s="7" t="n">
        <v>11</v>
      </c>
      <c r="G237" s="7" t="n">
        <v>1</v>
      </c>
      <c r="H237" s="7" t="n">
        <v>2</v>
      </c>
      <c r="I237" s="7" t="n">
        <v>0</v>
      </c>
      <c r="J237" s="7" t="n">
        <v>0</v>
      </c>
      <c r="K237" s="7" t="n">
        <v>0</v>
      </c>
      <c r="L237" s="7" t="n">
        <v>0</v>
      </c>
      <c r="M237" s="7" t="n">
        <v>2</v>
      </c>
      <c r="N237" s="7" t="n">
        <v>0</v>
      </c>
      <c r="O237" s="7" t="n">
        <v>0</v>
      </c>
      <c r="P237" s="7" t="n">
        <v>1</v>
      </c>
      <c r="Q237" s="8" t="n">
        <f aca="false">IF(F237=0,0,H237/F237)</f>
        <v>0.181818181818182</v>
      </c>
      <c r="R237" s="8" t="n">
        <f aca="false">IF(F237+O237=0,0,(H237+O237)/(F237+O237))</f>
        <v>0.181818181818182</v>
      </c>
      <c r="S237" s="8" t="n">
        <f aca="false">IF(F237=0,0,M237/F237)</f>
        <v>0.181818181818182</v>
      </c>
      <c r="T237" s="8" t="n">
        <f aca="false">S237+R237</f>
        <v>0.363636363636364</v>
      </c>
      <c r="U237" s="8" t="n">
        <f aca="false">S237-Q237</f>
        <v>0</v>
      </c>
    </row>
    <row r="238" customFormat="false" ht="14.25" hidden="false" customHeight="true" outlineLevel="0" collapsed="false">
      <c r="A238" s="6" t="s">
        <v>491</v>
      </c>
      <c r="B238" s="6" t="s">
        <v>166</v>
      </c>
      <c r="C238" s="7" t="n">
        <v>1</v>
      </c>
      <c r="D238" s="7" t="s">
        <v>571</v>
      </c>
      <c r="E238" s="7" t="n">
        <v>1</v>
      </c>
      <c r="F238" s="7" t="n">
        <v>1</v>
      </c>
      <c r="G238" s="7" t="n">
        <v>0</v>
      </c>
      <c r="H238" s="7" t="n">
        <v>1</v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1</v>
      </c>
      <c r="N238" s="7" t="n">
        <v>0</v>
      </c>
      <c r="O238" s="7" t="n">
        <v>0</v>
      </c>
      <c r="P238" s="7" t="n">
        <v>0</v>
      </c>
      <c r="Q238" s="8" t="n">
        <f aca="false">IF(F238=0,0,H238/F238)</f>
        <v>1</v>
      </c>
      <c r="R238" s="8" t="n">
        <f aca="false">IF(F238+O238=0,0,(H238+O238)/(F238+O238))</f>
        <v>1</v>
      </c>
      <c r="S238" s="8" t="n">
        <f aca="false">IF(F238=0,0,M238/F238)</f>
        <v>1</v>
      </c>
      <c r="T238" s="8" t="n">
        <f aca="false">S238+R238</f>
        <v>2</v>
      </c>
      <c r="U238" s="8" t="n">
        <f aca="false">S238-Q238</f>
        <v>0</v>
      </c>
    </row>
    <row r="239" customFormat="false" ht="14.25" hidden="false" customHeight="true" outlineLevel="0" collapsed="false">
      <c r="A239" s="6" t="s">
        <v>191</v>
      </c>
      <c r="B239" s="6" t="s">
        <v>535</v>
      </c>
      <c r="C239" s="7" t="n">
        <v>3</v>
      </c>
      <c r="D239" s="9" t="s">
        <v>617</v>
      </c>
      <c r="E239" s="7" t="n">
        <v>4</v>
      </c>
      <c r="F239" s="7" t="n">
        <v>7</v>
      </c>
      <c r="G239" s="7" t="n">
        <v>1</v>
      </c>
      <c r="H239" s="7" t="n">
        <v>2</v>
      </c>
      <c r="I239" s="7" t="n">
        <v>0</v>
      </c>
      <c r="J239" s="7" t="n">
        <v>0</v>
      </c>
      <c r="K239" s="7" t="n">
        <v>0</v>
      </c>
      <c r="L239" s="7" t="n">
        <v>0</v>
      </c>
      <c r="M239" s="7" t="n">
        <v>2</v>
      </c>
      <c r="N239" s="7" t="n">
        <v>1</v>
      </c>
      <c r="O239" s="7" t="n">
        <v>1</v>
      </c>
      <c r="P239" s="7" t="n">
        <v>0</v>
      </c>
      <c r="Q239" s="8" t="n">
        <f aca="false">IF(F239=0,0,H239/F239)</f>
        <v>0.285714285714286</v>
      </c>
      <c r="R239" s="8" t="n">
        <f aca="false">IF(F239+O239=0,0,(H239+O239)/(F239+O239))</f>
        <v>0.375</v>
      </c>
      <c r="S239" s="8" t="n">
        <f aca="false">IF(F239=0,0,M239/F239)</f>
        <v>0.285714285714286</v>
      </c>
      <c r="T239" s="8" t="n">
        <f aca="false">S239+R239</f>
        <v>0.660714285714286</v>
      </c>
      <c r="U239" s="8" t="n">
        <f aca="false">S239-Q239</f>
        <v>0</v>
      </c>
    </row>
    <row r="240" customFormat="false" ht="14.25" hidden="false" customHeight="true" outlineLevel="0" collapsed="false">
      <c r="A240" s="6" t="s">
        <v>443</v>
      </c>
      <c r="B240" s="6" t="s">
        <v>192</v>
      </c>
      <c r="C240" s="7" t="n">
        <v>1</v>
      </c>
      <c r="D240" s="7" t="s">
        <v>568</v>
      </c>
      <c r="E240" s="7" t="n">
        <v>1</v>
      </c>
      <c r="F240" s="7" t="n">
        <v>1</v>
      </c>
      <c r="G240" s="7" t="n">
        <v>0</v>
      </c>
      <c r="H240" s="7" t="n">
        <v>1</v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1</v>
      </c>
      <c r="N240" s="7" t="n">
        <v>0</v>
      </c>
      <c r="O240" s="7" t="n">
        <v>0</v>
      </c>
      <c r="P240" s="7" t="n">
        <v>0</v>
      </c>
      <c r="Q240" s="8" t="n">
        <f aca="false">IF(F240=0,0,H240/F240)</f>
        <v>1</v>
      </c>
      <c r="R240" s="8" t="n">
        <f aca="false">IF(F240+O240=0,0,(H240+O240)/(F240+O240))</f>
        <v>1</v>
      </c>
      <c r="S240" s="8" t="n">
        <f aca="false">IF(F240=0,0,M240/F240)</f>
        <v>1</v>
      </c>
      <c r="T240" s="8" t="n">
        <f aca="false">S240+R240</f>
        <v>2</v>
      </c>
      <c r="U240" s="8" t="n">
        <f aca="false">S240-Q240</f>
        <v>0</v>
      </c>
    </row>
    <row r="241" customFormat="false" ht="14.25" hidden="false" customHeight="true" outlineLevel="0" collapsed="false">
      <c r="A241" s="6" t="s">
        <v>369</v>
      </c>
      <c r="B241" s="6" t="s">
        <v>71</v>
      </c>
      <c r="C241" s="7" t="n">
        <v>1</v>
      </c>
      <c r="D241" s="7" t="s">
        <v>601</v>
      </c>
      <c r="E241" s="7" t="n">
        <v>1</v>
      </c>
      <c r="F241" s="7" t="n">
        <v>1</v>
      </c>
      <c r="G241" s="7" t="n">
        <v>0</v>
      </c>
      <c r="H241" s="7" t="n">
        <v>1</v>
      </c>
      <c r="I241" s="7" t="n">
        <v>0</v>
      </c>
      <c r="J241" s="7" t="n">
        <v>0</v>
      </c>
      <c r="K241" s="7" t="n">
        <v>0</v>
      </c>
      <c r="L241" s="7" t="n">
        <v>0</v>
      </c>
      <c r="M241" s="7" t="n">
        <v>1</v>
      </c>
      <c r="N241" s="7" t="n">
        <v>1</v>
      </c>
      <c r="O241" s="7" t="n">
        <v>0</v>
      </c>
      <c r="P241" s="7" t="n">
        <v>0</v>
      </c>
      <c r="Q241" s="8" t="n">
        <f aca="false">IF(F241=0,0,H241/F241)</f>
        <v>1</v>
      </c>
      <c r="R241" s="8" t="n">
        <f aca="false">IF(F241+O241=0,0,(H241+O241)/(F241+O241))</f>
        <v>1</v>
      </c>
      <c r="S241" s="8" t="n">
        <f aca="false">IF(F241=0,0,M241/F241)</f>
        <v>1</v>
      </c>
      <c r="T241" s="8" t="n">
        <f aca="false">S241+R241</f>
        <v>2</v>
      </c>
      <c r="U241" s="8" t="n">
        <f aca="false">S241-Q241</f>
        <v>0</v>
      </c>
    </row>
    <row r="242" customFormat="false" ht="14.25" hidden="false" customHeight="true" outlineLevel="0" collapsed="false">
      <c r="A242" s="6" t="s">
        <v>297</v>
      </c>
      <c r="B242" s="6" t="s">
        <v>121</v>
      </c>
      <c r="C242" s="7" t="n">
        <v>1</v>
      </c>
      <c r="D242" s="7" t="s">
        <v>613</v>
      </c>
      <c r="E242" s="7" t="n">
        <v>1</v>
      </c>
      <c r="F242" s="7" t="n">
        <v>1</v>
      </c>
      <c r="G242" s="7" t="n">
        <v>0</v>
      </c>
      <c r="H242" s="7" t="n">
        <v>1</v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1</v>
      </c>
      <c r="N242" s="7" t="n">
        <v>1</v>
      </c>
      <c r="O242" s="7" t="n">
        <v>0</v>
      </c>
      <c r="P242" s="7" t="n">
        <v>0</v>
      </c>
      <c r="Q242" s="8" t="n">
        <f aca="false">IF(F242=0,0,H242/F242)</f>
        <v>1</v>
      </c>
      <c r="R242" s="8" t="n">
        <f aca="false">IF(F242+O242=0,0,(H242+O242)/(F242+O242))</f>
        <v>1</v>
      </c>
      <c r="S242" s="8" t="n">
        <f aca="false">IF(F242=0,0,M242/F242)</f>
        <v>1</v>
      </c>
      <c r="T242" s="8" t="n">
        <f aca="false">S242+R242</f>
        <v>2</v>
      </c>
      <c r="U242" s="8" t="n">
        <f aca="false">S242-Q242</f>
        <v>0</v>
      </c>
    </row>
    <row r="243" customFormat="false" ht="14.25" hidden="false" customHeight="true" outlineLevel="0" collapsed="false">
      <c r="A243" s="6" t="s">
        <v>91</v>
      </c>
      <c r="B243" s="6" t="s">
        <v>71</v>
      </c>
      <c r="C243" s="7" t="n">
        <v>1</v>
      </c>
      <c r="D243" s="7" t="s">
        <v>555</v>
      </c>
      <c r="E243" s="7" t="n">
        <v>1</v>
      </c>
      <c r="F243" s="7" t="n">
        <v>1</v>
      </c>
      <c r="G243" s="7" t="n">
        <v>0</v>
      </c>
      <c r="H243" s="7" t="n">
        <v>1</v>
      </c>
      <c r="I243" s="7" t="n">
        <v>0</v>
      </c>
      <c r="J243" s="7" t="n">
        <v>0</v>
      </c>
      <c r="K243" s="7" t="n">
        <v>0</v>
      </c>
      <c r="L243" s="7" t="n">
        <v>0</v>
      </c>
      <c r="M243" s="7" t="n">
        <v>1</v>
      </c>
      <c r="N243" s="7" t="n">
        <v>0</v>
      </c>
      <c r="O243" s="7" t="n">
        <v>0</v>
      </c>
      <c r="P243" s="7" t="n">
        <v>0</v>
      </c>
      <c r="Q243" s="8" t="n">
        <f aca="false">IF(F243=0,0,H243/F243)</f>
        <v>1</v>
      </c>
      <c r="R243" s="8" t="n">
        <f aca="false">IF(F243+O243=0,0,(H243+O243)/(F243+O243))</f>
        <v>1</v>
      </c>
      <c r="S243" s="8" t="n">
        <f aca="false">IF(F243=0,0,M243/F243)</f>
        <v>1</v>
      </c>
      <c r="T243" s="8" t="n">
        <f aca="false">S243+R243</f>
        <v>2</v>
      </c>
      <c r="U243" s="8" t="n">
        <f aca="false">S243-Q243</f>
        <v>0</v>
      </c>
    </row>
    <row r="244" customFormat="false" ht="14.25" hidden="false" customHeight="true" outlineLevel="0" collapsed="false">
      <c r="A244" s="6" t="s">
        <v>141</v>
      </c>
      <c r="B244" s="6" t="s">
        <v>166</v>
      </c>
      <c r="C244" s="7" t="n">
        <v>1</v>
      </c>
      <c r="D244" s="7" t="s">
        <v>571</v>
      </c>
      <c r="E244" s="7" t="n">
        <v>1</v>
      </c>
      <c r="F244" s="7" t="n">
        <v>2</v>
      </c>
      <c r="G244" s="7" t="n">
        <v>0</v>
      </c>
      <c r="H244" s="7" t="n">
        <v>1</v>
      </c>
      <c r="I244" s="7" t="n">
        <v>0</v>
      </c>
      <c r="J244" s="7" t="n">
        <v>0</v>
      </c>
      <c r="K244" s="7" t="n">
        <v>0</v>
      </c>
      <c r="L244" s="7" t="n">
        <v>0</v>
      </c>
      <c r="M244" s="7" t="n">
        <v>1</v>
      </c>
      <c r="N244" s="7" t="n">
        <v>0</v>
      </c>
      <c r="O244" s="7" t="n">
        <v>0</v>
      </c>
      <c r="P244" s="7" t="n">
        <v>0</v>
      </c>
      <c r="Q244" s="8" t="n">
        <f aca="false">IF(F244=0,0,H244/F244)</f>
        <v>0.5</v>
      </c>
      <c r="R244" s="8" t="n">
        <f aca="false">IF(F244+O244=0,0,(H244+O244)/(F244+O244))</f>
        <v>0.5</v>
      </c>
      <c r="S244" s="8" t="n">
        <f aca="false">IF(F244=0,0,M244/F244)</f>
        <v>0.5</v>
      </c>
      <c r="T244" s="8" t="n">
        <f aca="false">S244+R244</f>
        <v>1</v>
      </c>
      <c r="U244" s="8" t="n">
        <f aca="false">S244-Q244</f>
        <v>0</v>
      </c>
    </row>
    <row r="245" customFormat="false" ht="14.25" hidden="false" customHeight="true" outlineLevel="0" collapsed="false">
      <c r="A245" s="6" t="s">
        <v>490</v>
      </c>
      <c r="B245" s="6" t="s">
        <v>166</v>
      </c>
      <c r="C245" s="7" t="n">
        <v>1</v>
      </c>
      <c r="D245" s="7" t="s">
        <v>571</v>
      </c>
      <c r="E245" s="7" t="n">
        <v>1</v>
      </c>
      <c r="F245" s="7" t="n">
        <v>2</v>
      </c>
      <c r="G245" s="7" t="n">
        <v>1</v>
      </c>
      <c r="H245" s="7" t="n">
        <v>1</v>
      </c>
      <c r="I245" s="7" t="n">
        <v>0</v>
      </c>
      <c r="J245" s="7" t="n">
        <v>0</v>
      </c>
      <c r="K245" s="7" t="n">
        <v>0</v>
      </c>
      <c r="L245" s="7" t="n">
        <v>0</v>
      </c>
      <c r="M245" s="7" t="n">
        <v>1</v>
      </c>
      <c r="N245" s="7" t="n">
        <v>1</v>
      </c>
      <c r="O245" s="7" t="n">
        <v>0</v>
      </c>
      <c r="P245" s="7" t="n">
        <v>0</v>
      </c>
      <c r="Q245" s="8" t="n">
        <f aca="false">IF(F245=0,0,H245/F245)</f>
        <v>0.5</v>
      </c>
      <c r="R245" s="8" t="n">
        <f aca="false">IF(F245+O245=0,0,(H245+O245)/(F245+O245))</f>
        <v>0.5</v>
      </c>
      <c r="S245" s="8" t="n">
        <f aca="false">IF(F245=0,0,M245/F245)</f>
        <v>0.5</v>
      </c>
      <c r="T245" s="8" t="n">
        <f aca="false">S245+R245</f>
        <v>1</v>
      </c>
      <c r="U245" s="8" t="n">
        <f aca="false">S245-Q245</f>
        <v>0</v>
      </c>
    </row>
    <row r="246" customFormat="false" ht="14.25" hidden="false" customHeight="true" outlineLevel="0" collapsed="false">
      <c r="A246" s="6" t="s">
        <v>424</v>
      </c>
      <c r="B246" s="6" t="s">
        <v>121</v>
      </c>
      <c r="C246" s="7" t="n">
        <v>1</v>
      </c>
      <c r="D246" s="7" t="s">
        <v>568</v>
      </c>
      <c r="E246" s="7" t="n">
        <v>1</v>
      </c>
      <c r="F246" s="7" t="n">
        <v>2</v>
      </c>
      <c r="G246" s="7" t="n">
        <v>0</v>
      </c>
      <c r="H246" s="7" t="n">
        <v>1</v>
      </c>
      <c r="I246" s="7" t="n">
        <v>0</v>
      </c>
      <c r="J246" s="7" t="n">
        <v>0</v>
      </c>
      <c r="K246" s="7" t="n">
        <v>0</v>
      </c>
      <c r="L246" s="7" t="n">
        <v>0</v>
      </c>
      <c r="M246" s="7" t="n">
        <v>1</v>
      </c>
      <c r="N246" s="7" t="n">
        <v>0</v>
      </c>
      <c r="O246" s="7" t="n">
        <v>1</v>
      </c>
      <c r="P246" s="7" t="n">
        <v>0</v>
      </c>
      <c r="Q246" s="8" t="n">
        <f aca="false">IF(F246=0,0,H246/F246)</f>
        <v>0.5</v>
      </c>
      <c r="R246" s="8" t="n">
        <f aca="false">IF(F246+O246=0,0,(H246+O246)/(F246+O246))</f>
        <v>0.666666666666667</v>
      </c>
      <c r="S246" s="8" t="n">
        <f aca="false">IF(F246=0,0,M246/F246)</f>
        <v>0.5</v>
      </c>
      <c r="T246" s="8" t="n">
        <f aca="false">S246+R246</f>
        <v>1.16666666666667</v>
      </c>
      <c r="U246" s="8" t="n">
        <f aca="false">S246-Q246</f>
        <v>0</v>
      </c>
    </row>
    <row r="247" customFormat="false" ht="14.25" hidden="false" customHeight="true" outlineLevel="0" collapsed="false">
      <c r="A247" s="6" t="s">
        <v>425</v>
      </c>
      <c r="B247" s="6" t="s">
        <v>121</v>
      </c>
      <c r="C247" s="7" t="n">
        <v>1</v>
      </c>
      <c r="D247" s="7" t="s">
        <v>568</v>
      </c>
      <c r="E247" s="7" t="n">
        <v>1</v>
      </c>
      <c r="F247" s="7" t="n">
        <v>2</v>
      </c>
      <c r="G247" s="7" t="n">
        <v>0</v>
      </c>
      <c r="H247" s="7" t="n">
        <v>1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1</v>
      </c>
      <c r="N247" s="7" t="n">
        <v>0</v>
      </c>
      <c r="O247" s="7" t="n">
        <v>0</v>
      </c>
      <c r="P247" s="7" t="n">
        <v>0</v>
      </c>
      <c r="Q247" s="8" t="n">
        <f aca="false">IF(F247=0,0,H247/F247)</f>
        <v>0.5</v>
      </c>
      <c r="R247" s="8" t="n">
        <f aca="false">IF(F247+O247=0,0,(H247+O247)/(F247+O247))</f>
        <v>0.5</v>
      </c>
      <c r="S247" s="8" t="n">
        <f aca="false">IF(F247=0,0,M247/F247)</f>
        <v>0.5</v>
      </c>
      <c r="T247" s="8" t="n">
        <f aca="false">S247+R247</f>
        <v>1</v>
      </c>
      <c r="U247" s="8" t="n">
        <f aca="false">S247-Q247</f>
        <v>0</v>
      </c>
    </row>
    <row r="248" customFormat="false" ht="14.25" hidden="false" customHeight="true" outlineLevel="0" collapsed="false">
      <c r="A248" s="6" t="s">
        <v>370</v>
      </c>
      <c r="B248" s="6" t="s">
        <v>71</v>
      </c>
      <c r="C248" s="7" t="n">
        <v>1</v>
      </c>
      <c r="D248" s="7" t="s">
        <v>601</v>
      </c>
      <c r="E248" s="7" t="n">
        <v>1</v>
      </c>
      <c r="F248" s="7" t="n">
        <v>2</v>
      </c>
      <c r="G248" s="7" t="n">
        <v>0</v>
      </c>
      <c r="H248" s="7" t="n">
        <v>1</v>
      </c>
      <c r="I248" s="7" t="n">
        <v>0</v>
      </c>
      <c r="J248" s="7" t="n">
        <v>0</v>
      </c>
      <c r="K248" s="7" t="n">
        <v>0</v>
      </c>
      <c r="L248" s="7" t="n">
        <v>0</v>
      </c>
      <c r="M248" s="7" t="n">
        <v>1</v>
      </c>
      <c r="N248" s="7" t="n">
        <v>0</v>
      </c>
      <c r="O248" s="7" t="n">
        <v>0</v>
      </c>
      <c r="P248" s="7" t="n">
        <v>1</v>
      </c>
      <c r="Q248" s="8" t="n">
        <f aca="false">IF(F248=0,0,H248/F248)</f>
        <v>0.5</v>
      </c>
      <c r="R248" s="8" t="n">
        <f aca="false">IF(F248+O248=0,0,(H248+O248)/(F248+O248))</f>
        <v>0.5</v>
      </c>
      <c r="S248" s="8" t="n">
        <f aca="false">IF(F248=0,0,M248/F248)</f>
        <v>0.5</v>
      </c>
      <c r="T248" s="8" t="n">
        <f aca="false">S248+R248</f>
        <v>1</v>
      </c>
      <c r="U248" s="8" t="n">
        <f aca="false">S248-Q248</f>
        <v>0</v>
      </c>
    </row>
    <row r="249" customFormat="false" ht="14.25" hidden="false" customHeight="true" outlineLevel="0" collapsed="false">
      <c r="A249" s="6" t="s">
        <v>330</v>
      </c>
      <c r="B249" s="6" t="s">
        <v>97</v>
      </c>
      <c r="C249" s="7" t="n">
        <v>1</v>
      </c>
      <c r="D249" s="7" t="s">
        <v>570</v>
      </c>
      <c r="E249" s="7" t="n">
        <v>1</v>
      </c>
      <c r="F249" s="7" t="n">
        <v>2</v>
      </c>
      <c r="G249" s="7" t="n">
        <v>1</v>
      </c>
      <c r="H249" s="7" t="n">
        <v>1</v>
      </c>
      <c r="I249" s="7" t="n">
        <v>1</v>
      </c>
      <c r="J249" s="7" t="n">
        <v>0</v>
      </c>
      <c r="K249" s="7" t="n">
        <v>0</v>
      </c>
      <c r="L249" s="7" t="n">
        <v>1</v>
      </c>
      <c r="M249" s="7" t="n">
        <v>2</v>
      </c>
      <c r="N249" s="7" t="n">
        <v>0</v>
      </c>
      <c r="O249" s="7" t="n">
        <v>1</v>
      </c>
      <c r="P249" s="7" t="n">
        <v>0</v>
      </c>
      <c r="Q249" s="8" t="n">
        <f aca="false">IF(F249=0,0,H249/F249)</f>
        <v>0.5</v>
      </c>
      <c r="R249" s="8" t="n">
        <f aca="false">IF(F249+O249=0,0,(H249+O249)/(F249+O249))</f>
        <v>0.666666666666667</v>
      </c>
      <c r="S249" s="8" t="n">
        <f aca="false">IF(F249=0,0,M249/F249)</f>
        <v>1</v>
      </c>
      <c r="T249" s="8" t="n">
        <f aca="false">S249+R249</f>
        <v>1.66666666666667</v>
      </c>
      <c r="U249" s="8" t="n">
        <f aca="false">S249-Q249</f>
        <v>0.5</v>
      </c>
    </row>
    <row r="250" customFormat="false" ht="14.25" hidden="false" customHeight="true" outlineLevel="0" collapsed="false">
      <c r="A250" s="6" t="s">
        <v>348</v>
      </c>
      <c r="B250" s="6" t="s">
        <v>166</v>
      </c>
      <c r="C250" s="7" t="n">
        <v>1</v>
      </c>
      <c r="D250" s="7" t="s">
        <v>570</v>
      </c>
      <c r="E250" s="7" t="n">
        <v>1</v>
      </c>
      <c r="F250" s="7" t="n">
        <v>2</v>
      </c>
      <c r="G250" s="7" t="n">
        <v>1</v>
      </c>
      <c r="H250" s="7" t="n">
        <v>1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1</v>
      </c>
      <c r="N250" s="7" t="n">
        <v>1</v>
      </c>
      <c r="O250" s="7" t="n">
        <v>1</v>
      </c>
      <c r="P250" s="7" t="n">
        <v>0</v>
      </c>
      <c r="Q250" s="8" t="n">
        <f aca="false">IF(F250=0,0,H250/F250)</f>
        <v>0.5</v>
      </c>
      <c r="R250" s="8" t="n">
        <f aca="false">IF(F250+O250=0,0,(H250+O250)/(F250+O250))</f>
        <v>0.666666666666667</v>
      </c>
      <c r="S250" s="8" t="n">
        <f aca="false">IF(F250=0,0,M250/F250)</f>
        <v>0.5</v>
      </c>
      <c r="T250" s="8" t="n">
        <f aca="false">S250+R250</f>
        <v>1.16666666666667</v>
      </c>
      <c r="U250" s="8" t="n">
        <f aca="false">S250-Q250</f>
        <v>0</v>
      </c>
    </row>
    <row r="251" customFormat="false" ht="14.25" hidden="false" customHeight="true" outlineLevel="0" collapsed="false">
      <c r="A251" s="6" t="s">
        <v>283</v>
      </c>
      <c r="B251" s="6" t="s">
        <v>71</v>
      </c>
      <c r="C251" s="7" t="n">
        <v>1</v>
      </c>
      <c r="D251" s="7" t="s">
        <v>613</v>
      </c>
      <c r="E251" s="7" t="n">
        <v>1</v>
      </c>
      <c r="F251" s="7" t="n">
        <v>2</v>
      </c>
      <c r="G251" s="7" t="n">
        <v>0</v>
      </c>
      <c r="H251" s="7" t="n">
        <v>1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1</v>
      </c>
      <c r="N251" s="7" t="n">
        <v>0</v>
      </c>
      <c r="O251" s="7" t="n">
        <v>1</v>
      </c>
      <c r="P251" s="7" t="n">
        <v>0</v>
      </c>
      <c r="Q251" s="8" t="n">
        <f aca="false">IF(F251=0,0,H251/F251)</f>
        <v>0.5</v>
      </c>
      <c r="R251" s="8" t="n">
        <f aca="false">IF(F251+O251=0,0,(H251+O251)/(F251+O251))</f>
        <v>0.666666666666667</v>
      </c>
      <c r="S251" s="8" t="n">
        <f aca="false">IF(F251=0,0,M251/F251)</f>
        <v>0.5</v>
      </c>
      <c r="T251" s="8" t="n">
        <f aca="false">S251+R251</f>
        <v>1.16666666666667</v>
      </c>
      <c r="U251" s="8" t="n">
        <f aca="false">S251-Q251</f>
        <v>0</v>
      </c>
    </row>
    <row r="252" customFormat="false" ht="14.25" hidden="false" customHeight="true" outlineLevel="0" collapsed="false">
      <c r="A252" s="6" t="s">
        <v>158</v>
      </c>
      <c r="B252" s="6" t="s">
        <v>147</v>
      </c>
      <c r="C252" s="7" t="n">
        <v>1</v>
      </c>
      <c r="D252" s="7" t="s">
        <v>555</v>
      </c>
      <c r="E252" s="7" t="n">
        <v>1</v>
      </c>
      <c r="F252" s="7" t="n">
        <v>2</v>
      </c>
      <c r="G252" s="7" t="n">
        <v>1</v>
      </c>
      <c r="H252" s="7" t="n">
        <v>1</v>
      </c>
      <c r="I252" s="7" t="n">
        <v>1</v>
      </c>
      <c r="J252" s="7" t="n">
        <v>0</v>
      </c>
      <c r="K252" s="7" t="n">
        <v>0</v>
      </c>
      <c r="L252" s="7" t="n">
        <v>1</v>
      </c>
      <c r="M252" s="7" t="n">
        <v>2</v>
      </c>
      <c r="N252" s="7" t="n">
        <v>0</v>
      </c>
      <c r="O252" s="7" t="n">
        <v>1</v>
      </c>
      <c r="P252" s="7" t="n">
        <v>0</v>
      </c>
      <c r="Q252" s="8" t="n">
        <f aca="false">IF(F252=0,0,H252/F252)</f>
        <v>0.5</v>
      </c>
      <c r="R252" s="8" t="n">
        <f aca="false">IF(F252+O252=0,0,(H252+O252)/(F252+O252))</f>
        <v>0.666666666666667</v>
      </c>
      <c r="S252" s="8" t="n">
        <f aca="false">IF(F252=0,0,M252/F252)</f>
        <v>1</v>
      </c>
      <c r="T252" s="8" t="n">
        <f aca="false">S252+R252</f>
        <v>1.66666666666667</v>
      </c>
      <c r="U252" s="8" t="n">
        <f aca="false">S252-Q252</f>
        <v>0.5</v>
      </c>
    </row>
    <row r="253" customFormat="false" ht="14.25" hidden="false" customHeight="true" outlineLevel="0" collapsed="false">
      <c r="A253" s="6" t="s">
        <v>82</v>
      </c>
      <c r="B253" s="6" t="s">
        <v>71</v>
      </c>
      <c r="C253" s="7" t="n">
        <v>1</v>
      </c>
      <c r="D253" s="7" t="s">
        <v>555</v>
      </c>
      <c r="E253" s="7" t="n">
        <v>1</v>
      </c>
      <c r="F253" s="7" t="n">
        <v>2</v>
      </c>
      <c r="G253" s="7" t="n">
        <v>0</v>
      </c>
      <c r="H253" s="7" t="n">
        <v>1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1</v>
      </c>
      <c r="N253" s="7" t="n">
        <v>0</v>
      </c>
      <c r="O253" s="7" t="n">
        <v>0</v>
      </c>
      <c r="P253" s="7" t="n">
        <v>1</v>
      </c>
      <c r="Q253" s="8" t="n">
        <f aca="false">IF(F253=0,0,H253/F253)</f>
        <v>0.5</v>
      </c>
      <c r="R253" s="8" t="n">
        <f aca="false">IF(F253+O253=0,0,(H253+O253)/(F253+O253))</f>
        <v>0.5</v>
      </c>
      <c r="S253" s="8" t="n">
        <f aca="false">IF(F253=0,0,M253/F253)</f>
        <v>0.5</v>
      </c>
      <c r="T253" s="8" t="n">
        <f aca="false">S253+R253</f>
        <v>1</v>
      </c>
      <c r="U253" s="8" t="n">
        <f aca="false">S253-Q253</f>
        <v>0</v>
      </c>
    </row>
    <row r="254" customFormat="false" ht="14.25" hidden="false" customHeight="true" outlineLevel="0" collapsed="false">
      <c r="A254" s="6" t="s">
        <v>466</v>
      </c>
      <c r="B254" s="6" t="s">
        <v>97</v>
      </c>
      <c r="C254" s="7" t="n">
        <v>1</v>
      </c>
      <c r="D254" s="7" t="s">
        <v>571</v>
      </c>
      <c r="E254" s="7" t="n">
        <v>1</v>
      </c>
      <c r="F254" s="7" t="n">
        <v>3</v>
      </c>
      <c r="G254" s="7" t="n">
        <v>0</v>
      </c>
      <c r="H254" s="7" t="n">
        <v>1</v>
      </c>
      <c r="I254" s="7" t="n">
        <v>1</v>
      </c>
      <c r="J254" s="7" t="n">
        <v>0</v>
      </c>
      <c r="K254" s="7" t="n">
        <v>0</v>
      </c>
      <c r="L254" s="7" t="n">
        <v>1</v>
      </c>
      <c r="M254" s="7" t="n">
        <v>2</v>
      </c>
      <c r="N254" s="7" t="n">
        <v>1</v>
      </c>
      <c r="O254" s="7" t="n">
        <v>0</v>
      </c>
      <c r="P254" s="7" t="n">
        <v>0</v>
      </c>
      <c r="Q254" s="8" t="n">
        <f aca="false">IF(F254=0,0,H254/F254)</f>
        <v>0.333333333333333</v>
      </c>
      <c r="R254" s="8" t="n">
        <f aca="false">IF(F254+O254=0,0,(H254+O254)/(F254+O254))</f>
        <v>0.333333333333333</v>
      </c>
      <c r="S254" s="8" t="n">
        <f aca="false">IF(F254=0,0,M254/F254)</f>
        <v>0.666666666666667</v>
      </c>
      <c r="T254" s="8" t="n">
        <f aca="false">S254+R254</f>
        <v>1</v>
      </c>
      <c r="U254" s="8" t="n">
        <f aca="false">S254-Q254</f>
        <v>0.333333333333333</v>
      </c>
    </row>
    <row r="255" customFormat="false" ht="14.25" hidden="false" customHeight="true" outlineLevel="0" collapsed="false">
      <c r="A255" s="6" t="s">
        <v>141</v>
      </c>
      <c r="B255" s="6" t="s">
        <v>121</v>
      </c>
      <c r="C255" s="7" t="n">
        <v>2</v>
      </c>
      <c r="D255" s="7" t="s">
        <v>566</v>
      </c>
      <c r="E255" s="7" t="n">
        <v>2</v>
      </c>
      <c r="F255" s="7" t="n">
        <v>3</v>
      </c>
      <c r="G255" s="7" t="n">
        <v>2</v>
      </c>
      <c r="H255" s="7" t="n">
        <v>1</v>
      </c>
      <c r="I255" s="7" t="n">
        <v>1</v>
      </c>
      <c r="J255" s="7" t="n">
        <v>0</v>
      </c>
      <c r="K255" s="7" t="n">
        <v>0</v>
      </c>
      <c r="L255" s="7" t="n">
        <v>1</v>
      </c>
      <c r="M255" s="7" t="n">
        <v>2</v>
      </c>
      <c r="N255" s="7" t="n">
        <v>0</v>
      </c>
      <c r="O255" s="7" t="n">
        <v>1</v>
      </c>
      <c r="P255" s="7" t="n">
        <v>1</v>
      </c>
      <c r="Q255" s="8" t="n">
        <f aca="false">IF(F255=0,0,H255/F255)</f>
        <v>0.333333333333333</v>
      </c>
      <c r="R255" s="8" t="n">
        <f aca="false">IF(F255+O255=0,0,(H255+O255)/(F255+O255))</f>
        <v>0.5</v>
      </c>
      <c r="S255" s="8" t="n">
        <f aca="false">IF(F255=0,0,M255/F255)</f>
        <v>0.666666666666667</v>
      </c>
      <c r="T255" s="8" t="n">
        <f aca="false">S255+R255</f>
        <v>1.16666666666667</v>
      </c>
      <c r="U255" s="8" t="n">
        <f aca="false">S255-Q255</f>
        <v>0.333333333333333</v>
      </c>
    </row>
    <row r="256" customFormat="false" ht="14.25" hidden="false" customHeight="true" outlineLevel="0" collapsed="false">
      <c r="A256" s="6" t="s">
        <v>467</v>
      </c>
      <c r="B256" s="6" t="s">
        <v>97</v>
      </c>
      <c r="C256" s="7" t="n">
        <v>1</v>
      </c>
      <c r="D256" s="7" t="s">
        <v>571</v>
      </c>
      <c r="E256" s="7" t="n">
        <v>1</v>
      </c>
      <c r="F256" s="7" t="n">
        <v>3</v>
      </c>
      <c r="G256" s="7" t="n">
        <v>0</v>
      </c>
      <c r="H256" s="7" t="n">
        <v>1</v>
      </c>
      <c r="I256" s="7" t="n">
        <v>0</v>
      </c>
      <c r="J256" s="7" t="n">
        <v>0</v>
      </c>
      <c r="K256" s="7" t="n">
        <v>0</v>
      </c>
      <c r="L256" s="7" t="n">
        <v>0</v>
      </c>
      <c r="M256" s="7" t="n">
        <v>1</v>
      </c>
      <c r="N256" s="7" t="n">
        <v>0</v>
      </c>
      <c r="O256" s="7" t="n">
        <v>0</v>
      </c>
      <c r="P256" s="7" t="n">
        <v>0</v>
      </c>
      <c r="Q256" s="8" t="n">
        <f aca="false">IF(F256=0,0,H256/F256)</f>
        <v>0.333333333333333</v>
      </c>
      <c r="R256" s="8" t="n">
        <f aca="false">IF(F256+O256=0,0,(H256+O256)/(F256+O256))</f>
        <v>0.333333333333333</v>
      </c>
      <c r="S256" s="8" t="n">
        <f aca="false">IF(F256=0,0,M256/F256)</f>
        <v>0.333333333333333</v>
      </c>
      <c r="T256" s="8" t="n">
        <f aca="false">S256+R256</f>
        <v>0.666666666666667</v>
      </c>
      <c r="U256" s="8" t="n">
        <f aca="false">S256-Q256</f>
        <v>0</v>
      </c>
    </row>
    <row r="257" customFormat="false" ht="14.25" hidden="false" customHeight="true" outlineLevel="0" collapsed="false">
      <c r="A257" s="6" t="s">
        <v>502</v>
      </c>
      <c r="B257" s="6" t="s">
        <v>212</v>
      </c>
      <c r="C257" s="7" t="n">
        <v>1</v>
      </c>
      <c r="D257" s="7" t="s">
        <v>571</v>
      </c>
      <c r="E257" s="7" t="n">
        <v>1</v>
      </c>
      <c r="F257" s="7" t="n">
        <v>3</v>
      </c>
      <c r="G257" s="7" t="n">
        <v>0</v>
      </c>
      <c r="H257" s="7" t="n">
        <v>1</v>
      </c>
      <c r="I257" s="7" t="n">
        <v>0</v>
      </c>
      <c r="J257" s="7" t="n">
        <v>0</v>
      </c>
      <c r="K257" s="7" t="n">
        <v>0</v>
      </c>
      <c r="L257" s="7" t="n">
        <v>0</v>
      </c>
      <c r="M257" s="7" t="n">
        <v>1</v>
      </c>
      <c r="N257" s="7" t="n">
        <v>0</v>
      </c>
      <c r="O257" s="7" t="n">
        <v>0</v>
      </c>
      <c r="P257" s="7" t="n">
        <v>0</v>
      </c>
      <c r="Q257" s="8" t="n">
        <f aca="false">IF(F257=0,0,H257/F257)</f>
        <v>0.333333333333333</v>
      </c>
      <c r="R257" s="8" t="n">
        <f aca="false">IF(F257+O257=0,0,(H257+O257)/(F257+O257))</f>
        <v>0.333333333333333</v>
      </c>
      <c r="S257" s="8" t="n">
        <f aca="false">IF(F257=0,0,M257/F257)</f>
        <v>0.333333333333333</v>
      </c>
      <c r="T257" s="8" t="n">
        <f aca="false">S257+R257</f>
        <v>0.666666666666667</v>
      </c>
      <c r="U257" s="8" t="n">
        <f aca="false">S257-Q257</f>
        <v>0</v>
      </c>
    </row>
    <row r="258" customFormat="false" ht="14.25" hidden="false" customHeight="true" outlineLevel="0" collapsed="false">
      <c r="A258" s="6" t="s">
        <v>503</v>
      </c>
      <c r="B258" s="6" t="s">
        <v>212</v>
      </c>
      <c r="C258" s="7" t="n">
        <v>1</v>
      </c>
      <c r="D258" s="7" t="s">
        <v>571</v>
      </c>
      <c r="E258" s="7" t="n">
        <v>1</v>
      </c>
      <c r="F258" s="7" t="n">
        <v>3</v>
      </c>
      <c r="G258" s="7" t="n">
        <v>0</v>
      </c>
      <c r="H258" s="7" t="n">
        <v>1</v>
      </c>
      <c r="I258" s="7" t="n">
        <v>0</v>
      </c>
      <c r="J258" s="7" t="n">
        <v>0</v>
      </c>
      <c r="K258" s="7" t="n">
        <v>0</v>
      </c>
      <c r="L258" s="7" t="n">
        <v>0</v>
      </c>
      <c r="M258" s="7" t="n">
        <v>1</v>
      </c>
      <c r="N258" s="7" t="n">
        <v>0</v>
      </c>
      <c r="O258" s="7" t="n">
        <v>0</v>
      </c>
      <c r="P258" s="7" t="n">
        <v>0</v>
      </c>
      <c r="Q258" s="8" t="n">
        <f aca="false">IF(F258=0,0,H258/F258)</f>
        <v>0.333333333333333</v>
      </c>
      <c r="R258" s="8" t="n">
        <f aca="false">IF(F258+O258=0,0,(H258+O258)/(F258+O258))</f>
        <v>0.333333333333333</v>
      </c>
      <c r="S258" s="8" t="n">
        <f aca="false">IF(F258=0,0,M258/F258)</f>
        <v>0.333333333333333</v>
      </c>
      <c r="T258" s="8" t="n">
        <f aca="false">S258+R258</f>
        <v>0.666666666666667</v>
      </c>
      <c r="U258" s="8" t="n">
        <f aca="false">S258-Q258</f>
        <v>0</v>
      </c>
    </row>
    <row r="259" customFormat="false" ht="14.25" hidden="false" customHeight="true" outlineLevel="0" collapsed="false">
      <c r="A259" s="6" t="s">
        <v>433</v>
      </c>
      <c r="B259" s="6" t="s">
        <v>147</v>
      </c>
      <c r="C259" s="7" t="n">
        <v>1</v>
      </c>
      <c r="D259" s="7" t="s">
        <v>568</v>
      </c>
      <c r="E259" s="7" t="n">
        <v>1</v>
      </c>
      <c r="F259" s="7" t="n">
        <v>3</v>
      </c>
      <c r="G259" s="7" t="n">
        <v>2</v>
      </c>
      <c r="H259" s="7" t="n">
        <v>1</v>
      </c>
      <c r="I259" s="7" t="n">
        <v>0</v>
      </c>
      <c r="J259" s="7" t="n">
        <v>0</v>
      </c>
      <c r="K259" s="7" t="n">
        <v>0</v>
      </c>
      <c r="L259" s="7" t="n">
        <v>0</v>
      </c>
      <c r="M259" s="7" t="n">
        <v>1</v>
      </c>
      <c r="N259" s="7" t="n">
        <v>1</v>
      </c>
      <c r="O259" s="7" t="n">
        <v>1</v>
      </c>
      <c r="P259" s="7" t="n">
        <v>0</v>
      </c>
      <c r="Q259" s="8" t="n">
        <f aca="false">IF(F259=0,0,H259/F259)</f>
        <v>0.333333333333333</v>
      </c>
      <c r="R259" s="8" t="n">
        <f aca="false">IF(F259+O259=0,0,(H259+O259)/(F259+O259))</f>
        <v>0.5</v>
      </c>
      <c r="S259" s="8" t="n">
        <f aca="false">IF(F259=0,0,M259/F259)</f>
        <v>0.333333333333333</v>
      </c>
      <c r="T259" s="8" t="n">
        <f aca="false">S259+R259</f>
        <v>0.833333333333333</v>
      </c>
      <c r="U259" s="8" t="n">
        <f aca="false">S259-Q259</f>
        <v>0</v>
      </c>
    </row>
    <row r="260" customFormat="false" ht="14.25" hidden="false" customHeight="true" outlineLevel="0" collapsed="false">
      <c r="A260" s="6" t="s">
        <v>444</v>
      </c>
      <c r="B260" s="6" t="s">
        <v>192</v>
      </c>
      <c r="C260" s="7" t="n">
        <v>1</v>
      </c>
      <c r="D260" s="7" t="s">
        <v>568</v>
      </c>
      <c r="E260" s="7" t="n">
        <v>1</v>
      </c>
      <c r="F260" s="7" t="n">
        <v>3</v>
      </c>
      <c r="G260" s="7" t="n">
        <v>0</v>
      </c>
      <c r="H260" s="7" t="n">
        <v>1</v>
      </c>
      <c r="I260" s="7" t="n">
        <v>0</v>
      </c>
      <c r="J260" s="7" t="n">
        <v>0</v>
      </c>
      <c r="K260" s="7" t="n">
        <v>0</v>
      </c>
      <c r="L260" s="7" t="n">
        <v>0</v>
      </c>
      <c r="M260" s="7" t="n">
        <v>1</v>
      </c>
      <c r="N260" s="7" t="n">
        <v>0</v>
      </c>
      <c r="O260" s="7" t="n">
        <v>0</v>
      </c>
      <c r="P260" s="7" t="n">
        <v>0</v>
      </c>
      <c r="Q260" s="8" t="n">
        <f aca="false">IF(F260=0,0,H260/F260)</f>
        <v>0.333333333333333</v>
      </c>
      <c r="R260" s="8" t="n">
        <f aca="false">IF(F260+O260=0,0,(H260+O260)/(F260+O260))</f>
        <v>0.333333333333333</v>
      </c>
      <c r="S260" s="8" t="n">
        <f aca="false">IF(F260=0,0,M260/F260)</f>
        <v>0.333333333333333</v>
      </c>
      <c r="T260" s="8" t="n">
        <f aca="false">S260+R260</f>
        <v>0.666666666666667</v>
      </c>
      <c r="U260" s="8" t="n">
        <f aca="false">S260-Q260</f>
        <v>0</v>
      </c>
    </row>
    <row r="261" customFormat="false" ht="14.25" hidden="false" customHeight="true" outlineLevel="0" collapsed="false">
      <c r="A261" s="6" t="s">
        <v>445</v>
      </c>
      <c r="B261" s="6" t="s">
        <v>192</v>
      </c>
      <c r="C261" s="7" t="n">
        <v>1</v>
      </c>
      <c r="D261" s="7" t="s">
        <v>568</v>
      </c>
      <c r="E261" s="7" t="n">
        <v>1</v>
      </c>
      <c r="F261" s="7" t="n">
        <v>3</v>
      </c>
      <c r="G261" s="7" t="n">
        <v>0</v>
      </c>
      <c r="H261" s="7" t="n">
        <v>1</v>
      </c>
      <c r="I261" s="7" t="n">
        <v>0</v>
      </c>
      <c r="J261" s="7" t="n">
        <v>0</v>
      </c>
      <c r="K261" s="7" t="n">
        <v>0</v>
      </c>
      <c r="L261" s="7" t="n">
        <v>0</v>
      </c>
      <c r="M261" s="7" t="n">
        <v>1</v>
      </c>
      <c r="N261" s="7" t="n">
        <v>0</v>
      </c>
      <c r="O261" s="7" t="n">
        <v>0</v>
      </c>
      <c r="P261" s="7" t="n">
        <v>0</v>
      </c>
      <c r="Q261" s="8" t="n">
        <f aca="false">IF(F261=0,0,H261/F261)</f>
        <v>0.333333333333333</v>
      </c>
      <c r="R261" s="8" t="n">
        <f aca="false">IF(F261+O261=0,0,(H261+O261)/(F261+O261))</f>
        <v>0.333333333333333</v>
      </c>
      <c r="S261" s="8" t="n">
        <f aca="false">IF(F261=0,0,M261/F261)</f>
        <v>0.333333333333333</v>
      </c>
      <c r="T261" s="8" t="n">
        <f aca="false">S261+R261</f>
        <v>0.666666666666667</v>
      </c>
      <c r="U261" s="8" t="n">
        <f aca="false">S261-Q261</f>
        <v>0</v>
      </c>
    </row>
    <row r="262" customFormat="false" ht="14.25" hidden="false" customHeight="true" outlineLevel="0" collapsed="false">
      <c r="A262" s="6" t="s">
        <v>438</v>
      </c>
      <c r="B262" s="6" t="s">
        <v>166</v>
      </c>
      <c r="C262" s="7" t="n">
        <v>1</v>
      </c>
      <c r="D262" s="7" t="s">
        <v>568</v>
      </c>
      <c r="E262" s="7" t="n">
        <v>1</v>
      </c>
      <c r="F262" s="7" t="n">
        <v>3</v>
      </c>
      <c r="G262" s="7" t="n">
        <v>0</v>
      </c>
      <c r="H262" s="7" t="n">
        <v>1</v>
      </c>
      <c r="I262" s="7" t="n">
        <v>0</v>
      </c>
      <c r="J262" s="7" t="n">
        <v>0</v>
      </c>
      <c r="K262" s="7" t="n">
        <v>0</v>
      </c>
      <c r="L262" s="7" t="n">
        <v>0</v>
      </c>
      <c r="M262" s="7" t="n">
        <v>1</v>
      </c>
      <c r="N262" s="7" t="n">
        <v>1</v>
      </c>
      <c r="O262" s="7" t="n">
        <v>0</v>
      </c>
      <c r="P262" s="7" t="n">
        <v>0</v>
      </c>
      <c r="Q262" s="8" t="n">
        <f aca="false">IF(F262=0,0,H262/F262)</f>
        <v>0.333333333333333</v>
      </c>
      <c r="R262" s="8" t="n">
        <f aca="false">IF(F262+O262=0,0,(H262+O262)/(F262+O262))</f>
        <v>0.333333333333333</v>
      </c>
      <c r="S262" s="8" t="n">
        <f aca="false">IF(F262=0,0,M262/F262)</f>
        <v>0.333333333333333</v>
      </c>
      <c r="T262" s="8" t="n">
        <f aca="false">S262+R262</f>
        <v>0.666666666666667</v>
      </c>
      <c r="U262" s="8" t="n">
        <f aca="false">S262-Q262</f>
        <v>0</v>
      </c>
    </row>
    <row r="263" customFormat="false" ht="14.25" hidden="false" customHeight="true" outlineLevel="0" collapsed="false">
      <c r="A263" s="6" t="s">
        <v>371</v>
      </c>
      <c r="B263" s="6" t="s">
        <v>71</v>
      </c>
      <c r="C263" s="7" t="n">
        <v>1</v>
      </c>
      <c r="D263" s="7" t="s">
        <v>601</v>
      </c>
      <c r="E263" s="7" t="n">
        <v>1</v>
      </c>
      <c r="F263" s="7" t="n">
        <v>3</v>
      </c>
      <c r="G263" s="7" t="n">
        <v>0</v>
      </c>
      <c r="H263" s="7" t="n">
        <v>1</v>
      </c>
      <c r="I263" s="7" t="n">
        <v>0</v>
      </c>
      <c r="J263" s="7" t="n">
        <v>0</v>
      </c>
      <c r="K263" s="7" t="n">
        <v>0</v>
      </c>
      <c r="L263" s="7" t="n">
        <v>0</v>
      </c>
      <c r="M263" s="7" t="n">
        <v>1</v>
      </c>
      <c r="N263" s="7" t="n">
        <v>0</v>
      </c>
      <c r="O263" s="7" t="n">
        <v>0</v>
      </c>
      <c r="P263" s="7" t="n">
        <v>0</v>
      </c>
      <c r="Q263" s="8" t="n">
        <f aca="false">IF(F263=0,0,H263/F263)</f>
        <v>0.333333333333333</v>
      </c>
      <c r="R263" s="8" t="n">
        <f aca="false">IF(F263+O263=0,0,(H263+O263)/(F263+O263))</f>
        <v>0.333333333333333</v>
      </c>
      <c r="S263" s="8" t="n">
        <f aca="false">IF(F263=0,0,M263/F263)</f>
        <v>0.333333333333333</v>
      </c>
      <c r="T263" s="8" t="n">
        <f aca="false">S263+R263</f>
        <v>0.666666666666667</v>
      </c>
      <c r="U263" s="8" t="n">
        <f aca="false">S263-Q263</f>
        <v>0</v>
      </c>
    </row>
    <row r="264" customFormat="false" ht="14.25" hidden="false" customHeight="true" outlineLevel="0" collapsed="false">
      <c r="A264" s="6" t="s">
        <v>295</v>
      </c>
      <c r="B264" s="6" t="s">
        <v>147</v>
      </c>
      <c r="C264" s="7" t="n">
        <v>1</v>
      </c>
      <c r="D264" s="7" t="s">
        <v>601</v>
      </c>
      <c r="E264" s="7" t="n">
        <v>1</v>
      </c>
      <c r="F264" s="7" t="n">
        <v>3</v>
      </c>
      <c r="G264" s="7" t="n">
        <v>0</v>
      </c>
      <c r="H264" s="7" t="n">
        <v>1</v>
      </c>
      <c r="I264" s="7" t="n">
        <v>0</v>
      </c>
      <c r="J264" s="7" t="n">
        <v>0</v>
      </c>
      <c r="K264" s="7" t="n">
        <v>0</v>
      </c>
      <c r="L264" s="7" t="n">
        <v>0</v>
      </c>
      <c r="M264" s="7" t="n">
        <v>1</v>
      </c>
      <c r="N264" s="7" t="n">
        <v>0</v>
      </c>
      <c r="O264" s="7" t="n">
        <v>0</v>
      </c>
      <c r="P264" s="7" t="n">
        <v>0</v>
      </c>
      <c r="Q264" s="8" t="n">
        <f aca="false">IF(F264=0,0,H264/F264)</f>
        <v>0.333333333333333</v>
      </c>
      <c r="R264" s="8" t="n">
        <f aca="false">IF(F264+O264=0,0,(H264+O264)/(F264+O264))</f>
        <v>0.333333333333333</v>
      </c>
      <c r="S264" s="8" t="n">
        <f aca="false">IF(F264=0,0,M264/F264)</f>
        <v>0.333333333333333</v>
      </c>
      <c r="T264" s="8" t="n">
        <f aca="false">S264+R264</f>
        <v>0.666666666666667</v>
      </c>
      <c r="U264" s="8" t="n">
        <f aca="false">S264-Q264</f>
        <v>0</v>
      </c>
    </row>
    <row r="265" customFormat="false" ht="14.25" hidden="false" customHeight="true" outlineLevel="0" collapsed="false">
      <c r="A265" s="6" t="s">
        <v>398</v>
      </c>
      <c r="B265" s="6" t="s">
        <v>166</v>
      </c>
      <c r="C265" s="7" t="n">
        <v>1</v>
      </c>
      <c r="D265" s="7" t="s">
        <v>601</v>
      </c>
      <c r="E265" s="7" t="n">
        <v>1</v>
      </c>
      <c r="F265" s="7" t="n">
        <v>3</v>
      </c>
      <c r="G265" s="7" t="n">
        <v>0</v>
      </c>
      <c r="H265" s="7" t="n">
        <v>1</v>
      </c>
      <c r="I265" s="7" t="n">
        <v>0</v>
      </c>
      <c r="J265" s="7" t="n">
        <v>0</v>
      </c>
      <c r="K265" s="7" t="n">
        <v>0</v>
      </c>
      <c r="L265" s="7" t="n">
        <v>0</v>
      </c>
      <c r="M265" s="7" t="n">
        <v>1</v>
      </c>
      <c r="N265" s="7" t="n">
        <v>0</v>
      </c>
      <c r="O265" s="7" t="n">
        <v>0</v>
      </c>
      <c r="P265" s="7" t="n">
        <v>0</v>
      </c>
      <c r="Q265" s="8" t="n">
        <f aca="false">IF(F265=0,0,H265/F265)</f>
        <v>0.333333333333333</v>
      </c>
      <c r="R265" s="8" t="n">
        <f aca="false">IF(F265+O265=0,0,(H265+O265)/(F265+O265))</f>
        <v>0.333333333333333</v>
      </c>
      <c r="S265" s="8" t="n">
        <f aca="false">IF(F265=0,0,M265/F265)</f>
        <v>0.333333333333333</v>
      </c>
      <c r="T265" s="8" t="n">
        <f aca="false">S265+R265</f>
        <v>0.666666666666667</v>
      </c>
      <c r="U265" s="8" t="n">
        <f aca="false">S265-Q265</f>
        <v>0</v>
      </c>
    </row>
    <row r="266" customFormat="false" ht="14.25" hidden="false" customHeight="true" outlineLevel="0" collapsed="false">
      <c r="A266" s="6" t="s">
        <v>406</v>
      </c>
      <c r="B266" s="6" t="s">
        <v>212</v>
      </c>
      <c r="C266" s="7" t="n">
        <v>1</v>
      </c>
      <c r="D266" s="7" t="s">
        <v>601</v>
      </c>
      <c r="E266" s="7" t="n">
        <v>1</v>
      </c>
      <c r="F266" s="7" t="n">
        <v>3</v>
      </c>
      <c r="G266" s="7" t="n">
        <v>0</v>
      </c>
      <c r="H266" s="7" t="n">
        <v>1</v>
      </c>
      <c r="I266" s="7" t="n">
        <v>0</v>
      </c>
      <c r="J266" s="7" t="n">
        <v>0</v>
      </c>
      <c r="K266" s="7" t="n">
        <v>0</v>
      </c>
      <c r="L266" s="7" t="n">
        <v>0</v>
      </c>
      <c r="M266" s="7" t="n">
        <v>1</v>
      </c>
      <c r="N266" s="7" t="n">
        <v>0</v>
      </c>
      <c r="O266" s="7" t="n">
        <v>0</v>
      </c>
      <c r="P266" s="7" t="n">
        <v>1</v>
      </c>
      <c r="Q266" s="8" t="n">
        <f aca="false">IF(F266=0,0,H266/F266)</f>
        <v>0.333333333333333</v>
      </c>
      <c r="R266" s="8" t="n">
        <f aca="false">IF(F266+O266=0,0,(H266+O266)/(F266+O266))</f>
        <v>0.333333333333333</v>
      </c>
      <c r="S266" s="8" t="n">
        <f aca="false">IF(F266=0,0,M266/F266)</f>
        <v>0.333333333333333</v>
      </c>
      <c r="T266" s="8" t="n">
        <f aca="false">S266+R266</f>
        <v>0.666666666666667</v>
      </c>
      <c r="U266" s="8" t="n">
        <f aca="false">S266-Q266</f>
        <v>0</v>
      </c>
    </row>
    <row r="267" customFormat="false" ht="14.25" hidden="false" customHeight="true" outlineLevel="0" collapsed="false">
      <c r="A267" s="6" t="s">
        <v>407</v>
      </c>
      <c r="B267" s="6" t="s">
        <v>212</v>
      </c>
      <c r="C267" s="7" t="n">
        <v>1</v>
      </c>
      <c r="D267" s="7" t="s">
        <v>601</v>
      </c>
      <c r="E267" s="7" t="n">
        <v>1</v>
      </c>
      <c r="F267" s="7" t="n">
        <v>3</v>
      </c>
      <c r="G267" s="7" t="n">
        <v>0</v>
      </c>
      <c r="H267" s="7" t="n">
        <v>1</v>
      </c>
      <c r="I267" s="7" t="n">
        <v>0</v>
      </c>
      <c r="J267" s="7" t="n">
        <v>0</v>
      </c>
      <c r="K267" s="7" t="n">
        <v>0</v>
      </c>
      <c r="L267" s="7" t="n">
        <v>0</v>
      </c>
      <c r="M267" s="7" t="n">
        <v>1</v>
      </c>
      <c r="N267" s="7" t="n">
        <v>0</v>
      </c>
      <c r="O267" s="7" t="n">
        <v>0</v>
      </c>
      <c r="P267" s="7" t="n">
        <v>0</v>
      </c>
      <c r="Q267" s="8" t="n">
        <f aca="false">IF(F267=0,0,H267/F267)</f>
        <v>0.333333333333333</v>
      </c>
      <c r="R267" s="8" t="n">
        <f aca="false">IF(F267+O267=0,0,(H267+O267)/(F267+O267))</f>
        <v>0.333333333333333</v>
      </c>
      <c r="S267" s="8" t="n">
        <f aca="false">IF(F267=0,0,M267/F267)</f>
        <v>0.333333333333333</v>
      </c>
      <c r="T267" s="8" t="n">
        <f aca="false">S267+R267</f>
        <v>0.666666666666667</v>
      </c>
      <c r="U267" s="8" t="n">
        <f aca="false">S267-Q267</f>
        <v>0</v>
      </c>
    </row>
    <row r="268" customFormat="false" ht="14.25" hidden="false" customHeight="true" outlineLevel="0" collapsed="false">
      <c r="A268" s="6" t="s">
        <v>320</v>
      </c>
      <c r="B268" s="6" t="s">
        <v>71</v>
      </c>
      <c r="C268" s="7" t="n">
        <v>1</v>
      </c>
      <c r="D268" s="7" t="s">
        <v>570</v>
      </c>
      <c r="E268" s="7" t="n">
        <v>1</v>
      </c>
      <c r="F268" s="7" t="n">
        <v>3</v>
      </c>
      <c r="G268" s="7" t="n">
        <v>0</v>
      </c>
      <c r="H268" s="7" t="n">
        <v>1</v>
      </c>
      <c r="I268" s="7" t="n">
        <v>0</v>
      </c>
      <c r="J268" s="7" t="n">
        <v>0</v>
      </c>
      <c r="K268" s="7" t="n">
        <v>0</v>
      </c>
      <c r="L268" s="7" t="n">
        <v>0</v>
      </c>
      <c r="M268" s="7" t="n">
        <v>1</v>
      </c>
      <c r="N268" s="7" t="n">
        <v>0</v>
      </c>
      <c r="O268" s="7" t="n">
        <v>0</v>
      </c>
      <c r="P268" s="7" t="n">
        <v>0</v>
      </c>
      <c r="Q268" s="8" t="n">
        <f aca="false">IF(F268=0,0,H268/F268)</f>
        <v>0.333333333333333</v>
      </c>
      <c r="R268" s="8" t="n">
        <f aca="false">IF(F268+O268=0,0,(H268+O268)/(F268+O268))</f>
        <v>0.333333333333333</v>
      </c>
      <c r="S268" s="8" t="n">
        <f aca="false">IF(F268=0,0,M268/F268)</f>
        <v>0.333333333333333</v>
      </c>
      <c r="T268" s="8" t="n">
        <f aca="false">S268+R268</f>
        <v>0.666666666666667</v>
      </c>
      <c r="U268" s="8" t="n">
        <f aca="false">S268-Q268</f>
        <v>0</v>
      </c>
    </row>
    <row r="269" customFormat="false" ht="14.25" hidden="false" customHeight="true" outlineLevel="0" collapsed="false">
      <c r="A269" s="6" t="s">
        <v>345</v>
      </c>
      <c r="B269" s="6" t="s">
        <v>147</v>
      </c>
      <c r="C269" s="7" t="n">
        <v>1</v>
      </c>
      <c r="D269" s="7" t="s">
        <v>570</v>
      </c>
      <c r="E269" s="7" t="n">
        <v>1</v>
      </c>
      <c r="F269" s="7" t="n">
        <v>3</v>
      </c>
      <c r="G269" s="7" t="n">
        <v>1</v>
      </c>
      <c r="H269" s="7" t="n">
        <v>1</v>
      </c>
      <c r="I269" s="7" t="n">
        <v>1</v>
      </c>
      <c r="J269" s="7" t="n">
        <v>0</v>
      </c>
      <c r="K269" s="7" t="n">
        <v>0</v>
      </c>
      <c r="L269" s="7" t="n">
        <v>1</v>
      </c>
      <c r="M269" s="7" t="n">
        <v>2</v>
      </c>
      <c r="N269" s="7" t="n">
        <v>1</v>
      </c>
      <c r="O269" s="7" t="n">
        <v>0</v>
      </c>
      <c r="P269" s="7" t="n">
        <v>0</v>
      </c>
      <c r="Q269" s="8" t="n">
        <f aca="false">IF(F269=0,0,H269/F269)</f>
        <v>0.333333333333333</v>
      </c>
      <c r="R269" s="8" t="n">
        <f aca="false">IF(F269+O269=0,0,(H269+O269)/(F269+O269))</f>
        <v>0.333333333333333</v>
      </c>
      <c r="S269" s="8" t="n">
        <f aca="false">IF(F269=0,0,M269/F269)</f>
        <v>0.666666666666667</v>
      </c>
      <c r="T269" s="8" t="n">
        <f aca="false">S269+R269</f>
        <v>1</v>
      </c>
      <c r="U269" s="8" t="n">
        <f aca="false">S269-Q269</f>
        <v>0.333333333333333</v>
      </c>
    </row>
    <row r="270" customFormat="false" ht="14.25" hidden="false" customHeight="true" outlineLevel="0" collapsed="false">
      <c r="A270" s="6" t="s">
        <v>349</v>
      </c>
      <c r="B270" s="6" t="s">
        <v>166</v>
      </c>
      <c r="C270" s="7" t="n">
        <v>1</v>
      </c>
      <c r="D270" s="7" t="s">
        <v>570</v>
      </c>
      <c r="E270" s="7" t="n">
        <v>1</v>
      </c>
      <c r="F270" s="7" t="n">
        <v>3</v>
      </c>
      <c r="G270" s="7" t="n">
        <v>0</v>
      </c>
      <c r="H270" s="7" t="n">
        <v>1</v>
      </c>
      <c r="I270" s="7" t="n">
        <v>0</v>
      </c>
      <c r="J270" s="7" t="n">
        <v>0</v>
      </c>
      <c r="K270" s="7" t="n">
        <v>0</v>
      </c>
      <c r="L270" s="7" t="n">
        <v>0</v>
      </c>
      <c r="M270" s="7" t="n">
        <v>1</v>
      </c>
      <c r="N270" s="7" t="n">
        <v>0</v>
      </c>
      <c r="O270" s="7" t="n">
        <v>0</v>
      </c>
      <c r="P270" s="7" t="n">
        <v>0</v>
      </c>
      <c r="Q270" s="8" t="n">
        <f aca="false">IF(F270=0,0,H270/F270)</f>
        <v>0.333333333333333</v>
      </c>
      <c r="R270" s="8" t="n">
        <f aca="false">IF(F270+O270=0,0,(H270+O270)/(F270+O270))</f>
        <v>0.333333333333333</v>
      </c>
      <c r="S270" s="8" t="n">
        <f aca="false">IF(F270=0,0,M270/F270)</f>
        <v>0.333333333333333</v>
      </c>
      <c r="T270" s="8" t="n">
        <f aca="false">S270+R270</f>
        <v>0.666666666666667</v>
      </c>
      <c r="U270" s="8" t="n">
        <f aca="false">S270-Q270</f>
        <v>0</v>
      </c>
    </row>
    <row r="271" customFormat="false" ht="14.25" hidden="false" customHeight="true" outlineLevel="0" collapsed="false">
      <c r="A271" s="6" t="s">
        <v>355</v>
      </c>
      <c r="B271" s="6" t="s">
        <v>192</v>
      </c>
      <c r="C271" s="7" t="n">
        <v>1</v>
      </c>
      <c r="D271" s="7" t="s">
        <v>570</v>
      </c>
      <c r="E271" s="7" t="n">
        <v>1</v>
      </c>
      <c r="F271" s="7" t="n">
        <v>3</v>
      </c>
      <c r="G271" s="7" t="n">
        <v>0</v>
      </c>
      <c r="H271" s="7" t="n">
        <v>1</v>
      </c>
      <c r="I271" s="7" t="n">
        <v>0</v>
      </c>
      <c r="J271" s="7" t="n">
        <v>0</v>
      </c>
      <c r="K271" s="7" t="n">
        <v>0</v>
      </c>
      <c r="L271" s="7" t="n">
        <v>0</v>
      </c>
      <c r="M271" s="7" t="n">
        <v>1</v>
      </c>
      <c r="N271" s="7" t="n">
        <v>0</v>
      </c>
      <c r="O271" s="7" t="n">
        <v>0</v>
      </c>
      <c r="P271" s="7" t="n">
        <v>0</v>
      </c>
      <c r="Q271" s="8" t="n">
        <f aca="false">IF(F271=0,0,H271/F271)</f>
        <v>0.333333333333333</v>
      </c>
      <c r="R271" s="8" t="n">
        <f aca="false">IF(F271+O271=0,0,(H271+O271)/(F271+O271))</f>
        <v>0.333333333333333</v>
      </c>
      <c r="S271" s="8" t="n">
        <f aca="false">IF(F271=0,0,M271/F271)</f>
        <v>0.333333333333333</v>
      </c>
      <c r="T271" s="8" t="n">
        <f aca="false">S271+R271</f>
        <v>0.666666666666667</v>
      </c>
      <c r="U271" s="8" t="n">
        <f aca="false">S271-Q271</f>
        <v>0</v>
      </c>
    </row>
    <row r="272" customFormat="false" ht="14.25" hidden="false" customHeight="true" outlineLevel="0" collapsed="false">
      <c r="A272" s="6" t="s">
        <v>268</v>
      </c>
      <c r="B272" s="6" t="s">
        <v>121</v>
      </c>
      <c r="C272" s="7" t="n">
        <v>2</v>
      </c>
      <c r="D272" s="7" t="s">
        <v>564</v>
      </c>
      <c r="E272" s="7" t="n">
        <v>3</v>
      </c>
      <c r="F272" s="7" t="n">
        <v>3</v>
      </c>
      <c r="G272" s="7" t="n">
        <v>0</v>
      </c>
      <c r="H272" s="7" t="n">
        <v>1</v>
      </c>
      <c r="I272" s="7" t="n">
        <v>0</v>
      </c>
      <c r="J272" s="7" t="n">
        <v>0</v>
      </c>
      <c r="K272" s="7" t="n">
        <v>0</v>
      </c>
      <c r="L272" s="7" t="n">
        <v>0</v>
      </c>
      <c r="M272" s="7" t="n">
        <v>1</v>
      </c>
      <c r="N272" s="7" t="n">
        <v>0</v>
      </c>
      <c r="O272" s="7" t="n">
        <v>0</v>
      </c>
      <c r="P272" s="7" t="n">
        <v>0</v>
      </c>
      <c r="Q272" s="8" t="n">
        <f aca="false">IF(F272=0,0,H272/F272)</f>
        <v>0.333333333333333</v>
      </c>
      <c r="R272" s="8" t="n">
        <f aca="false">IF(F272+O272=0,0,(H272+O272)/(F272+O272))</f>
        <v>0.333333333333333</v>
      </c>
      <c r="S272" s="8" t="n">
        <f aca="false">IF(F272=0,0,M272/F272)</f>
        <v>0.333333333333333</v>
      </c>
      <c r="T272" s="8" t="n">
        <f aca="false">S272+R272</f>
        <v>0.666666666666667</v>
      </c>
      <c r="U272" s="8" t="n">
        <f aca="false">S272-Q272</f>
        <v>0</v>
      </c>
    </row>
    <row r="273" customFormat="false" ht="14.25" hidden="false" customHeight="true" outlineLevel="0" collapsed="false">
      <c r="A273" s="6" t="s">
        <v>290</v>
      </c>
      <c r="B273" s="6" t="s">
        <v>97</v>
      </c>
      <c r="C273" s="7" t="n">
        <v>1</v>
      </c>
      <c r="D273" s="7" t="s">
        <v>613</v>
      </c>
      <c r="E273" s="7" t="n">
        <v>1</v>
      </c>
      <c r="F273" s="7" t="n">
        <v>3</v>
      </c>
      <c r="G273" s="7" t="n">
        <v>0</v>
      </c>
      <c r="H273" s="7" t="n">
        <v>1</v>
      </c>
      <c r="I273" s="7" t="n">
        <v>0</v>
      </c>
      <c r="J273" s="7" t="n">
        <v>0</v>
      </c>
      <c r="K273" s="7" t="n">
        <v>0</v>
      </c>
      <c r="L273" s="7" t="n">
        <v>0</v>
      </c>
      <c r="M273" s="7" t="n">
        <v>1</v>
      </c>
      <c r="N273" s="7" t="n">
        <v>0</v>
      </c>
      <c r="O273" s="7" t="n">
        <v>0</v>
      </c>
      <c r="P273" s="7" t="n">
        <v>0</v>
      </c>
      <c r="Q273" s="8" t="n">
        <f aca="false">IF(F273=0,0,H273/F273)</f>
        <v>0.333333333333333</v>
      </c>
      <c r="R273" s="8" t="n">
        <f aca="false">IF(F273+O273=0,0,(H273+O273)/(F273+O273))</f>
        <v>0.333333333333333</v>
      </c>
      <c r="S273" s="8" t="n">
        <f aca="false">IF(F273=0,0,M273/F273)</f>
        <v>0.333333333333333</v>
      </c>
      <c r="T273" s="8" t="n">
        <f aca="false">S273+R273</f>
        <v>0.666666666666667</v>
      </c>
      <c r="U273" s="8" t="n">
        <f aca="false">S273-Q273</f>
        <v>0</v>
      </c>
    </row>
    <row r="274" customFormat="false" ht="14.25" hidden="false" customHeight="true" outlineLevel="0" collapsed="false">
      <c r="A274" s="6" t="s">
        <v>282</v>
      </c>
      <c r="B274" s="6" t="s">
        <v>71</v>
      </c>
      <c r="C274" s="7" t="n">
        <v>1</v>
      </c>
      <c r="D274" s="7" t="s">
        <v>613</v>
      </c>
      <c r="E274" s="7" t="n">
        <v>1</v>
      </c>
      <c r="F274" s="7" t="n">
        <v>3</v>
      </c>
      <c r="G274" s="7" t="n">
        <v>1</v>
      </c>
      <c r="H274" s="7" t="n">
        <v>1</v>
      </c>
      <c r="I274" s="7" t="n">
        <v>0</v>
      </c>
      <c r="J274" s="7" t="n">
        <v>0</v>
      </c>
      <c r="K274" s="7" t="n">
        <v>0</v>
      </c>
      <c r="L274" s="7" t="n">
        <v>0</v>
      </c>
      <c r="M274" s="7" t="n">
        <v>1</v>
      </c>
      <c r="N274" s="7" t="n">
        <v>1</v>
      </c>
      <c r="O274" s="7" t="n">
        <v>1</v>
      </c>
      <c r="P274" s="7" t="n">
        <v>0</v>
      </c>
      <c r="Q274" s="8" t="n">
        <f aca="false">IF(F274=0,0,H274/F274)</f>
        <v>0.333333333333333</v>
      </c>
      <c r="R274" s="8" t="n">
        <f aca="false">IF(F274+O274=0,0,(H274+O274)/(F274+O274))</f>
        <v>0.5</v>
      </c>
      <c r="S274" s="8" t="n">
        <f aca="false">IF(F274=0,0,M274/F274)</f>
        <v>0.333333333333333</v>
      </c>
      <c r="T274" s="8" t="n">
        <f aca="false">S274+R274</f>
        <v>0.833333333333333</v>
      </c>
      <c r="U274" s="8" t="n">
        <f aca="false">S274-Q274</f>
        <v>0</v>
      </c>
    </row>
    <row r="275" customFormat="false" ht="14.25" hidden="false" customHeight="true" outlineLevel="0" collapsed="false">
      <c r="A275" s="6" t="s">
        <v>279</v>
      </c>
      <c r="B275" s="6" t="s">
        <v>212</v>
      </c>
      <c r="C275" s="7" t="n">
        <v>2</v>
      </c>
      <c r="D275" s="7" t="s">
        <v>618</v>
      </c>
      <c r="E275" s="7" t="n">
        <v>2</v>
      </c>
      <c r="F275" s="7" t="n">
        <v>6</v>
      </c>
      <c r="G275" s="7" t="n">
        <v>0</v>
      </c>
      <c r="H275" s="7" t="n">
        <v>1</v>
      </c>
      <c r="I275" s="7" t="n">
        <v>0</v>
      </c>
      <c r="J275" s="7" t="n">
        <v>0</v>
      </c>
      <c r="K275" s="7" t="n">
        <v>0</v>
      </c>
      <c r="L275" s="7" t="n">
        <v>0</v>
      </c>
      <c r="M275" s="7" t="n">
        <v>1</v>
      </c>
      <c r="N275" s="7" t="n">
        <v>0</v>
      </c>
      <c r="O275" s="7" t="n">
        <v>0</v>
      </c>
      <c r="P275" s="7" t="n">
        <v>0</v>
      </c>
      <c r="Q275" s="8" t="n">
        <f aca="false">IF(F275=0,0,H275/F275)</f>
        <v>0.166666666666667</v>
      </c>
      <c r="R275" s="8" t="n">
        <f aca="false">IF(F275+O275=0,0,(H275+O275)/(F275+O275))</f>
        <v>0.166666666666667</v>
      </c>
      <c r="S275" s="8" t="n">
        <f aca="false">IF(F275=0,0,M275/F275)</f>
        <v>0.166666666666667</v>
      </c>
      <c r="T275" s="8" t="n">
        <f aca="false">S275+R275</f>
        <v>0.333333333333333</v>
      </c>
      <c r="U275" s="8" t="n">
        <f aca="false">S275-Q275</f>
        <v>0</v>
      </c>
    </row>
    <row r="276" customFormat="false" ht="14.25" hidden="false" customHeight="true" outlineLevel="0" collapsed="false">
      <c r="A276" s="6" t="s">
        <v>280</v>
      </c>
      <c r="B276" s="6" t="s">
        <v>212</v>
      </c>
      <c r="C276" s="7" t="n">
        <v>1</v>
      </c>
      <c r="D276" s="7" t="s">
        <v>607</v>
      </c>
      <c r="E276" s="7" t="n">
        <v>1</v>
      </c>
      <c r="F276" s="7" t="n">
        <v>3</v>
      </c>
      <c r="G276" s="7" t="n">
        <v>0</v>
      </c>
      <c r="H276" s="7" t="n">
        <v>1</v>
      </c>
      <c r="I276" s="7" t="n">
        <v>0</v>
      </c>
      <c r="J276" s="7" t="n">
        <v>0</v>
      </c>
      <c r="K276" s="7" t="n">
        <v>0</v>
      </c>
      <c r="L276" s="7" t="n">
        <v>0</v>
      </c>
      <c r="M276" s="7" t="n">
        <v>1</v>
      </c>
      <c r="N276" s="7" t="n">
        <v>0</v>
      </c>
      <c r="O276" s="7" t="n">
        <v>0</v>
      </c>
      <c r="P276" s="7" t="n">
        <v>0</v>
      </c>
      <c r="Q276" s="8" t="n">
        <f aca="false">IF(F276=0,0,H276/F276)</f>
        <v>0.333333333333333</v>
      </c>
      <c r="R276" s="8" t="n">
        <f aca="false">IF(F276+O276=0,0,(H276+O276)/(F276+O276))</f>
        <v>0.333333333333333</v>
      </c>
      <c r="S276" s="8" t="n">
        <f aca="false">IF(F276=0,0,M276/F276)</f>
        <v>0.333333333333333</v>
      </c>
      <c r="T276" s="8" t="n">
        <f aca="false">S276+R276</f>
        <v>0.666666666666667</v>
      </c>
      <c r="U276" s="8" t="n">
        <f aca="false">S276-Q276</f>
        <v>0</v>
      </c>
    </row>
    <row r="277" customFormat="false" ht="14.25" hidden="false" customHeight="true" outlineLevel="0" collapsed="false">
      <c r="A277" s="6" t="s">
        <v>421</v>
      </c>
      <c r="B277" s="6" t="s">
        <v>97</v>
      </c>
      <c r="C277" s="7" t="n">
        <v>1</v>
      </c>
      <c r="D277" s="7" t="s">
        <v>568</v>
      </c>
      <c r="E277" s="7" t="n">
        <v>1</v>
      </c>
      <c r="F277" s="7" t="n">
        <v>4</v>
      </c>
      <c r="G277" s="7" t="n">
        <v>1</v>
      </c>
      <c r="H277" s="7" t="n">
        <v>1</v>
      </c>
      <c r="I277" s="7" t="n">
        <v>0</v>
      </c>
      <c r="J277" s="7" t="n">
        <v>0</v>
      </c>
      <c r="K277" s="7" t="n">
        <v>0</v>
      </c>
      <c r="L277" s="7" t="n">
        <v>0</v>
      </c>
      <c r="M277" s="7" t="n">
        <v>1</v>
      </c>
      <c r="N277" s="7" t="n">
        <v>0</v>
      </c>
      <c r="O277" s="7" t="n">
        <v>0</v>
      </c>
      <c r="P277" s="7" t="n">
        <v>0</v>
      </c>
      <c r="Q277" s="8" t="n">
        <f aca="false">IF(F277=0,0,H277/F277)</f>
        <v>0.25</v>
      </c>
      <c r="R277" s="8" t="n">
        <f aca="false">IF(F277+O277=0,0,(H277+O277)/(F277+O277))</f>
        <v>0.25</v>
      </c>
      <c r="S277" s="8" t="n">
        <f aca="false">IF(F277=0,0,M277/F277)</f>
        <v>0.25</v>
      </c>
      <c r="T277" s="8" t="n">
        <f aca="false">S277+R277</f>
        <v>0.5</v>
      </c>
      <c r="U277" s="8" t="n">
        <f aca="false">S277-Q277</f>
        <v>0</v>
      </c>
    </row>
    <row r="278" customFormat="false" ht="14.25" hidden="false" customHeight="true" outlineLevel="0" collapsed="false">
      <c r="A278" s="6" t="s">
        <v>453</v>
      </c>
      <c r="B278" s="6" t="s">
        <v>212</v>
      </c>
      <c r="C278" s="7" t="n">
        <v>1</v>
      </c>
      <c r="D278" s="7" t="s">
        <v>568</v>
      </c>
      <c r="E278" s="7" t="n">
        <v>1</v>
      </c>
      <c r="F278" s="7" t="n">
        <v>4</v>
      </c>
      <c r="G278" s="7" t="n">
        <v>0</v>
      </c>
      <c r="H278" s="7" t="n">
        <v>1</v>
      </c>
      <c r="I278" s="7" t="n">
        <v>1</v>
      </c>
      <c r="J278" s="7" t="n">
        <v>0</v>
      </c>
      <c r="K278" s="7" t="n">
        <v>0</v>
      </c>
      <c r="L278" s="7" t="n">
        <v>1</v>
      </c>
      <c r="M278" s="7" t="n">
        <v>2</v>
      </c>
      <c r="N278" s="7" t="n">
        <v>0</v>
      </c>
      <c r="O278" s="7" t="n">
        <v>0</v>
      </c>
      <c r="P278" s="7" t="n">
        <v>0</v>
      </c>
      <c r="Q278" s="8" t="n">
        <f aca="false">IF(F278=0,0,H278/F278)</f>
        <v>0.25</v>
      </c>
      <c r="R278" s="8" t="n">
        <f aca="false">IF(F278+O278=0,0,(H278+O278)/(F278+O278))</f>
        <v>0.25</v>
      </c>
      <c r="S278" s="8" t="n">
        <f aca="false">IF(F278=0,0,M278/F278)</f>
        <v>0.5</v>
      </c>
      <c r="T278" s="8" t="n">
        <f aca="false">S278+R278</f>
        <v>0.75</v>
      </c>
      <c r="U278" s="8" t="n">
        <f aca="false">S278-Q278</f>
        <v>0.25</v>
      </c>
    </row>
    <row r="279" customFormat="false" ht="14.25" hidden="false" customHeight="true" outlineLevel="0" collapsed="false">
      <c r="A279" s="6" t="s">
        <v>304</v>
      </c>
      <c r="B279" s="6" t="s">
        <v>147</v>
      </c>
      <c r="C279" s="7" t="n">
        <v>3</v>
      </c>
      <c r="D279" s="9" t="s">
        <v>619</v>
      </c>
      <c r="E279" s="7" t="n">
        <v>3</v>
      </c>
      <c r="F279" s="7" t="n">
        <v>7</v>
      </c>
      <c r="G279" s="7" t="n">
        <v>1</v>
      </c>
      <c r="H279" s="7" t="n">
        <v>1</v>
      </c>
      <c r="I279" s="7" t="n">
        <v>0</v>
      </c>
      <c r="J279" s="7" t="n">
        <v>0</v>
      </c>
      <c r="K279" s="7" t="n">
        <v>0</v>
      </c>
      <c r="L279" s="7" t="n">
        <v>0</v>
      </c>
      <c r="M279" s="7" t="n">
        <v>1</v>
      </c>
      <c r="N279" s="7" t="n">
        <v>0</v>
      </c>
      <c r="O279" s="7" t="n">
        <v>1</v>
      </c>
      <c r="P279" s="7" t="n">
        <v>1</v>
      </c>
      <c r="Q279" s="8" t="n">
        <f aca="false">IF(F279=0,0,H279/F279)</f>
        <v>0.142857142857143</v>
      </c>
      <c r="R279" s="8" t="n">
        <f aca="false">IF(F279+O279=0,0,(H279+O279)/(F279+O279))</f>
        <v>0.25</v>
      </c>
      <c r="S279" s="8" t="n">
        <f aca="false">IF(F279=0,0,M279/F279)</f>
        <v>0.142857142857143</v>
      </c>
      <c r="T279" s="8" t="n">
        <f aca="false">S279+R279</f>
        <v>0.392857142857143</v>
      </c>
      <c r="U279" s="8" t="n">
        <f aca="false">S279-Q279</f>
        <v>0</v>
      </c>
    </row>
    <row r="280" customFormat="false" ht="14.25" hidden="false" customHeight="true" outlineLevel="0" collapsed="false">
      <c r="A280" s="6" t="s">
        <v>620</v>
      </c>
      <c r="B280" s="6" t="s">
        <v>50</v>
      </c>
      <c r="C280" s="7" t="n">
        <v>1</v>
      </c>
      <c r="D280" s="7" t="s">
        <v>613</v>
      </c>
      <c r="E280" s="7" t="n">
        <v>2</v>
      </c>
      <c r="F280" s="7" t="n">
        <v>4</v>
      </c>
      <c r="G280" s="7" t="n">
        <v>1</v>
      </c>
      <c r="H280" s="7" t="n">
        <v>1</v>
      </c>
      <c r="I280" s="7" t="n">
        <v>0</v>
      </c>
      <c r="J280" s="7" t="n">
        <v>0</v>
      </c>
      <c r="K280" s="7" t="n">
        <v>0</v>
      </c>
      <c r="L280" s="7" t="n">
        <v>0</v>
      </c>
      <c r="M280" s="7" t="n">
        <v>1</v>
      </c>
      <c r="N280" s="7" t="n">
        <v>1</v>
      </c>
      <c r="O280" s="7" t="n">
        <v>0</v>
      </c>
      <c r="P280" s="7" t="n">
        <v>0</v>
      </c>
      <c r="Q280" s="8" t="n">
        <f aca="false">IF(F280=0,0,H280/F280)</f>
        <v>0.25</v>
      </c>
      <c r="R280" s="8" t="n">
        <f aca="false">IF(F280+O280=0,0,(H280+O280)/(F280+O280))</f>
        <v>0.25</v>
      </c>
      <c r="S280" s="8" t="n">
        <f aca="false">IF(F280=0,0,M280/F280)</f>
        <v>0.25</v>
      </c>
      <c r="T280" s="8" t="n">
        <f aca="false">S280+R280</f>
        <v>0.5</v>
      </c>
      <c r="U280" s="8" t="n">
        <f aca="false">S280-Q280</f>
        <v>0</v>
      </c>
    </row>
    <row r="281" customFormat="false" ht="14.25" hidden="false" customHeight="true" outlineLevel="0" collapsed="false">
      <c r="A281" s="6" t="s">
        <v>106</v>
      </c>
      <c r="B281" s="6" t="s">
        <v>212</v>
      </c>
      <c r="C281" s="7" t="n">
        <v>1</v>
      </c>
      <c r="D281" s="7" t="s">
        <v>570</v>
      </c>
      <c r="E281" s="7" t="n">
        <v>2</v>
      </c>
      <c r="F281" s="7" t="n">
        <v>5</v>
      </c>
      <c r="G281" s="7" t="n">
        <v>0</v>
      </c>
      <c r="H281" s="7" t="n">
        <v>1</v>
      </c>
      <c r="I281" s="7" t="n">
        <v>1</v>
      </c>
      <c r="J281" s="7" t="n">
        <v>0</v>
      </c>
      <c r="K281" s="7" t="n">
        <v>0</v>
      </c>
      <c r="L281" s="7" t="n">
        <v>1</v>
      </c>
      <c r="M281" s="7" t="n">
        <v>2</v>
      </c>
      <c r="N281" s="7" t="n">
        <v>1</v>
      </c>
      <c r="O281" s="7" t="n">
        <v>1</v>
      </c>
      <c r="P281" s="7" t="n">
        <v>0</v>
      </c>
      <c r="Q281" s="8" t="n">
        <f aca="false">IF(F281=0,0,H281/F281)</f>
        <v>0.2</v>
      </c>
      <c r="R281" s="8" t="n">
        <f aca="false">IF(F281+O281=0,0,(H281+O281)/(F281+O281))</f>
        <v>0.333333333333333</v>
      </c>
      <c r="S281" s="8" t="n">
        <f aca="false">IF(F281=0,0,M281/F281)</f>
        <v>0.4</v>
      </c>
      <c r="T281" s="8" t="n">
        <f aca="false">S281+R281</f>
        <v>0.733333333333333</v>
      </c>
      <c r="U281" s="8" t="n">
        <f aca="false">S281-Q281</f>
        <v>0.2</v>
      </c>
    </row>
    <row r="282" customFormat="false" ht="14.25" hidden="false" customHeight="true" outlineLevel="0" collapsed="false">
      <c r="A282" s="6" t="s">
        <v>284</v>
      </c>
      <c r="B282" s="6" t="s">
        <v>71</v>
      </c>
      <c r="C282" s="7" t="n">
        <v>1</v>
      </c>
      <c r="D282" s="7" t="s">
        <v>613</v>
      </c>
      <c r="E282" s="7" t="n">
        <v>2</v>
      </c>
      <c r="F282" s="7" t="n">
        <v>5</v>
      </c>
      <c r="G282" s="7" t="n">
        <v>2</v>
      </c>
      <c r="H282" s="7" t="n">
        <v>1</v>
      </c>
      <c r="I282" s="7" t="n">
        <v>0</v>
      </c>
      <c r="J282" s="7" t="n">
        <v>0</v>
      </c>
      <c r="K282" s="7" t="n">
        <v>0</v>
      </c>
      <c r="L282" s="7" t="n">
        <v>0</v>
      </c>
      <c r="M282" s="7" t="n">
        <v>1</v>
      </c>
      <c r="N282" s="7" t="n">
        <v>0</v>
      </c>
      <c r="O282" s="7" t="n">
        <v>1</v>
      </c>
      <c r="P282" s="7" t="n">
        <v>0</v>
      </c>
      <c r="Q282" s="8" t="n">
        <f aca="false">IF(F282=0,0,H282/F282)</f>
        <v>0.2</v>
      </c>
      <c r="R282" s="8" t="n">
        <f aca="false">IF(F282+O282=0,0,(H282+O282)/(F282+O282))</f>
        <v>0.333333333333333</v>
      </c>
      <c r="S282" s="8" t="n">
        <f aca="false">IF(F282=0,0,M282/F282)</f>
        <v>0.2</v>
      </c>
      <c r="T282" s="8" t="n">
        <f aca="false">S282+R282</f>
        <v>0.533333333333333</v>
      </c>
      <c r="U282" s="8" t="n">
        <f aca="false">S282-Q282</f>
        <v>0</v>
      </c>
    </row>
    <row r="283" customFormat="false" ht="14.25" hidden="false" customHeight="true" outlineLevel="0" collapsed="false">
      <c r="A283" s="6" t="s">
        <v>287</v>
      </c>
      <c r="B283" s="6" t="s">
        <v>97</v>
      </c>
      <c r="C283" s="7" t="n">
        <v>1</v>
      </c>
      <c r="D283" s="7" t="s">
        <v>613</v>
      </c>
      <c r="E283" s="7" t="n">
        <v>2</v>
      </c>
      <c r="F283" s="7" t="n">
        <v>5</v>
      </c>
      <c r="G283" s="7" t="n">
        <v>0</v>
      </c>
      <c r="H283" s="7" t="n">
        <v>1</v>
      </c>
      <c r="I283" s="7" t="n">
        <v>0</v>
      </c>
      <c r="J283" s="7" t="n">
        <v>0</v>
      </c>
      <c r="K283" s="7" t="n">
        <v>0</v>
      </c>
      <c r="L283" s="7" t="n">
        <v>0</v>
      </c>
      <c r="M283" s="7" t="n">
        <v>1</v>
      </c>
      <c r="N283" s="7" t="n">
        <v>0</v>
      </c>
      <c r="O283" s="7" t="n">
        <v>1</v>
      </c>
      <c r="P283" s="7" t="n">
        <v>1</v>
      </c>
      <c r="Q283" s="8" t="n">
        <f aca="false">IF(F283=0,0,H283/F283)</f>
        <v>0.2</v>
      </c>
      <c r="R283" s="8" t="n">
        <f aca="false">IF(F283+O283=0,0,(H283+O283)/(F283+O283))</f>
        <v>0.333333333333333</v>
      </c>
      <c r="S283" s="8" t="n">
        <f aca="false">IF(F283=0,0,M283/F283)</f>
        <v>0.2</v>
      </c>
      <c r="T283" s="8" t="n">
        <f aca="false">S283+R283</f>
        <v>0.533333333333333</v>
      </c>
      <c r="U283" s="8" t="n">
        <f aca="false">S283-Q283</f>
        <v>0</v>
      </c>
    </row>
    <row r="284" customFormat="false" ht="14.25" hidden="false" customHeight="true" outlineLevel="0" collapsed="false">
      <c r="A284" s="6" t="s">
        <v>113</v>
      </c>
      <c r="B284" s="6" t="s">
        <v>97</v>
      </c>
      <c r="C284" s="7" t="n">
        <v>2</v>
      </c>
      <c r="D284" s="7" t="s">
        <v>562</v>
      </c>
      <c r="E284" s="7" t="n">
        <v>3</v>
      </c>
      <c r="F284" s="7" t="n">
        <v>5</v>
      </c>
      <c r="G284" s="7" t="n">
        <v>0</v>
      </c>
      <c r="H284" s="7" t="n">
        <v>1</v>
      </c>
      <c r="I284" s="7" t="n">
        <v>0</v>
      </c>
      <c r="J284" s="7" t="n">
        <v>0</v>
      </c>
      <c r="K284" s="7" t="n">
        <v>0</v>
      </c>
      <c r="L284" s="7" t="n">
        <v>0</v>
      </c>
      <c r="M284" s="7" t="n">
        <v>1</v>
      </c>
      <c r="N284" s="7" t="n">
        <v>0</v>
      </c>
      <c r="O284" s="7" t="n">
        <v>0</v>
      </c>
      <c r="P284" s="7" t="n">
        <v>1</v>
      </c>
      <c r="Q284" s="8" t="n">
        <f aca="false">IF(F284=0,0,H284/F284)</f>
        <v>0.2</v>
      </c>
      <c r="R284" s="8" t="n">
        <f aca="false">IF(F284+O284=0,0,(H284+O284)/(F284+O284))</f>
        <v>0.2</v>
      </c>
      <c r="S284" s="8" t="n">
        <f aca="false">IF(F284=0,0,M284/F284)</f>
        <v>0.2</v>
      </c>
      <c r="T284" s="8" t="n">
        <f aca="false">S284+R284</f>
        <v>0.4</v>
      </c>
      <c r="U284" s="8" t="n">
        <f aca="false">S284-Q284</f>
        <v>0</v>
      </c>
    </row>
    <row r="285" customFormat="false" ht="14.25" hidden="false" customHeight="true" outlineLevel="0" collapsed="false">
      <c r="A285" s="6" t="s">
        <v>455</v>
      </c>
      <c r="B285" s="6" t="s">
        <v>50</v>
      </c>
      <c r="C285" s="7" t="n">
        <v>2</v>
      </c>
      <c r="D285" s="7" t="s">
        <v>554</v>
      </c>
      <c r="E285" s="7" t="n">
        <v>11</v>
      </c>
      <c r="F285" s="7" t="n">
        <v>22</v>
      </c>
      <c r="G285" s="7" t="n">
        <v>2</v>
      </c>
      <c r="H285" s="7" t="n">
        <v>1</v>
      </c>
      <c r="I285" s="7" t="n">
        <v>0</v>
      </c>
      <c r="J285" s="7" t="n">
        <v>0</v>
      </c>
      <c r="K285" s="7" t="n">
        <v>0</v>
      </c>
      <c r="L285" s="7" t="n">
        <v>0</v>
      </c>
      <c r="M285" s="7" t="n">
        <v>1</v>
      </c>
      <c r="N285" s="7" t="n">
        <v>1</v>
      </c>
      <c r="O285" s="7" t="n">
        <v>3</v>
      </c>
      <c r="P285" s="7" t="n">
        <v>1</v>
      </c>
      <c r="Q285" s="8" t="n">
        <f aca="false">IF(F285=0,0,H285/F285)</f>
        <v>0.0454545454545455</v>
      </c>
      <c r="R285" s="8" t="n">
        <f aca="false">IF(F285+O285=0,0,(H285+O285)/(F285+O285))</f>
        <v>0.16</v>
      </c>
      <c r="S285" s="8" t="n">
        <f aca="false">IF(F285=0,0,M285/F285)</f>
        <v>0.0454545454545455</v>
      </c>
      <c r="T285" s="8" t="n">
        <f aca="false">S285+R285</f>
        <v>0.205454545454545</v>
      </c>
      <c r="U285" s="8" t="n">
        <f aca="false">S285-Q285</f>
        <v>0</v>
      </c>
    </row>
    <row r="286" customFormat="false" ht="14.25" hidden="false" customHeight="true" outlineLevel="0" collapsed="false">
      <c r="A286" s="6" t="s">
        <v>392</v>
      </c>
      <c r="B286" s="6" t="s">
        <v>166</v>
      </c>
      <c r="C286" s="7" t="n">
        <v>1</v>
      </c>
      <c r="D286" s="7" t="s">
        <v>571</v>
      </c>
      <c r="E286" s="7" t="n">
        <v>2</v>
      </c>
      <c r="F286" s="7" t="n">
        <v>6</v>
      </c>
      <c r="G286" s="7" t="n">
        <v>2</v>
      </c>
      <c r="H286" s="7" t="n">
        <v>1</v>
      </c>
      <c r="I286" s="7" t="n">
        <v>0</v>
      </c>
      <c r="J286" s="7" t="n">
        <v>0</v>
      </c>
      <c r="K286" s="7" t="n">
        <v>0</v>
      </c>
      <c r="L286" s="7" t="n">
        <v>0</v>
      </c>
      <c r="M286" s="7" t="n">
        <v>1</v>
      </c>
      <c r="N286" s="7" t="n">
        <v>0</v>
      </c>
      <c r="O286" s="7" t="n">
        <v>1</v>
      </c>
      <c r="P286" s="7" t="n">
        <v>0</v>
      </c>
      <c r="Q286" s="8" t="n">
        <f aca="false">IF(F286=0,0,H286/F286)</f>
        <v>0.166666666666667</v>
      </c>
      <c r="R286" s="8" t="n">
        <f aca="false">IF(F286+O286=0,0,(H286+O286)/(F286+O286))</f>
        <v>0.285714285714286</v>
      </c>
      <c r="S286" s="8" t="n">
        <f aca="false">IF(F286=0,0,M286/F286)</f>
        <v>0.166666666666667</v>
      </c>
      <c r="T286" s="8" t="n">
        <f aca="false">S286+R286</f>
        <v>0.452380952380952</v>
      </c>
      <c r="U286" s="8" t="n">
        <f aca="false">S286-Q286</f>
        <v>0</v>
      </c>
    </row>
    <row r="287" customFormat="false" ht="14.25" hidden="false" customHeight="true" outlineLevel="0" collapsed="false">
      <c r="A287" s="6" t="s">
        <v>260</v>
      </c>
      <c r="B287" s="6" t="s">
        <v>166</v>
      </c>
      <c r="C287" s="7" t="n">
        <v>1</v>
      </c>
      <c r="D287" s="7" t="s">
        <v>568</v>
      </c>
      <c r="E287" s="7" t="n">
        <v>2</v>
      </c>
      <c r="F287" s="7" t="n">
        <v>6</v>
      </c>
      <c r="G287" s="7" t="n">
        <v>0</v>
      </c>
      <c r="H287" s="7" t="n">
        <v>1</v>
      </c>
      <c r="I287" s="7" t="n">
        <v>0</v>
      </c>
      <c r="J287" s="7" t="n">
        <v>0</v>
      </c>
      <c r="K287" s="7" t="n">
        <v>0</v>
      </c>
      <c r="L287" s="7" t="n">
        <v>0</v>
      </c>
      <c r="M287" s="7" t="n">
        <v>1</v>
      </c>
      <c r="N287" s="7" t="n">
        <v>1</v>
      </c>
      <c r="O287" s="7" t="n">
        <v>0</v>
      </c>
      <c r="P287" s="7" t="n">
        <v>0</v>
      </c>
      <c r="Q287" s="8" t="n">
        <f aca="false">IF(F287=0,0,H287/F287)</f>
        <v>0.166666666666667</v>
      </c>
      <c r="R287" s="8" t="n">
        <f aca="false">IF(F287+O287=0,0,(H287+O287)/(F287+O287))</f>
        <v>0.166666666666667</v>
      </c>
      <c r="S287" s="8" t="n">
        <f aca="false">IF(F287=0,0,M287/F287)</f>
        <v>0.166666666666667</v>
      </c>
      <c r="T287" s="8" t="n">
        <f aca="false">S287+R287</f>
        <v>0.333333333333333</v>
      </c>
      <c r="U287" s="8" t="n">
        <f aca="false">S287-Q287</f>
        <v>0</v>
      </c>
    </row>
    <row r="288" customFormat="false" ht="14.25" hidden="false" customHeight="true" outlineLevel="0" collapsed="false">
      <c r="A288" s="6" t="s">
        <v>366</v>
      </c>
      <c r="B288" s="6" t="s">
        <v>97</v>
      </c>
      <c r="C288" s="7" t="n">
        <v>2</v>
      </c>
      <c r="D288" s="7" t="s">
        <v>621</v>
      </c>
      <c r="E288" s="7" t="n">
        <v>2</v>
      </c>
      <c r="F288" s="7" t="n">
        <v>6</v>
      </c>
      <c r="G288" s="7" t="n">
        <v>1</v>
      </c>
      <c r="H288" s="7" t="n">
        <v>1</v>
      </c>
      <c r="I288" s="7" t="n">
        <v>0</v>
      </c>
      <c r="J288" s="7" t="n">
        <v>0</v>
      </c>
      <c r="K288" s="7" t="n">
        <v>0</v>
      </c>
      <c r="L288" s="7" t="n">
        <v>0</v>
      </c>
      <c r="M288" s="7" t="n">
        <v>1</v>
      </c>
      <c r="N288" s="7" t="n">
        <v>0</v>
      </c>
      <c r="O288" s="7" t="n">
        <v>0</v>
      </c>
      <c r="P288" s="7" t="n">
        <v>0</v>
      </c>
      <c r="Q288" s="8" t="n">
        <f aca="false">IF(F288=0,0,H288/F288)</f>
        <v>0.166666666666667</v>
      </c>
      <c r="R288" s="8" t="n">
        <f aca="false">IF(F288+O288=0,0,(H288+O288)/(F288+O288))</f>
        <v>0.166666666666667</v>
      </c>
      <c r="S288" s="8" t="n">
        <f aca="false">IF(F288=0,0,M288/F288)</f>
        <v>0.166666666666667</v>
      </c>
      <c r="T288" s="8" t="n">
        <f aca="false">S288+R288</f>
        <v>0.333333333333333</v>
      </c>
      <c r="U288" s="8" t="n">
        <f aca="false">S288-Q288</f>
        <v>0</v>
      </c>
    </row>
    <row r="289" customFormat="false" ht="14.25" hidden="false" customHeight="true" outlineLevel="0" collapsed="false">
      <c r="A289" s="6" t="s">
        <v>391</v>
      </c>
      <c r="B289" s="6" t="s">
        <v>147</v>
      </c>
      <c r="C289" s="7" t="n">
        <v>1</v>
      </c>
      <c r="D289" s="7" t="s">
        <v>601</v>
      </c>
      <c r="E289" s="7" t="n">
        <v>2</v>
      </c>
      <c r="F289" s="7" t="n">
        <v>6</v>
      </c>
      <c r="G289" s="7" t="n">
        <v>0</v>
      </c>
      <c r="H289" s="7" t="n">
        <v>1</v>
      </c>
      <c r="I289" s="7" t="n">
        <v>0</v>
      </c>
      <c r="J289" s="7" t="n">
        <v>0</v>
      </c>
      <c r="K289" s="7" t="n">
        <v>0</v>
      </c>
      <c r="L289" s="7" t="n">
        <v>0</v>
      </c>
      <c r="M289" s="7" t="n">
        <v>1</v>
      </c>
      <c r="N289" s="7" t="n">
        <v>2</v>
      </c>
      <c r="O289" s="7" t="n">
        <v>0</v>
      </c>
      <c r="P289" s="7" t="n">
        <v>0</v>
      </c>
      <c r="Q289" s="8" t="n">
        <f aca="false">IF(F289=0,0,H289/F289)</f>
        <v>0.166666666666667</v>
      </c>
      <c r="R289" s="8" t="n">
        <f aca="false">IF(F289+O289=0,0,(H289+O289)/(F289+O289))</f>
        <v>0.166666666666667</v>
      </c>
      <c r="S289" s="8" t="n">
        <f aca="false">IF(F289=0,0,M289/F289)</f>
        <v>0.166666666666667</v>
      </c>
      <c r="T289" s="8" t="n">
        <f aca="false">S289+R289</f>
        <v>0.333333333333333</v>
      </c>
      <c r="U289" s="8" t="n">
        <f aca="false">S289-Q289</f>
        <v>0</v>
      </c>
    </row>
    <row r="290" customFormat="false" ht="14.25" hidden="false" customHeight="true" outlineLevel="0" collapsed="false">
      <c r="A290" s="6" t="s">
        <v>238</v>
      </c>
      <c r="B290" s="6" t="s">
        <v>50</v>
      </c>
      <c r="C290" s="7" t="n">
        <v>1</v>
      </c>
      <c r="D290" s="7" t="s">
        <v>607</v>
      </c>
      <c r="E290" s="7" t="n">
        <v>1</v>
      </c>
      <c r="F290" s="7" t="n">
        <v>2</v>
      </c>
      <c r="G290" s="7" t="n">
        <v>0</v>
      </c>
      <c r="H290" s="7" t="n">
        <v>1</v>
      </c>
      <c r="I290" s="7" t="n">
        <v>0</v>
      </c>
      <c r="J290" s="7" t="n">
        <v>0</v>
      </c>
      <c r="K290" s="7" t="n">
        <v>0</v>
      </c>
      <c r="L290" s="7" t="n">
        <v>0</v>
      </c>
      <c r="M290" s="7" t="n">
        <v>1</v>
      </c>
      <c r="N290" s="7" t="n">
        <v>0</v>
      </c>
      <c r="O290" s="7" t="n">
        <v>0</v>
      </c>
      <c r="P290" s="7" t="n">
        <v>0</v>
      </c>
      <c r="Q290" s="8" t="n">
        <f aca="false">IF(F290=0,0,H290/F290)</f>
        <v>0.5</v>
      </c>
      <c r="R290" s="8" t="n">
        <f aca="false">IF(F290+O290=0,0,(H290+O290)/(F290+O290))</f>
        <v>0.5</v>
      </c>
      <c r="S290" s="8" t="n">
        <f aca="false">IF(F290=0,0,M290/F290)</f>
        <v>0.5</v>
      </c>
      <c r="T290" s="8" t="n">
        <f aca="false">S290+R290</f>
        <v>1</v>
      </c>
      <c r="U290" s="8" t="n">
        <f aca="false">S290-Q290</f>
        <v>0</v>
      </c>
    </row>
    <row r="291" customFormat="false" ht="14.25" hidden="false" customHeight="true" outlineLevel="0" collapsed="false">
      <c r="A291" s="6" t="s">
        <v>422</v>
      </c>
      <c r="B291" s="6" t="s">
        <v>97</v>
      </c>
      <c r="C291" s="7" t="n">
        <v>2</v>
      </c>
      <c r="D291" s="9" t="s">
        <v>622</v>
      </c>
      <c r="E291" s="7" t="n">
        <v>7</v>
      </c>
      <c r="F291" s="7" t="n">
        <v>18</v>
      </c>
      <c r="G291" s="7" t="n">
        <v>0</v>
      </c>
      <c r="H291" s="7" t="n">
        <v>2</v>
      </c>
      <c r="I291" s="7" t="n">
        <v>0</v>
      </c>
      <c r="J291" s="7" t="n">
        <v>0</v>
      </c>
      <c r="K291" s="7" t="n">
        <v>0</v>
      </c>
      <c r="L291" s="7" t="n">
        <v>0</v>
      </c>
      <c r="M291" s="7" t="n">
        <v>2</v>
      </c>
      <c r="N291" s="7" t="n">
        <v>0</v>
      </c>
      <c r="O291" s="7" t="n">
        <v>0</v>
      </c>
      <c r="P291" s="7" t="n">
        <v>0</v>
      </c>
      <c r="Q291" s="8" t="n">
        <f aca="false">IF(F291=0,0,H291/F291)</f>
        <v>0.111111111111111</v>
      </c>
      <c r="R291" s="8" t="n">
        <f aca="false">IF(F291+O291=0,0,(H291+O291)/(F291+O291))</f>
        <v>0.111111111111111</v>
      </c>
      <c r="S291" s="8" t="n">
        <f aca="false">IF(F291=0,0,M291/F291)</f>
        <v>0.111111111111111</v>
      </c>
      <c r="T291" s="8" t="n">
        <f aca="false">S291+R291</f>
        <v>0.222222222222222</v>
      </c>
      <c r="U291" s="8" t="n">
        <f aca="false">S291-Q291</f>
        <v>0</v>
      </c>
    </row>
    <row r="292" customFormat="false" ht="14.25" hidden="false" customHeight="true" outlineLevel="0" collapsed="false">
      <c r="A292" s="6" t="s">
        <v>400</v>
      </c>
      <c r="B292" s="6" t="s">
        <v>192</v>
      </c>
      <c r="C292" s="7" t="n">
        <v>2</v>
      </c>
      <c r="D292" s="9" t="s">
        <v>622</v>
      </c>
      <c r="E292" s="7" t="n">
        <v>7</v>
      </c>
      <c r="F292" s="7" t="n">
        <v>11</v>
      </c>
      <c r="G292" s="7" t="n">
        <v>2</v>
      </c>
      <c r="H292" s="7" t="n">
        <v>1</v>
      </c>
      <c r="I292" s="7" t="n">
        <v>0</v>
      </c>
      <c r="J292" s="7" t="n">
        <v>0</v>
      </c>
      <c r="K292" s="7" t="n">
        <v>0</v>
      </c>
      <c r="L292" s="7" t="n">
        <v>0</v>
      </c>
      <c r="M292" s="7" t="n">
        <v>1</v>
      </c>
      <c r="N292" s="7" t="n">
        <v>0</v>
      </c>
      <c r="O292" s="7" t="n">
        <v>1</v>
      </c>
      <c r="P292" s="7" t="n">
        <v>1</v>
      </c>
      <c r="Q292" s="8" t="n">
        <f aca="false">IF(F292=0,0,H292/F292)</f>
        <v>0.0909090909090909</v>
      </c>
      <c r="R292" s="8" t="n">
        <f aca="false">IF(F292+O292=0,0,(H292+O292)/(F292+O292))</f>
        <v>0.166666666666667</v>
      </c>
      <c r="S292" s="8" t="n">
        <f aca="false">IF(F292=0,0,M292/F292)</f>
        <v>0.0909090909090909</v>
      </c>
      <c r="T292" s="8" t="n">
        <f aca="false">S292+R292</f>
        <v>0.257575757575758</v>
      </c>
      <c r="U292" s="8" t="n">
        <f aca="false">S292-Q292</f>
        <v>0</v>
      </c>
    </row>
    <row r="293" customFormat="false" ht="14.25" hidden="false" customHeight="true" outlineLevel="0" collapsed="false">
      <c r="A293" s="6" t="s">
        <v>316</v>
      </c>
      <c r="B293" s="6" t="s">
        <v>50</v>
      </c>
      <c r="C293" s="7" t="n">
        <v>1</v>
      </c>
      <c r="D293" s="7" t="s">
        <v>570</v>
      </c>
      <c r="E293" s="7" t="n">
        <v>1</v>
      </c>
      <c r="F293" s="7" t="n">
        <v>3</v>
      </c>
      <c r="G293" s="7" t="n">
        <v>0</v>
      </c>
      <c r="H293" s="7" t="n">
        <v>1</v>
      </c>
      <c r="I293" s="7" t="n">
        <v>1</v>
      </c>
      <c r="J293" s="7" t="n">
        <v>0</v>
      </c>
      <c r="K293" s="7" t="n">
        <v>0</v>
      </c>
      <c r="L293" s="7" t="n">
        <v>1</v>
      </c>
      <c r="M293" s="7" t="n">
        <v>2</v>
      </c>
      <c r="N293" s="7" t="n">
        <v>0</v>
      </c>
      <c r="O293" s="7" t="n">
        <v>0</v>
      </c>
      <c r="P293" s="7" t="n">
        <v>1</v>
      </c>
      <c r="Q293" s="8" t="n">
        <f aca="false">IF(F293=0,0,H293/F293)</f>
        <v>0.333333333333333</v>
      </c>
      <c r="R293" s="8" t="n">
        <f aca="false">IF(F293+O293=0,0,(H293+O293)/(F293+O293))</f>
        <v>0.333333333333333</v>
      </c>
      <c r="S293" s="8" t="n">
        <f aca="false">IF(F293=0,0,M293/F293)</f>
        <v>0.666666666666667</v>
      </c>
      <c r="T293" s="8" t="n">
        <f aca="false">S293+R293</f>
        <v>1</v>
      </c>
      <c r="U293" s="8" t="n">
        <f aca="false">S293-Q293</f>
        <v>0.333333333333333</v>
      </c>
    </row>
    <row r="294" customFormat="false" ht="14.25" hidden="false" customHeight="true" outlineLevel="0" collapsed="false">
      <c r="A294" s="6" t="s">
        <v>336</v>
      </c>
      <c r="B294" s="6" t="s">
        <v>121</v>
      </c>
      <c r="C294" s="7" t="n">
        <v>1</v>
      </c>
      <c r="D294" s="7" t="s">
        <v>570</v>
      </c>
      <c r="E294" s="7" t="n">
        <v>3</v>
      </c>
      <c r="F294" s="7" t="n">
        <v>8</v>
      </c>
      <c r="G294" s="7" t="n">
        <v>0</v>
      </c>
      <c r="H294" s="7" t="n">
        <v>1</v>
      </c>
      <c r="I294" s="7" t="n">
        <v>0</v>
      </c>
      <c r="J294" s="7" t="n">
        <v>0</v>
      </c>
      <c r="K294" s="7" t="n">
        <v>0</v>
      </c>
      <c r="L294" s="7" t="n">
        <v>0</v>
      </c>
      <c r="M294" s="7" t="n">
        <v>1</v>
      </c>
      <c r="N294" s="7" t="n">
        <v>0</v>
      </c>
      <c r="O294" s="7" t="n">
        <v>1</v>
      </c>
      <c r="P294" s="7" t="n">
        <v>0</v>
      </c>
      <c r="Q294" s="8" t="n">
        <f aca="false">IF(F294=0,0,H294/F294)</f>
        <v>0.125</v>
      </c>
      <c r="R294" s="8" t="n">
        <f aca="false">IF(F294+O294=0,0,(H294+O294)/(F294+O294))</f>
        <v>0.222222222222222</v>
      </c>
      <c r="S294" s="8" t="n">
        <f aca="false">IF(F294=0,0,M294/F294)</f>
        <v>0.125</v>
      </c>
      <c r="T294" s="8" t="n">
        <f aca="false">S294+R294</f>
        <v>0.347222222222222</v>
      </c>
      <c r="U294" s="8" t="n">
        <f aca="false">S294-Q294</f>
        <v>0</v>
      </c>
    </row>
    <row r="295" customFormat="false" ht="14.25" hidden="false" customHeight="true" outlineLevel="0" collapsed="false">
      <c r="A295" s="6" t="s">
        <v>110</v>
      </c>
      <c r="B295" s="6" t="s">
        <v>97</v>
      </c>
      <c r="C295" s="7" t="n">
        <v>1</v>
      </c>
      <c r="D295" s="7" t="s">
        <v>555</v>
      </c>
      <c r="E295" s="7" t="n">
        <v>3</v>
      </c>
      <c r="F295" s="7" t="n">
        <v>8</v>
      </c>
      <c r="G295" s="7" t="n">
        <v>0</v>
      </c>
      <c r="H295" s="7" t="n">
        <v>1</v>
      </c>
      <c r="I295" s="7" t="n">
        <v>0</v>
      </c>
      <c r="J295" s="7" t="n">
        <v>0</v>
      </c>
      <c r="K295" s="7" t="n">
        <v>0</v>
      </c>
      <c r="L295" s="7" t="n">
        <v>0</v>
      </c>
      <c r="M295" s="7" t="n">
        <v>1</v>
      </c>
      <c r="N295" s="7" t="n">
        <v>0</v>
      </c>
      <c r="O295" s="7" t="n">
        <v>0</v>
      </c>
      <c r="P295" s="7" t="n">
        <v>0</v>
      </c>
      <c r="Q295" s="8" t="n">
        <f aca="false">IF(F295=0,0,H295/F295)</f>
        <v>0.125</v>
      </c>
      <c r="R295" s="8" t="n">
        <f aca="false">IF(F295+O295=0,0,(H295+O295)/(F295+O295))</f>
        <v>0.125</v>
      </c>
      <c r="S295" s="8" t="n">
        <f aca="false">IF(F295=0,0,M295/F295)</f>
        <v>0.125</v>
      </c>
      <c r="T295" s="8" t="n">
        <f aca="false">S295+R295</f>
        <v>0.25</v>
      </c>
      <c r="U295" s="8" t="n">
        <f aca="false">S295-Q295</f>
        <v>0</v>
      </c>
    </row>
    <row r="296" customFormat="false" ht="14.25" hidden="false" customHeight="true" outlineLevel="0" collapsed="false">
      <c r="A296" s="6" t="s">
        <v>408</v>
      </c>
      <c r="B296" s="6" t="s">
        <v>212</v>
      </c>
      <c r="C296" s="7" t="n">
        <v>3</v>
      </c>
      <c r="D296" s="7" t="s">
        <v>584</v>
      </c>
      <c r="E296" s="7" t="n">
        <v>4</v>
      </c>
      <c r="F296" s="7" t="n">
        <v>11</v>
      </c>
      <c r="G296" s="7" t="n">
        <v>1</v>
      </c>
      <c r="H296" s="7" t="n">
        <v>1</v>
      </c>
      <c r="I296" s="7" t="n">
        <v>0</v>
      </c>
      <c r="J296" s="7" t="n">
        <v>0</v>
      </c>
      <c r="K296" s="7" t="n">
        <v>0</v>
      </c>
      <c r="L296" s="7" t="n">
        <v>0</v>
      </c>
      <c r="M296" s="7" t="n">
        <v>1</v>
      </c>
      <c r="N296" s="7" t="n">
        <v>1</v>
      </c>
      <c r="O296" s="7" t="n">
        <v>1</v>
      </c>
      <c r="P296" s="7" t="n">
        <v>1</v>
      </c>
      <c r="Q296" s="8" t="n">
        <f aca="false">IF(F296=0,0,H296/F296)</f>
        <v>0.0909090909090909</v>
      </c>
      <c r="R296" s="8" t="n">
        <f aca="false">IF(F296+O296=0,0,(H296+O296)/(F296+O296))</f>
        <v>0.166666666666667</v>
      </c>
      <c r="S296" s="8" t="n">
        <f aca="false">IF(F296=0,0,M296/F296)</f>
        <v>0.0909090909090909</v>
      </c>
      <c r="T296" s="8" t="n">
        <f aca="false">S296+R296</f>
        <v>0.257575757575758</v>
      </c>
      <c r="U296" s="8" t="n">
        <f aca="false">S296-Q296</f>
        <v>0</v>
      </c>
    </row>
    <row r="297" customFormat="false" ht="14.25" hidden="false" customHeight="true" outlineLevel="0" collapsed="false">
      <c r="A297" s="6" t="s">
        <v>312</v>
      </c>
      <c r="B297" s="6" t="s">
        <v>192</v>
      </c>
      <c r="C297" s="7" t="n">
        <v>2</v>
      </c>
      <c r="D297" s="7" t="s">
        <v>609</v>
      </c>
      <c r="E297" s="7" t="n">
        <v>3</v>
      </c>
      <c r="F297" s="7" t="n">
        <v>10</v>
      </c>
      <c r="G297" s="7" t="n">
        <v>0</v>
      </c>
      <c r="H297" s="7" t="n">
        <v>1</v>
      </c>
      <c r="I297" s="7" t="n">
        <v>0</v>
      </c>
      <c r="J297" s="7" t="n">
        <v>0</v>
      </c>
      <c r="K297" s="7" t="n">
        <v>0</v>
      </c>
      <c r="L297" s="7" t="n">
        <v>0</v>
      </c>
      <c r="M297" s="7" t="n">
        <v>1</v>
      </c>
      <c r="N297" s="7" t="n">
        <v>0</v>
      </c>
      <c r="O297" s="7" t="n">
        <v>0</v>
      </c>
      <c r="P297" s="7" t="n">
        <v>0</v>
      </c>
      <c r="Q297" s="8" t="n">
        <f aca="false">IF(F297=0,0,H297/F297)</f>
        <v>0.1</v>
      </c>
      <c r="R297" s="8" t="n">
        <f aca="false">IF(F297+O297=0,0,(H297+O297)/(F297+O297))</f>
        <v>0.1</v>
      </c>
      <c r="S297" s="8" t="n">
        <f aca="false">IF(F297=0,0,M297/F297)</f>
        <v>0.1</v>
      </c>
      <c r="T297" s="8" t="n">
        <f aca="false">S297+R297</f>
        <v>0.2</v>
      </c>
      <c r="U297" s="8" t="n">
        <f aca="false">S297-Q297</f>
        <v>0</v>
      </c>
    </row>
    <row r="298" customFormat="false" ht="14.25" hidden="false" customHeight="true" outlineLevel="0" collapsed="false">
      <c r="A298" s="6" t="s">
        <v>258</v>
      </c>
      <c r="B298" s="6" t="s">
        <v>97</v>
      </c>
      <c r="C298" s="7" t="n">
        <v>1</v>
      </c>
      <c r="D298" s="7" t="s">
        <v>607</v>
      </c>
      <c r="E298" s="7" t="n">
        <v>4</v>
      </c>
      <c r="F298" s="7" t="n">
        <v>12</v>
      </c>
      <c r="G298" s="7" t="n">
        <v>0</v>
      </c>
      <c r="H298" s="7" t="n">
        <v>1</v>
      </c>
      <c r="I298" s="7" t="n">
        <v>0</v>
      </c>
      <c r="J298" s="7" t="n">
        <v>0</v>
      </c>
      <c r="K298" s="7" t="n">
        <v>0</v>
      </c>
      <c r="L298" s="7" t="n">
        <v>0</v>
      </c>
      <c r="M298" s="7" t="n">
        <v>1</v>
      </c>
      <c r="N298" s="7" t="n">
        <v>1</v>
      </c>
      <c r="O298" s="7" t="n">
        <v>0</v>
      </c>
      <c r="P298" s="7" t="n">
        <v>1</v>
      </c>
      <c r="Q298" s="8" t="n">
        <f aca="false">IF(F298=0,0,H298/F298)</f>
        <v>0.0833333333333333</v>
      </c>
      <c r="R298" s="8" t="n">
        <f aca="false">IF(F298+O298=0,0,(H298+O298)/(F298+O298))</f>
        <v>0.0833333333333333</v>
      </c>
      <c r="S298" s="8" t="n">
        <f aca="false">IF(F298=0,0,M298/F298)</f>
        <v>0.0833333333333333</v>
      </c>
      <c r="T298" s="8" t="n">
        <f aca="false">S298+R298</f>
        <v>0.166666666666667</v>
      </c>
      <c r="U298" s="8" t="n">
        <f aca="false">S298-Q298</f>
        <v>0</v>
      </c>
    </row>
    <row r="299" customFormat="false" ht="14.25" hidden="false" customHeight="true" outlineLevel="0" collapsed="false">
      <c r="A299" s="6" t="s">
        <v>478</v>
      </c>
      <c r="B299" s="6" t="s">
        <v>121</v>
      </c>
      <c r="C299" s="7" t="n">
        <v>2</v>
      </c>
      <c r="D299" s="7" t="s">
        <v>554</v>
      </c>
      <c r="E299" s="7" t="n">
        <v>6</v>
      </c>
      <c r="F299" s="7" t="n">
        <v>14</v>
      </c>
      <c r="G299" s="7" t="n">
        <v>0</v>
      </c>
      <c r="H299" s="7" t="n">
        <v>1</v>
      </c>
      <c r="I299" s="7" t="n">
        <v>0</v>
      </c>
      <c r="J299" s="7" t="n">
        <v>0</v>
      </c>
      <c r="K299" s="7" t="n">
        <v>0</v>
      </c>
      <c r="L299" s="7" t="n">
        <v>0</v>
      </c>
      <c r="M299" s="7" t="n">
        <v>1</v>
      </c>
      <c r="N299" s="7" t="n">
        <v>2</v>
      </c>
      <c r="O299" s="7" t="n">
        <v>1</v>
      </c>
      <c r="P299" s="7" t="n">
        <v>0</v>
      </c>
      <c r="Q299" s="8" t="n">
        <f aca="false">IF(F299=0,0,H299/F299)</f>
        <v>0.0714285714285714</v>
      </c>
      <c r="R299" s="8" t="n">
        <f aca="false">IF(F299+O299=0,0,(H299+O299)/(F299+O299))</f>
        <v>0.133333333333333</v>
      </c>
      <c r="S299" s="8" t="n">
        <f aca="false">IF(F299=0,0,M299/F299)</f>
        <v>0.0714285714285714</v>
      </c>
      <c r="T299" s="8" t="n">
        <f aca="false">S299+R299</f>
        <v>0.204761904761905</v>
      </c>
      <c r="U299" s="8" t="n">
        <f aca="false">S299-Q299</f>
        <v>0</v>
      </c>
    </row>
    <row r="300" customFormat="false" ht="14.25" hidden="false" customHeight="true" outlineLevel="0" collapsed="false">
      <c r="A300" s="6" t="s">
        <v>385</v>
      </c>
      <c r="B300" s="6" t="s">
        <v>97</v>
      </c>
      <c r="C300" s="7" t="n">
        <v>4</v>
      </c>
      <c r="D300" s="7" t="s">
        <v>605</v>
      </c>
      <c r="E300" s="7" t="n">
        <v>12</v>
      </c>
      <c r="F300" s="7" t="n">
        <v>25</v>
      </c>
      <c r="G300" s="7" t="n">
        <v>3</v>
      </c>
      <c r="H300" s="7" t="n">
        <v>1</v>
      </c>
      <c r="I300" s="7" t="n">
        <v>1</v>
      </c>
      <c r="J300" s="7" t="n">
        <v>0</v>
      </c>
      <c r="K300" s="7" t="n">
        <v>0</v>
      </c>
      <c r="L300" s="7" t="n">
        <v>1</v>
      </c>
      <c r="M300" s="7" t="n">
        <v>2</v>
      </c>
      <c r="N300" s="7" t="n">
        <v>4</v>
      </c>
      <c r="O300" s="7" t="n">
        <v>3</v>
      </c>
      <c r="P300" s="7" t="n">
        <v>1</v>
      </c>
      <c r="Q300" s="8" t="n">
        <f aca="false">IF(F300=0,0,H300/F300)</f>
        <v>0.04</v>
      </c>
      <c r="R300" s="8" t="n">
        <f aca="false">IF(F300+O300=0,0,(H300+O300)/(F300+O300))</f>
        <v>0.142857142857143</v>
      </c>
      <c r="S300" s="8" t="n">
        <f aca="false">IF(F300=0,0,M300/F300)</f>
        <v>0.08</v>
      </c>
      <c r="T300" s="8" t="n">
        <f aca="false">S300+R300</f>
        <v>0.222857142857143</v>
      </c>
      <c r="U300" s="8" t="n">
        <f aca="false">S300-Q300</f>
        <v>0.04</v>
      </c>
    </row>
    <row r="301" customFormat="false" ht="14.25" hidden="false" customHeight="true" outlineLevel="0" collapsed="false">
      <c r="A301" s="6" t="s">
        <v>68</v>
      </c>
      <c r="B301" s="6" t="s">
        <v>50</v>
      </c>
      <c r="C301" s="7" t="n">
        <v>2</v>
      </c>
      <c r="D301" s="7" t="s">
        <v>623</v>
      </c>
      <c r="E301" s="7" t="n">
        <v>3</v>
      </c>
      <c r="F301" s="7" t="n">
        <v>6</v>
      </c>
      <c r="G301" s="7" t="n">
        <v>0</v>
      </c>
      <c r="H301" s="7" t="n">
        <v>1</v>
      </c>
      <c r="I301" s="7" t="n">
        <v>0</v>
      </c>
      <c r="J301" s="7" t="n">
        <v>0</v>
      </c>
      <c r="K301" s="7" t="n">
        <v>0</v>
      </c>
      <c r="L301" s="7" t="n">
        <v>0</v>
      </c>
      <c r="M301" s="7" t="n">
        <v>1</v>
      </c>
      <c r="N301" s="7" t="n">
        <v>0</v>
      </c>
      <c r="O301" s="7" t="n">
        <v>0</v>
      </c>
      <c r="P301" s="7" t="n">
        <v>0</v>
      </c>
      <c r="Q301" s="8" t="n">
        <f aca="false">IF(F301=0,0,H301/F301)</f>
        <v>0.166666666666667</v>
      </c>
      <c r="R301" s="8" t="n">
        <f aca="false">IF(F301+O301=0,0,(H301+O301)/(F301+O301))</f>
        <v>0.166666666666667</v>
      </c>
      <c r="S301" s="8" t="n">
        <f aca="false">IF(F301=0,0,M301/F301)</f>
        <v>0.166666666666667</v>
      </c>
      <c r="T301" s="8" t="n">
        <f aca="false">S301+R301</f>
        <v>0.333333333333333</v>
      </c>
      <c r="U301" s="8" t="n">
        <f aca="false">S301-Q301</f>
        <v>0</v>
      </c>
    </row>
    <row r="302" customFormat="false" ht="14.25" hidden="false" customHeight="true" outlineLevel="0" collapsed="false">
      <c r="A302" s="6" t="s">
        <v>311</v>
      </c>
      <c r="B302" s="6" t="s">
        <v>192</v>
      </c>
      <c r="C302" s="7" t="n">
        <v>4</v>
      </c>
      <c r="D302" s="7" t="s">
        <v>624</v>
      </c>
      <c r="E302" s="7" t="n">
        <v>10</v>
      </c>
      <c r="F302" s="7" t="n">
        <v>23</v>
      </c>
      <c r="G302" s="7" t="n">
        <v>1</v>
      </c>
      <c r="H302" s="7" t="n">
        <v>1</v>
      </c>
      <c r="I302" s="7" t="n">
        <v>0</v>
      </c>
      <c r="J302" s="7" t="n">
        <v>0</v>
      </c>
      <c r="K302" s="7" t="n">
        <v>0</v>
      </c>
      <c r="L302" s="7" t="n">
        <v>0</v>
      </c>
      <c r="M302" s="7" t="n">
        <v>1</v>
      </c>
      <c r="N302" s="7" t="n">
        <v>1</v>
      </c>
      <c r="O302" s="7" t="n">
        <v>0</v>
      </c>
      <c r="P302" s="7" t="n">
        <v>1</v>
      </c>
      <c r="Q302" s="8" t="n">
        <f aca="false">IF(F302=0,0,H302/F302)</f>
        <v>0.0434782608695652</v>
      </c>
      <c r="R302" s="8" t="n">
        <f aca="false">IF(F302+O302=0,0,(H302+O302)/(F302+O302))</f>
        <v>0.0434782608695652</v>
      </c>
      <c r="S302" s="8" t="n">
        <f aca="false">IF(F302=0,0,M302/F302)</f>
        <v>0.0434782608695652</v>
      </c>
      <c r="T302" s="8" t="n">
        <f aca="false">S302+R302</f>
        <v>0.0869565217391304</v>
      </c>
      <c r="U302" s="8" t="n">
        <f aca="false">S302-Q302</f>
        <v>0</v>
      </c>
    </row>
    <row r="303" customFormat="false" ht="14.25" hidden="false" customHeight="true" outlineLevel="0" collapsed="false">
      <c r="A303" s="6" t="s">
        <v>364</v>
      </c>
      <c r="B303" s="6" t="s">
        <v>212</v>
      </c>
      <c r="C303" s="7" t="n">
        <v>4</v>
      </c>
      <c r="D303" s="9" t="s">
        <v>625</v>
      </c>
      <c r="E303" s="7" t="n">
        <v>11</v>
      </c>
      <c r="F303" s="7" t="n">
        <v>26</v>
      </c>
      <c r="G303" s="7" t="n">
        <v>0</v>
      </c>
      <c r="H303" s="7" t="n">
        <v>1</v>
      </c>
      <c r="I303" s="7" t="n">
        <v>0</v>
      </c>
      <c r="J303" s="7" t="n">
        <v>0</v>
      </c>
      <c r="K303" s="7" t="n">
        <v>0</v>
      </c>
      <c r="L303" s="7" t="n">
        <v>0</v>
      </c>
      <c r="M303" s="7" t="n">
        <v>1</v>
      </c>
      <c r="N303" s="7" t="n">
        <v>1</v>
      </c>
      <c r="O303" s="7" t="n">
        <v>0</v>
      </c>
      <c r="P303" s="7" t="n">
        <v>0</v>
      </c>
      <c r="Q303" s="8" t="n">
        <f aca="false">IF(F303=0,0,H303/F303)</f>
        <v>0.0384615384615385</v>
      </c>
      <c r="R303" s="8" t="n">
        <f aca="false">IF(F303+O303=0,0,(H303+O303)/(F303+O303))</f>
        <v>0.0384615384615385</v>
      </c>
      <c r="S303" s="8" t="n">
        <f aca="false">IF(F303=0,0,M303/F303)</f>
        <v>0.0384615384615385</v>
      </c>
      <c r="T303" s="8" t="n">
        <f aca="false">S303+R303</f>
        <v>0.0769230769230769</v>
      </c>
      <c r="U303" s="8" t="n">
        <f aca="false">S303-Q303</f>
        <v>0</v>
      </c>
    </row>
    <row r="304" customFormat="false" ht="14.25" hidden="false" customHeight="true" outlineLevel="0" collapsed="false">
      <c r="A304" s="6" t="s">
        <v>61</v>
      </c>
      <c r="B304" s="6" t="s">
        <v>50</v>
      </c>
      <c r="C304" s="7" t="n">
        <v>2</v>
      </c>
      <c r="D304" s="7" t="s">
        <v>562</v>
      </c>
      <c r="E304" s="7" t="n">
        <v>10</v>
      </c>
      <c r="F304" s="7" t="n">
        <v>13</v>
      </c>
      <c r="G304" s="7" t="n">
        <v>3</v>
      </c>
      <c r="H304" s="7" t="n">
        <v>2</v>
      </c>
      <c r="I304" s="7" t="n">
        <v>0</v>
      </c>
      <c r="J304" s="7" t="n">
        <v>0</v>
      </c>
      <c r="K304" s="7" t="n">
        <v>0</v>
      </c>
      <c r="L304" s="7" t="n">
        <v>0</v>
      </c>
      <c r="M304" s="7" t="n">
        <v>2</v>
      </c>
      <c r="N304" s="7" t="n">
        <v>2</v>
      </c>
      <c r="O304" s="7" t="n">
        <v>4</v>
      </c>
      <c r="P304" s="7" t="n">
        <v>2</v>
      </c>
      <c r="Q304" s="8" t="n">
        <f aca="false">IF(F304=0,0,H304/F304)</f>
        <v>0.153846153846154</v>
      </c>
      <c r="R304" s="8" t="n">
        <f aca="false">IF(F304+O304=0,0,(H304+O304)/(F304+O304))</f>
        <v>0.352941176470588</v>
      </c>
      <c r="S304" s="8" t="n">
        <f aca="false">IF(F304=0,0,M304/F304)</f>
        <v>0.153846153846154</v>
      </c>
      <c r="T304" s="8" t="n">
        <f aca="false">S304+R304</f>
        <v>0.506787330316742</v>
      </c>
      <c r="U304" s="8" t="n">
        <f aca="false">S304-Q304</f>
        <v>0</v>
      </c>
    </row>
    <row r="305" customFormat="false" ht="14.25" hidden="false" customHeight="true" outlineLevel="0" collapsed="false">
      <c r="A305" s="6" t="s">
        <v>471</v>
      </c>
      <c r="B305" s="6" t="s">
        <v>97</v>
      </c>
      <c r="C305" s="7" t="n">
        <v>2</v>
      </c>
      <c r="D305" s="7" t="s">
        <v>554</v>
      </c>
      <c r="E305" s="7" t="n">
        <v>9</v>
      </c>
      <c r="F305" s="7" t="n">
        <v>26</v>
      </c>
      <c r="G305" s="7" t="n">
        <v>1</v>
      </c>
      <c r="H305" s="7" t="n">
        <v>1</v>
      </c>
      <c r="I305" s="7" t="n">
        <v>0</v>
      </c>
      <c r="J305" s="7" t="n">
        <v>0</v>
      </c>
      <c r="K305" s="7" t="n">
        <v>0</v>
      </c>
      <c r="L305" s="7" t="n">
        <v>0</v>
      </c>
      <c r="M305" s="7" t="n">
        <v>1</v>
      </c>
      <c r="N305" s="7" t="n">
        <v>0</v>
      </c>
      <c r="O305" s="7" t="n">
        <v>0</v>
      </c>
      <c r="P305" s="7" t="n">
        <v>2</v>
      </c>
      <c r="Q305" s="8" t="n">
        <f aca="false">IF(F305=0,0,H305/F305)</f>
        <v>0.0384615384615385</v>
      </c>
      <c r="R305" s="8" t="n">
        <f aca="false">IF(F305+O305=0,0,(H305+O305)/(F305+O305))</f>
        <v>0.0384615384615385</v>
      </c>
      <c r="S305" s="8" t="n">
        <f aca="false">IF(F305=0,0,M305/F305)</f>
        <v>0.0384615384615385</v>
      </c>
      <c r="T305" s="8" t="n">
        <f aca="false">S305+R305</f>
        <v>0.0769230769230769</v>
      </c>
      <c r="U305" s="8" t="n">
        <f aca="false">S305-Q305</f>
        <v>0</v>
      </c>
    </row>
    <row r="306" customFormat="false" ht="14.25" hidden="false" customHeight="true" outlineLevel="0" collapsed="false">
      <c r="A306" s="6" t="s">
        <v>467</v>
      </c>
      <c r="B306" s="6" t="s">
        <v>192</v>
      </c>
      <c r="C306" s="7" t="n">
        <v>2</v>
      </c>
      <c r="D306" s="7" t="s">
        <v>554</v>
      </c>
      <c r="E306" s="7" t="n">
        <v>2</v>
      </c>
      <c r="F306" s="7" t="n">
        <v>6</v>
      </c>
      <c r="G306" s="7" t="n">
        <v>1</v>
      </c>
      <c r="H306" s="7" t="n">
        <v>1</v>
      </c>
      <c r="I306" s="7" t="n">
        <v>0</v>
      </c>
      <c r="J306" s="7" t="n">
        <v>0</v>
      </c>
      <c r="K306" s="7" t="n">
        <v>0</v>
      </c>
      <c r="L306" s="7" t="n">
        <v>0</v>
      </c>
      <c r="M306" s="7" t="n">
        <v>1</v>
      </c>
      <c r="N306" s="7" t="n">
        <v>0</v>
      </c>
      <c r="O306" s="7" t="n">
        <v>0</v>
      </c>
      <c r="P306" s="7" t="n">
        <v>0</v>
      </c>
      <c r="Q306" s="8" t="n">
        <f aca="false">IF(F306=0,0,H306/F306)</f>
        <v>0.166666666666667</v>
      </c>
      <c r="R306" s="8" t="n">
        <f aca="false">IF(F306+O306=0,0,(H306+O306)/(F306+O306))</f>
        <v>0.166666666666667</v>
      </c>
      <c r="S306" s="8" t="n">
        <f aca="false">IF(F306=0,0,M306/F306)</f>
        <v>0.166666666666667</v>
      </c>
      <c r="T306" s="8" t="n">
        <f aca="false">S306+R306</f>
        <v>0.333333333333333</v>
      </c>
      <c r="U306" s="8" t="n">
        <f aca="false">S306-Q306</f>
        <v>0</v>
      </c>
    </row>
    <row r="307" customFormat="false" ht="14.25" hidden="false" customHeight="true" outlineLevel="0" collapsed="false">
      <c r="A307" s="6" t="s">
        <v>410</v>
      </c>
      <c r="B307" s="6" t="s">
        <v>626</v>
      </c>
      <c r="C307" s="7" t="n">
        <v>3</v>
      </c>
      <c r="D307" s="9" t="s">
        <v>627</v>
      </c>
      <c r="E307" s="7" t="n">
        <v>4</v>
      </c>
      <c r="F307" s="7" t="n">
        <v>9</v>
      </c>
      <c r="G307" s="7" t="n">
        <v>1</v>
      </c>
      <c r="H307" s="7" t="n">
        <v>1</v>
      </c>
      <c r="I307" s="7" t="n">
        <v>0</v>
      </c>
      <c r="J307" s="7" t="n">
        <v>0</v>
      </c>
      <c r="K307" s="7" t="n">
        <v>0</v>
      </c>
      <c r="L307" s="7" t="n">
        <v>0</v>
      </c>
      <c r="M307" s="7" t="n">
        <v>1</v>
      </c>
      <c r="N307" s="7" t="n">
        <v>0</v>
      </c>
      <c r="O307" s="7" t="n">
        <v>2</v>
      </c>
      <c r="P307" s="7" t="n">
        <v>1</v>
      </c>
      <c r="Q307" s="8" t="n">
        <f aca="false">IF(F307=0,0,H307/F307)</f>
        <v>0.111111111111111</v>
      </c>
      <c r="R307" s="8" t="n">
        <f aca="false">IF(F307+O307=0,0,(H307+O307)/(F307+O307))</f>
        <v>0.272727272727273</v>
      </c>
      <c r="S307" s="8" t="n">
        <f aca="false">IF(F307=0,0,M307/F307)</f>
        <v>0.111111111111111</v>
      </c>
      <c r="T307" s="8" t="n">
        <f aca="false">S307+R307</f>
        <v>0.383838383838384</v>
      </c>
      <c r="U307" s="8" t="n">
        <f aca="false">S307-Q307</f>
        <v>0</v>
      </c>
    </row>
    <row r="308" customFormat="false" ht="14.25" hidden="false" customHeight="true" outlineLevel="0" collapsed="false">
      <c r="A308" s="6" t="s">
        <v>339</v>
      </c>
      <c r="B308" s="6" t="s">
        <v>575</v>
      </c>
      <c r="C308" s="7" t="n">
        <v>2</v>
      </c>
      <c r="D308" s="7" t="s">
        <v>628</v>
      </c>
      <c r="E308" s="7" t="n">
        <v>3</v>
      </c>
      <c r="F308" s="7" t="n">
        <v>8</v>
      </c>
      <c r="G308" s="7" t="n">
        <v>2</v>
      </c>
      <c r="H308" s="7" t="n">
        <v>1</v>
      </c>
      <c r="I308" s="7" t="n">
        <v>0</v>
      </c>
      <c r="J308" s="7" t="n">
        <v>0</v>
      </c>
      <c r="K308" s="7" t="n">
        <v>0</v>
      </c>
      <c r="L308" s="7" t="n">
        <v>0</v>
      </c>
      <c r="M308" s="7" t="n">
        <v>1</v>
      </c>
      <c r="N308" s="7" t="n">
        <v>0</v>
      </c>
      <c r="O308" s="7" t="n">
        <v>2</v>
      </c>
      <c r="P308" s="7" t="n">
        <v>0</v>
      </c>
      <c r="Q308" s="8" t="n">
        <f aca="false">IF(F308=0,0,H308/F308)</f>
        <v>0.125</v>
      </c>
      <c r="R308" s="8" t="n">
        <f aca="false">IF(F308+O308=0,0,(H308+O308)/(F308+O308))</f>
        <v>0.3</v>
      </c>
      <c r="S308" s="8" t="n">
        <f aca="false">IF(F308=0,0,M308/F308)</f>
        <v>0.125</v>
      </c>
      <c r="T308" s="8" t="n">
        <f aca="false">S308+R308</f>
        <v>0.425</v>
      </c>
      <c r="U308" s="8" t="n">
        <f aca="false">S308-Q308</f>
        <v>0</v>
      </c>
    </row>
    <row r="309" customFormat="false" ht="14.25" hidden="false" customHeight="true" outlineLevel="0" collapsed="false">
      <c r="A309" s="6" t="s">
        <v>511</v>
      </c>
      <c r="B309" s="6" t="s">
        <v>97</v>
      </c>
      <c r="C309" s="7" t="n">
        <v>1</v>
      </c>
      <c r="D309" s="7" t="s">
        <v>573</v>
      </c>
      <c r="E309" s="7" t="n">
        <v>2</v>
      </c>
      <c r="F309" s="7" t="n">
        <v>5</v>
      </c>
      <c r="G309" s="7" t="n">
        <v>0</v>
      </c>
      <c r="H309" s="7" t="n">
        <v>1</v>
      </c>
      <c r="I309" s="7" t="n">
        <v>0</v>
      </c>
      <c r="J309" s="7" t="n">
        <v>0</v>
      </c>
      <c r="K309" s="7" t="n">
        <v>0</v>
      </c>
      <c r="L309" s="7" t="n">
        <v>0</v>
      </c>
      <c r="M309" s="7" t="n">
        <v>1</v>
      </c>
      <c r="N309" s="7" t="n">
        <v>1</v>
      </c>
      <c r="O309" s="7" t="n">
        <v>1</v>
      </c>
      <c r="P309" s="7" t="n">
        <v>0</v>
      </c>
      <c r="Q309" s="8" t="n">
        <f aca="false">IF(F309=0,0,H309/F309)</f>
        <v>0.2</v>
      </c>
      <c r="R309" s="8" t="n">
        <f aca="false">IF(F309+O309=0,0,(H309+O309)/(F309+O309))</f>
        <v>0.333333333333333</v>
      </c>
      <c r="S309" s="8" t="n">
        <f aca="false">IF(F309=0,0,M309/F309)</f>
        <v>0.2</v>
      </c>
      <c r="T309" s="8" t="n">
        <f aca="false">S309+R309</f>
        <v>0.533333333333333</v>
      </c>
      <c r="U309" s="8" t="n">
        <f aca="false">S309-Q309</f>
        <v>0</v>
      </c>
    </row>
    <row r="310" customFormat="false" ht="14.25" hidden="false" customHeight="true" outlineLevel="0" collapsed="false">
      <c r="A310" s="6" t="s">
        <v>514</v>
      </c>
      <c r="B310" s="6" t="s">
        <v>121</v>
      </c>
      <c r="C310" s="7" t="n">
        <v>1</v>
      </c>
      <c r="D310" s="7" t="s">
        <v>573</v>
      </c>
      <c r="E310" s="7" t="n">
        <v>1</v>
      </c>
      <c r="F310" s="7" t="n">
        <v>3</v>
      </c>
      <c r="G310" s="7" t="n">
        <v>0</v>
      </c>
      <c r="H310" s="7" t="n">
        <v>1</v>
      </c>
      <c r="I310" s="7" t="n">
        <v>0</v>
      </c>
      <c r="J310" s="7" t="n">
        <v>0</v>
      </c>
      <c r="K310" s="7" t="n">
        <v>0</v>
      </c>
      <c r="L310" s="7" t="n">
        <v>0</v>
      </c>
      <c r="M310" s="7" t="n">
        <v>1</v>
      </c>
      <c r="N310" s="7" t="n">
        <v>1</v>
      </c>
      <c r="O310" s="7" t="n">
        <v>0</v>
      </c>
      <c r="P310" s="7" t="n">
        <v>0</v>
      </c>
      <c r="Q310" s="8" t="n">
        <f aca="false">IF(F310=0,0,H310/F310)</f>
        <v>0.333333333333333</v>
      </c>
      <c r="R310" s="8" t="n">
        <f aca="false">IF(F310+O310=0,0,(H310+O310)/(F310+O310))</f>
        <v>0.333333333333333</v>
      </c>
      <c r="S310" s="8" t="n">
        <f aca="false">IF(F310=0,0,M310/F310)</f>
        <v>0.333333333333333</v>
      </c>
      <c r="T310" s="8" t="n">
        <f aca="false">S310+R310</f>
        <v>0.666666666666667</v>
      </c>
      <c r="U310" s="8" t="n">
        <f aca="false">S310-Q310</f>
        <v>0</v>
      </c>
    </row>
    <row r="311" customFormat="false" ht="14.25" hidden="false" customHeight="true" outlineLevel="0" collapsed="false">
      <c r="A311" s="6" t="s">
        <v>527</v>
      </c>
      <c r="B311" s="6" t="s">
        <v>212</v>
      </c>
      <c r="C311" s="7" t="n">
        <v>1</v>
      </c>
      <c r="D311" s="7" t="s">
        <v>573</v>
      </c>
      <c r="E311" s="7" t="n">
        <v>4</v>
      </c>
      <c r="F311" s="7" t="n">
        <v>8</v>
      </c>
      <c r="G311" s="7" t="n">
        <v>0</v>
      </c>
      <c r="H311" s="7" t="n">
        <v>1</v>
      </c>
      <c r="I311" s="7" t="n">
        <v>0</v>
      </c>
      <c r="J311" s="7" t="n">
        <v>0</v>
      </c>
      <c r="K311" s="7" t="n">
        <v>0</v>
      </c>
      <c r="L311" s="7" t="n">
        <v>0</v>
      </c>
      <c r="M311" s="7" t="n">
        <v>1</v>
      </c>
      <c r="N311" s="7" t="n">
        <v>0</v>
      </c>
      <c r="O311" s="7" t="n">
        <v>1</v>
      </c>
      <c r="P311" s="7" t="n">
        <v>0</v>
      </c>
      <c r="Q311" s="8" t="n">
        <f aca="false">IF(F311=0,0,H311/F311)</f>
        <v>0.125</v>
      </c>
      <c r="R311" s="8" t="n">
        <f aca="false">IF(F311+O311=0,0,(H311+O311)/(F311+O311))</f>
        <v>0.222222222222222</v>
      </c>
      <c r="S311" s="8" t="n">
        <f aca="false">IF(F311=0,0,M311/F311)</f>
        <v>0.125</v>
      </c>
      <c r="T311" s="8" t="n">
        <f aca="false">S311+R311</f>
        <v>0.347222222222222</v>
      </c>
      <c r="U311" s="8" t="n">
        <f aca="false">S311-Q311</f>
        <v>0</v>
      </c>
    </row>
    <row r="312" customFormat="false" ht="14.25" hidden="false" customHeight="true" outlineLevel="0" collapsed="false">
      <c r="A312" s="6" t="s">
        <v>456</v>
      </c>
      <c r="B312" s="6" t="s">
        <v>50</v>
      </c>
      <c r="C312" s="7" t="n">
        <v>2</v>
      </c>
      <c r="D312" s="7" t="s">
        <v>554</v>
      </c>
      <c r="E312" s="7" t="n">
        <v>14</v>
      </c>
      <c r="F312" s="7" t="n">
        <v>17</v>
      </c>
      <c r="G312" s="7" t="n">
        <v>1</v>
      </c>
      <c r="H312" s="7" t="n">
        <v>0</v>
      </c>
      <c r="I312" s="7" t="n">
        <v>0</v>
      </c>
      <c r="J312" s="7" t="n">
        <v>0</v>
      </c>
      <c r="K312" s="7" t="n">
        <v>0</v>
      </c>
      <c r="L312" s="7" t="n">
        <v>0</v>
      </c>
      <c r="M312" s="7" t="n">
        <v>0</v>
      </c>
      <c r="N312" s="7" t="n">
        <v>2</v>
      </c>
      <c r="O312" s="7" t="n">
        <v>1</v>
      </c>
      <c r="P312" s="7" t="n">
        <v>5</v>
      </c>
      <c r="Q312" s="8" t="n">
        <f aca="false">IF(F312=0,0,H312/F312)</f>
        <v>0</v>
      </c>
      <c r="R312" s="8" t="n">
        <f aca="false">IF(F312+O312=0,0,(H312+O312)/(F312+O312))</f>
        <v>0.0555555555555556</v>
      </c>
      <c r="S312" s="8" t="n">
        <f aca="false">IF(F312=0,0,M312/F312)</f>
        <v>0</v>
      </c>
      <c r="T312" s="8" t="n">
        <f aca="false">S312+R312</f>
        <v>0.0555555555555556</v>
      </c>
      <c r="U312" s="8" t="n">
        <f aca="false">S312-Q312</f>
        <v>0</v>
      </c>
    </row>
    <row r="313" customFormat="false" ht="14.25" hidden="false" customHeight="true" outlineLevel="0" collapsed="false">
      <c r="A313" s="6" t="s">
        <v>367</v>
      </c>
      <c r="B313" s="6" t="s">
        <v>50</v>
      </c>
      <c r="C313" s="7" t="n">
        <v>1</v>
      </c>
      <c r="D313" s="7" t="s">
        <v>601</v>
      </c>
      <c r="E313" s="7" t="n">
        <v>1</v>
      </c>
      <c r="F313" s="7" t="n">
        <v>4</v>
      </c>
      <c r="G313" s="7" t="n">
        <v>1</v>
      </c>
      <c r="H313" s="7" t="n">
        <v>0</v>
      </c>
      <c r="I313" s="7" t="n">
        <v>0</v>
      </c>
      <c r="J313" s="7" t="n">
        <v>0</v>
      </c>
      <c r="K313" s="7" t="n">
        <v>0</v>
      </c>
      <c r="L313" s="7" t="n">
        <v>0</v>
      </c>
      <c r="M313" s="7" t="n">
        <v>0</v>
      </c>
      <c r="N313" s="7" t="n">
        <v>1</v>
      </c>
      <c r="O313" s="7" t="n">
        <v>0</v>
      </c>
      <c r="P313" s="7" t="n">
        <v>0</v>
      </c>
      <c r="Q313" s="8" t="n">
        <f aca="false">IF(F313=0,0,H313/F313)</f>
        <v>0</v>
      </c>
      <c r="R313" s="8" t="n">
        <f aca="false">IF(F313+O313=0,0,(H313+O313)/(F313+O313))</f>
        <v>0</v>
      </c>
      <c r="S313" s="8" t="n">
        <f aca="false">IF(F313=0,0,M313/F313)</f>
        <v>0</v>
      </c>
      <c r="T313" s="8" t="n">
        <f aca="false">S313+R313</f>
        <v>0</v>
      </c>
      <c r="U313" s="8" t="n">
        <f aca="false">S313-Q313</f>
        <v>0</v>
      </c>
    </row>
    <row r="314" customFormat="false" ht="14.25" hidden="false" customHeight="true" outlineLevel="0" collapsed="false">
      <c r="A314" s="6" t="s">
        <v>448</v>
      </c>
      <c r="B314" s="6" t="s">
        <v>192</v>
      </c>
      <c r="C314" s="7" t="n">
        <v>2</v>
      </c>
      <c r="D314" s="7" t="s">
        <v>569</v>
      </c>
      <c r="E314" s="7" t="n">
        <v>15</v>
      </c>
      <c r="F314" s="7" t="n">
        <v>32</v>
      </c>
      <c r="G314" s="7" t="n">
        <v>2</v>
      </c>
      <c r="H314" s="7" t="n">
        <v>0</v>
      </c>
      <c r="I314" s="7" t="n">
        <v>0</v>
      </c>
      <c r="J314" s="7" t="n">
        <v>0</v>
      </c>
      <c r="K314" s="7" t="n">
        <v>0</v>
      </c>
      <c r="L314" s="7" t="n">
        <v>0</v>
      </c>
      <c r="M314" s="7" t="n">
        <v>0</v>
      </c>
      <c r="N314" s="7" t="n">
        <v>2</v>
      </c>
      <c r="O314" s="7" t="n">
        <v>1</v>
      </c>
      <c r="P314" s="7" t="n">
        <v>0</v>
      </c>
      <c r="Q314" s="8" t="n">
        <f aca="false">IF(F314=0,0,H314/F314)</f>
        <v>0</v>
      </c>
      <c r="R314" s="8" t="n">
        <f aca="false">IF(F314+O314=0,0,(H314+O314)/(F314+O314))</f>
        <v>0.0303030303030303</v>
      </c>
      <c r="S314" s="8" t="n">
        <f aca="false">IF(F314=0,0,M314/F314)</f>
        <v>0</v>
      </c>
      <c r="T314" s="8" t="n">
        <f aca="false">S314+R314</f>
        <v>0.0303030303030303</v>
      </c>
      <c r="U314" s="8" t="n">
        <f aca="false">S314-Q314</f>
        <v>0</v>
      </c>
    </row>
    <row r="315" customFormat="false" ht="14.25" hidden="false" customHeight="true" outlineLevel="0" collapsed="false">
      <c r="A315" s="6" t="s">
        <v>361</v>
      </c>
      <c r="B315" s="6" t="s">
        <v>212</v>
      </c>
      <c r="C315" s="7" t="n">
        <v>2</v>
      </c>
      <c r="D315" s="7" t="s">
        <v>595</v>
      </c>
      <c r="E315" s="7" t="n">
        <v>9</v>
      </c>
      <c r="F315" s="7" t="n">
        <v>24</v>
      </c>
      <c r="G315" s="7" t="n">
        <v>0</v>
      </c>
      <c r="H315" s="7" t="n">
        <v>0</v>
      </c>
      <c r="I315" s="7" t="n">
        <v>0</v>
      </c>
      <c r="J315" s="7" t="n">
        <v>0</v>
      </c>
      <c r="K315" s="7" t="n">
        <v>0</v>
      </c>
      <c r="L315" s="7" t="n">
        <v>0</v>
      </c>
      <c r="M315" s="7" t="n">
        <v>0</v>
      </c>
      <c r="N315" s="7" t="n">
        <v>0</v>
      </c>
      <c r="O315" s="7" t="n">
        <v>0</v>
      </c>
      <c r="P315" s="7" t="n">
        <v>1</v>
      </c>
      <c r="Q315" s="8" t="n">
        <f aca="false">IF(F315=0,0,H315/F315)</f>
        <v>0</v>
      </c>
      <c r="R315" s="8" t="n">
        <f aca="false">IF(F315+O315=0,0,(H315+O315)/(F315+O315))</f>
        <v>0</v>
      </c>
      <c r="S315" s="8" t="n">
        <f aca="false">IF(F315=0,0,M315/F315)</f>
        <v>0</v>
      </c>
      <c r="T315" s="8" t="n">
        <f aca="false">S315+R315</f>
        <v>0</v>
      </c>
      <c r="U315" s="8" t="n">
        <f aca="false">S315-Q315</f>
        <v>0</v>
      </c>
    </row>
    <row r="316" customFormat="false" ht="14.25" hidden="false" customHeight="true" outlineLevel="0" collapsed="false">
      <c r="A316" s="6" t="s">
        <v>240</v>
      </c>
      <c r="B316" s="6" t="s">
        <v>71</v>
      </c>
      <c r="C316" s="7" t="n">
        <v>3</v>
      </c>
      <c r="D316" s="7" t="s">
        <v>629</v>
      </c>
      <c r="E316" s="7" t="n">
        <v>5</v>
      </c>
      <c r="F316" s="7" t="n">
        <v>11</v>
      </c>
      <c r="G316" s="7" t="n">
        <v>1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  <c r="M316" s="7" t="n">
        <v>0</v>
      </c>
      <c r="N316" s="7" t="n">
        <v>0</v>
      </c>
      <c r="O316" s="7" t="n">
        <v>0</v>
      </c>
      <c r="P316" s="7" t="n">
        <v>3</v>
      </c>
      <c r="Q316" s="8" t="n">
        <f aca="false">IF(F316=0,0,H316/F316)</f>
        <v>0</v>
      </c>
      <c r="R316" s="8" t="n">
        <f aca="false">IF(F316+O316=0,0,(H316+O316)/(F316+O316))</f>
        <v>0</v>
      </c>
      <c r="S316" s="8" t="n">
        <f aca="false">IF(F316=0,0,M316/F316)</f>
        <v>0</v>
      </c>
      <c r="T316" s="8" t="n">
        <f aca="false">S316+R316</f>
        <v>0</v>
      </c>
      <c r="U316" s="8" t="n">
        <f aca="false">S316-Q316</f>
        <v>0</v>
      </c>
    </row>
    <row r="317" customFormat="false" ht="14.25" hidden="false" customHeight="true" outlineLevel="0" collapsed="false">
      <c r="A317" s="6" t="s">
        <v>630</v>
      </c>
      <c r="B317" s="6" t="s">
        <v>97</v>
      </c>
      <c r="C317" s="7" t="n">
        <v>1</v>
      </c>
      <c r="D317" s="7" t="s">
        <v>571</v>
      </c>
      <c r="E317" s="7" t="n">
        <v>3</v>
      </c>
      <c r="F317" s="7" t="n">
        <v>9</v>
      </c>
      <c r="G317" s="7" t="n">
        <v>0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0</v>
      </c>
      <c r="M317" s="7" t="n">
        <v>0</v>
      </c>
      <c r="N317" s="7" t="n">
        <v>0</v>
      </c>
      <c r="O317" s="7" t="n">
        <v>0</v>
      </c>
      <c r="P317" s="7" t="n">
        <v>0</v>
      </c>
      <c r="Q317" s="8" t="n">
        <f aca="false">IF(F317=0,0,H317/F317)</f>
        <v>0</v>
      </c>
      <c r="R317" s="8" t="n">
        <f aca="false">IF(F317+O317=0,0,(H317+O317)/(F317+O317))</f>
        <v>0</v>
      </c>
      <c r="S317" s="8" t="n">
        <f aca="false">IF(F317=0,0,M317/F317)</f>
        <v>0</v>
      </c>
      <c r="T317" s="8" t="n">
        <f aca="false">S317+R317</f>
        <v>0</v>
      </c>
      <c r="U317" s="8" t="n">
        <f aca="false">S317-Q317</f>
        <v>0</v>
      </c>
    </row>
    <row r="318" customFormat="false" ht="14.25" hidden="false" customHeight="true" outlineLevel="0" collapsed="false">
      <c r="A318" s="6" t="s">
        <v>206</v>
      </c>
      <c r="B318" s="6" t="s">
        <v>192</v>
      </c>
      <c r="C318" s="7" t="n">
        <v>2</v>
      </c>
      <c r="D318" s="7" t="s">
        <v>631</v>
      </c>
      <c r="E318" s="7" t="n">
        <v>8</v>
      </c>
      <c r="F318" s="7" t="n">
        <v>23</v>
      </c>
      <c r="G318" s="7" t="n">
        <v>1</v>
      </c>
      <c r="H318" s="7" t="n">
        <v>0</v>
      </c>
      <c r="I318" s="7" t="n">
        <v>0</v>
      </c>
      <c r="J318" s="7" t="n">
        <v>0</v>
      </c>
      <c r="K318" s="7" t="n">
        <v>0</v>
      </c>
      <c r="L318" s="7" t="n">
        <v>0</v>
      </c>
      <c r="M318" s="7" t="n">
        <v>0</v>
      </c>
      <c r="N318" s="7" t="n">
        <v>2</v>
      </c>
      <c r="O318" s="7" t="n">
        <v>0</v>
      </c>
      <c r="P318" s="7" t="n">
        <v>3</v>
      </c>
      <c r="Q318" s="8" t="n">
        <f aca="false">IF(F318=0,0,H318/F318)</f>
        <v>0</v>
      </c>
      <c r="R318" s="8" t="n">
        <f aca="false">IF(F318+O318=0,0,(H318+O318)/(F318+O318))</f>
        <v>0</v>
      </c>
      <c r="S318" s="8" t="n">
        <f aca="false">IF(F318=0,0,M318/F318)</f>
        <v>0</v>
      </c>
      <c r="T318" s="8" t="n">
        <f aca="false">S318+R318</f>
        <v>0</v>
      </c>
      <c r="U318" s="8" t="n">
        <f aca="false">S318-Q318</f>
        <v>0</v>
      </c>
    </row>
    <row r="319" customFormat="false" ht="14.25" hidden="false" customHeight="true" outlineLevel="0" collapsed="false">
      <c r="A319" s="6" t="s">
        <v>163</v>
      </c>
      <c r="B319" s="6" t="s">
        <v>147</v>
      </c>
      <c r="C319" s="7" t="n">
        <v>4</v>
      </c>
      <c r="D319" s="7" t="s">
        <v>632</v>
      </c>
      <c r="E319" s="7" t="n">
        <v>7</v>
      </c>
      <c r="F319" s="7" t="n">
        <v>21</v>
      </c>
      <c r="G319" s="7" t="n">
        <v>1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0</v>
      </c>
      <c r="M319" s="7" t="n">
        <v>0</v>
      </c>
      <c r="N319" s="7" t="n">
        <v>0</v>
      </c>
      <c r="O319" s="7" t="n">
        <v>0</v>
      </c>
      <c r="P319" s="7" t="n">
        <v>1</v>
      </c>
      <c r="Q319" s="8" t="n">
        <f aca="false">IF(F319=0,0,H319/F319)</f>
        <v>0</v>
      </c>
      <c r="R319" s="8" t="n">
        <f aca="false">IF(F319+O319=0,0,(H319+O319)/(F319+O319))</f>
        <v>0</v>
      </c>
      <c r="S319" s="8" t="n">
        <f aca="false">IF(F319=0,0,M319/F319)</f>
        <v>0</v>
      </c>
      <c r="T319" s="8" t="n">
        <f aca="false">S319+R319</f>
        <v>0</v>
      </c>
      <c r="U319" s="8" t="n">
        <f aca="false">S319-Q319</f>
        <v>0</v>
      </c>
    </row>
    <row r="320" customFormat="false" ht="14.25" hidden="false" customHeight="true" outlineLevel="0" collapsed="false">
      <c r="A320" s="6" t="s">
        <v>468</v>
      </c>
      <c r="B320" s="6" t="s">
        <v>97</v>
      </c>
      <c r="C320" s="7" t="n">
        <v>1</v>
      </c>
      <c r="D320" s="7" t="s">
        <v>571</v>
      </c>
      <c r="E320" s="7" t="n">
        <v>4</v>
      </c>
      <c r="F320" s="7" t="n">
        <v>7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0</v>
      </c>
      <c r="M320" s="7" t="n">
        <v>0</v>
      </c>
      <c r="N320" s="7" t="n">
        <v>2</v>
      </c>
      <c r="O320" s="7" t="n">
        <v>0</v>
      </c>
      <c r="P320" s="7" t="n">
        <v>0</v>
      </c>
      <c r="Q320" s="8" t="n">
        <f aca="false">IF(F320=0,0,H320/F320)</f>
        <v>0</v>
      </c>
      <c r="R320" s="8" t="n">
        <f aca="false">IF(F320+O320=0,0,(H320+O320)/(F320+O320))</f>
        <v>0</v>
      </c>
      <c r="S320" s="8" t="n">
        <f aca="false">IF(F320=0,0,M320/F320)</f>
        <v>0</v>
      </c>
      <c r="T320" s="8" t="n">
        <f aca="false">S320+R320</f>
        <v>0</v>
      </c>
      <c r="U320" s="8" t="n">
        <f aca="false">S320-Q320</f>
        <v>0</v>
      </c>
    </row>
    <row r="321" customFormat="false" ht="14.25" hidden="false" customHeight="true" outlineLevel="0" collapsed="false">
      <c r="A321" s="6" t="s">
        <v>245</v>
      </c>
      <c r="B321" s="6" t="s">
        <v>71</v>
      </c>
      <c r="C321" s="7" t="n">
        <v>5</v>
      </c>
      <c r="D321" s="7" t="s">
        <v>633</v>
      </c>
      <c r="E321" s="7" t="n">
        <v>6</v>
      </c>
      <c r="F321" s="7" t="n">
        <v>7</v>
      </c>
      <c r="G321" s="7" t="n">
        <v>2</v>
      </c>
      <c r="H321" s="7" t="n">
        <v>0</v>
      </c>
      <c r="I321" s="7" t="n">
        <v>0</v>
      </c>
      <c r="J321" s="7" t="n">
        <v>0</v>
      </c>
      <c r="K321" s="7" t="n">
        <v>0</v>
      </c>
      <c r="L321" s="7" t="n">
        <v>0</v>
      </c>
      <c r="M321" s="7" t="n">
        <v>0</v>
      </c>
      <c r="N321" s="7" t="n">
        <v>0</v>
      </c>
      <c r="O321" s="7" t="n">
        <v>1</v>
      </c>
      <c r="P321" s="7" t="n">
        <v>5</v>
      </c>
      <c r="Q321" s="8" t="n">
        <f aca="false">IF(F321=0,0,H321/F321)</f>
        <v>0</v>
      </c>
      <c r="R321" s="8" t="n">
        <f aca="false">IF(F321+O321=0,0,(H321+O321)/(F321+O321))</f>
        <v>0.125</v>
      </c>
      <c r="S321" s="8" t="n">
        <f aca="false">IF(F321=0,0,M321/F321)</f>
        <v>0</v>
      </c>
      <c r="T321" s="8" t="n">
        <f aca="false">S321+R321</f>
        <v>0.125</v>
      </c>
      <c r="U321" s="8" t="n">
        <f aca="false">S321-Q321</f>
        <v>0</v>
      </c>
    </row>
    <row r="322" customFormat="false" ht="14.25" hidden="false" customHeight="true" outlineLevel="0" collapsed="false">
      <c r="A322" s="6" t="s">
        <v>323</v>
      </c>
      <c r="B322" s="6" t="s">
        <v>71</v>
      </c>
      <c r="C322" s="7" t="n">
        <v>1</v>
      </c>
      <c r="D322" s="7" t="s">
        <v>570</v>
      </c>
      <c r="E322" s="7" t="n">
        <v>3</v>
      </c>
      <c r="F322" s="7" t="n">
        <v>7</v>
      </c>
      <c r="G322" s="7" t="n">
        <v>0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7" t="n">
        <v>0</v>
      </c>
      <c r="N322" s="7" t="n">
        <v>0</v>
      </c>
      <c r="O322" s="7" t="n">
        <v>0</v>
      </c>
      <c r="P322" s="7" t="n">
        <v>0</v>
      </c>
      <c r="Q322" s="8" t="n">
        <f aca="false">IF(F322=0,0,H322/F322)</f>
        <v>0</v>
      </c>
      <c r="R322" s="8" t="n">
        <f aca="false">IF(F322+O322=0,0,(H322+O322)/(F322+O322))</f>
        <v>0</v>
      </c>
      <c r="S322" s="8" t="n">
        <f aca="false">IF(F322=0,0,M322/F322)</f>
        <v>0</v>
      </c>
      <c r="T322" s="8" t="n">
        <f aca="false">S322+R322</f>
        <v>0</v>
      </c>
      <c r="U322" s="8" t="n">
        <f aca="false">S322-Q322</f>
        <v>0</v>
      </c>
    </row>
    <row r="323" customFormat="false" ht="14.25" hidden="false" customHeight="true" outlineLevel="0" collapsed="false">
      <c r="A323" s="6" t="s">
        <v>273</v>
      </c>
      <c r="B323" s="6" t="s">
        <v>166</v>
      </c>
      <c r="C323" s="7" t="n">
        <v>1</v>
      </c>
      <c r="D323" s="7" t="s">
        <v>607</v>
      </c>
      <c r="E323" s="7" t="n">
        <v>3</v>
      </c>
      <c r="F323" s="7" t="n">
        <v>7</v>
      </c>
      <c r="G323" s="7" t="n">
        <v>1</v>
      </c>
      <c r="H323" s="7" t="n">
        <v>0</v>
      </c>
      <c r="I323" s="7" t="n">
        <v>0</v>
      </c>
      <c r="J323" s="7" t="n">
        <v>0</v>
      </c>
      <c r="K323" s="7" t="n">
        <v>0</v>
      </c>
      <c r="L323" s="7" t="n">
        <v>0</v>
      </c>
      <c r="M323" s="7" t="n">
        <v>0</v>
      </c>
      <c r="N323" s="7" t="n">
        <v>0</v>
      </c>
      <c r="O323" s="7" t="n">
        <v>0</v>
      </c>
      <c r="P323" s="7" t="n">
        <v>1</v>
      </c>
      <c r="Q323" s="8" t="n">
        <f aca="false">IF(F323=0,0,H323/F323)</f>
        <v>0</v>
      </c>
      <c r="R323" s="8" t="n">
        <f aca="false">IF(F323+O323=0,0,(H323+O323)/(F323+O323))</f>
        <v>0</v>
      </c>
      <c r="S323" s="8" t="n">
        <f aca="false">IF(F323=0,0,M323/F323)</f>
        <v>0</v>
      </c>
      <c r="T323" s="8" t="n">
        <f aca="false">S323+R323</f>
        <v>0</v>
      </c>
      <c r="U323" s="8" t="n">
        <f aca="false">S323-Q323</f>
        <v>0</v>
      </c>
    </row>
    <row r="324" customFormat="false" ht="14.25" hidden="false" customHeight="true" outlineLevel="0" collapsed="false">
      <c r="A324" s="6" t="s">
        <v>341</v>
      </c>
      <c r="B324" s="6" t="s">
        <v>121</v>
      </c>
      <c r="C324" s="7" t="n">
        <v>2</v>
      </c>
      <c r="D324" s="7" t="s">
        <v>634</v>
      </c>
      <c r="E324" s="7" t="n">
        <v>4</v>
      </c>
      <c r="F324" s="7" t="n">
        <v>6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7" t="n">
        <v>0</v>
      </c>
      <c r="N324" s="7" t="n">
        <v>0</v>
      </c>
      <c r="O324" s="7" t="n">
        <v>0</v>
      </c>
      <c r="P324" s="7" t="n">
        <v>0</v>
      </c>
      <c r="Q324" s="8" t="n">
        <f aca="false">IF(F324=0,0,H324/F324)</f>
        <v>0</v>
      </c>
      <c r="R324" s="8" t="n">
        <f aca="false">IF(F324+O324=0,0,(H324+O324)/(F324+O324))</f>
        <v>0</v>
      </c>
      <c r="S324" s="8" t="n">
        <f aca="false">IF(F324=0,0,M324/F324)</f>
        <v>0</v>
      </c>
      <c r="T324" s="8" t="n">
        <f aca="false">S324+R324</f>
        <v>0</v>
      </c>
      <c r="U324" s="8" t="n">
        <f aca="false">S324-Q324</f>
        <v>0</v>
      </c>
    </row>
    <row r="325" customFormat="false" ht="14.25" hidden="false" customHeight="true" outlineLevel="0" collapsed="false">
      <c r="A325" s="6" t="s">
        <v>470</v>
      </c>
      <c r="B325" s="6" t="s">
        <v>97</v>
      </c>
      <c r="C325" s="7" t="n">
        <v>1</v>
      </c>
      <c r="D325" s="7" t="s">
        <v>571</v>
      </c>
      <c r="E325" s="7" t="n">
        <v>4</v>
      </c>
      <c r="F325" s="7" t="n">
        <v>5</v>
      </c>
      <c r="G325" s="7" t="n">
        <v>0</v>
      </c>
      <c r="H325" s="7" t="n">
        <v>0</v>
      </c>
      <c r="I325" s="7" t="n">
        <v>0</v>
      </c>
      <c r="J325" s="7" t="n">
        <v>0</v>
      </c>
      <c r="K325" s="7" t="n">
        <v>0</v>
      </c>
      <c r="L325" s="7" t="n">
        <v>0</v>
      </c>
      <c r="M325" s="7" t="n">
        <v>0</v>
      </c>
      <c r="N325" s="7" t="n">
        <v>0</v>
      </c>
      <c r="O325" s="7" t="n">
        <v>0</v>
      </c>
      <c r="P325" s="7" t="n">
        <v>0</v>
      </c>
      <c r="Q325" s="8" t="n">
        <f aca="false">IF(F325=0,0,H325/F325)</f>
        <v>0</v>
      </c>
      <c r="R325" s="8" t="n">
        <f aca="false">IF(F325+O325=0,0,(H325+O325)/(F325+O325))</f>
        <v>0</v>
      </c>
      <c r="S325" s="8" t="n">
        <f aca="false">IF(F325=0,0,M325/F325)</f>
        <v>0</v>
      </c>
      <c r="T325" s="8" t="n">
        <f aca="false">S325+R325</f>
        <v>0</v>
      </c>
      <c r="U325" s="8" t="n">
        <f aca="false">S325-Q325</f>
        <v>0</v>
      </c>
    </row>
    <row r="326" customFormat="false" ht="14.25" hidden="false" customHeight="true" outlineLevel="0" collapsed="false">
      <c r="A326" s="6" t="s">
        <v>365</v>
      </c>
      <c r="B326" s="6" t="s">
        <v>212</v>
      </c>
      <c r="C326" s="7" t="n">
        <v>2</v>
      </c>
      <c r="D326" s="7" t="s">
        <v>635</v>
      </c>
      <c r="E326" s="7" t="n">
        <v>2</v>
      </c>
      <c r="F326" s="7" t="n">
        <v>5</v>
      </c>
      <c r="G326" s="7" t="n">
        <v>0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7" t="n">
        <v>0</v>
      </c>
      <c r="N326" s="7" t="n">
        <v>0</v>
      </c>
      <c r="O326" s="7" t="n">
        <v>0</v>
      </c>
      <c r="P326" s="7" t="n">
        <v>0</v>
      </c>
      <c r="Q326" s="8" t="n">
        <f aca="false">IF(F326=0,0,H326/F326)</f>
        <v>0</v>
      </c>
      <c r="R326" s="8" t="n">
        <f aca="false">IF(F326+O326=0,0,(H326+O326)/(F326+O326))</f>
        <v>0</v>
      </c>
      <c r="S326" s="8" t="n">
        <f aca="false">IF(F326=0,0,M326/F326)</f>
        <v>0</v>
      </c>
      <c r="T326" s="8" t="n">
        <f aca="false">S326+R326</f>
        <v>0</v>
      </c>
      <c r="U326" s="8" t="n">
        <f aca="false">S326-Q326</f>
        <v>0</v>
      </c>
    </row>
    <row r="327" customFormat="false" ht="14.25" hidden="false" customHeight="true" outlineLevel="0" collapsed="false">
      <c r="A327" s="6" t="s">
        <v>454</v>
      </c>
      <c r="B327" s="6" t="s">
        <v>212</v>
      </c>
      <c r="C327" s="7" t="n">
        <v>1</v>
      </c>
      <c r="D327" s="7" t="s">
        <v>568</v>
      </c>
      <c r="E327" s="7" t="n">
        <v>2</v>
      </c>
      <c r="F327" s="7" t="n">
        <v>5</v>
      </c>
      <c r="G327" s="7" t="n">
        <v>0</v>
      </c>
      <c r="H327" s="7" t="n">
        <v>0</v>
      </c>
      <c r="I327" s="7" t="n">
        <v>0</v>
      </c>
      <c r="J327" s="7" t="n">
        <v>0</v>
      </c>
      <c r="K327" s="7" t="n">
        <v>0</v>
      </c>
      <c r="L327" s="7" t="n">
        <v>0</v>
      </c>
      <c r="M327" s="7" t="n">
        <v>0</v>
      </c>
      <c r="N327" s="7" t="n">
        <v>0</v>
      </c>
      <c r="O327" s="7" t="n">
        <v>0</v>
      </c>
      <c r="P327" s="7" t="n">
        <v>1</v>
      </c>
      <c r="Q327" s="8" t="n">
        <f aca="false">IF(F327=0,0,H327/F327)</f>
        <v>0</v>
      </c>
      <c r="R327" s="8" t="n">
        <f aca="false">IF(F327+O327=0,0,(H327+O327)/(F327+O327))</f>
        <v>0</v>
      </c>
      <c r="S327" s="8" t="n">
        <f aca="false">IF(F327=0,0,M327/F327)</f>
        <v>0</v>
      </c>
      <c r="T327" s="8" t="n">
        <f aca="false">S327+R327</f>
        <v>0</v>
      </c>
      <c r="U327" s="8" t="n">
        <f aca="false">S327-Q327</f>
        <v>0</v>
      </c>
    </row>
    <row r="328" customFormat="false" ht="14.25" hidden="false" customHeight="true" outlineLevel="0" collapsed="false">
      <c r="A328" s="6" t="s">
        <v>386</v>
      </c>
      <c r="B328" s="6" t="s">
        <v>121</v>
      </c>
      <c r="C328" s="7" t="n">
        <v>1</v>
      </c>
      <c r="D328" s="7" t="s">
        <v>601</v>
      </c>
      <c r="E328" s="7" t="n">
        <v>2</v>
      </c>
      <c r="F328" s="7" t="n">
        <v>5</v>
      </c>
      <c r="G328" s="7" t="n">
        <v>0</v>
      </c>
      <c r="H328" s="7" t="n">
        <v>0</v>
      </c>
      <c r="I328" s="7" t="n">
        <v>0</v>
      </c>
      <c r="J328" s="7" t="n">
        <v>0</v>
      </c>
      <c r="K328" s="7" t="n">
        <v>0</v>
      </c>
      <c r="L328" s="7" t="n">
        <v>0</v>
      </c>
      <c r="M328" s="7" t="n">
        <v>0</v>
      </c>
      <c r="N328" s="7" t="n">
        <v>1</v>
      </c>
      <c r="O328" s="7" t="n">
        <v>0</v>
      </c>
      <c r="P328" s="7" t="n">
        <v>0</v>
      </c>
      <c r="Q328" s="8" t="n">
        <f aca="false">IF(F328=0,0,H328/F328)</f>
        <v>0</v>
      </c>
      <c r="R328" s="8" t="n">
        <f aca="false">IF(F328+O328=0,0,(H328+O328)/(F328+O328))</f>
        <v>0</v>
      </c>
      <c r="S328" s="8" t="n">
        <f aca="false">IF(F328=0,0,M328/F328)</f>
        <v>0</v>
      </c>
      <c r="T328" s="8" t="n">
        <f aca="false">S328+R328</f>
        <v>0</v>
      </c>
      <c r="U328" s="8" t="n">
        <f aca="false">S328-Q328</f>
        <v>0</v>
      </c>
    </row>
    <row r="329" customFormat="false" ht="14.25" hidden="false" customHeight="true" outlineLevel="0" collapsed="false">
      <c r="A329" s="6" t="s">
        <v>342</v>
      </c>
      <c r="B329" s="6" t="s">
        <v>121</v>
      </c>
      <c r="C329" s="7" t="n">
        <v>2</v>
      </c>
      <c r="D329" s="7" t="s">
        <v>595</v>
      </c>
      <c r="E329" s="7" t="n">
        <v>2</v>
      </c>
      <c r="F329" s="7" t="n">
        <v>5</v>
      </c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0</v>
      </c>
      <c r="L329" s="7" t="n">
        <v>0</v>
      </c>
      <c r="M329" s="7" t="n">
        <v>0</v>
      </c>
      <c r="N329" s="7" t="n">
        <v>0</v>
      </c>
      <c r="O329" s="7" t="n">
        <v>0</v>
      </c>
      <c r="P329" s="7" t="n">
        <v>0</v>
      </c>
      <c r="Q329" s="8" t="n">
        <f aca="false">IF(F329=0,0,H329/F329)</f>
        <v>0</v>
      </c>
      <c r="R329" s="8" t="n">
        <f aca="false">IF(F329+O329=0,0,(H329+O329)/(F329+O329))</f>
        <v>0</v>
      </c>
      <c r="S329" s="8" t="n">
        <f aca="false">IF(F329=0,0,M329/F329)</f>
        <v>0</v>
      </c>
      <c r="T329" s="8" t="n">
        <f aca="false">S329+R329</f>
        <v>0</v>
      </c>
      <c r="U329" s="8" t="n">
        <f aca="false">S329-Q329</f>
        <v>0</v>
      </c>
    </row>
    <row r="330" customFormat="false" ht="14.25" hidden="false" customHeight="true" outlineLevel="0" collapsed="false">
      <c r="A330" s="6" t="s">
        <v>306</v>
      </c>
      <c r="B330" s="6" t="s">
        <v>147</v>
      </c>
      <c r="C330" s="7" t="n">
        <v>2</v>
      </c>
      <c r="D330" s="7" t="s">
        <v>612</v>
      </c>
      <c r="E330" s="7" t="n">
        <v>2</v>
      </c>
      <c r="F330" s="7" t="n">
        <v>5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0</v>
      </c>
      <c r="L330" s="7" t="n">
        <v>0</v>
      </c>
      <c r="M330" s="7" t="n">
        <v>0</v>
      </c>
      <c r="N330" s="7" t="n">
        <v>0</v>
      </c>
      <c r="O330" s="7" t="n">
        <v>0</v>
      </c>
      <c r="P330" s="7" t="n">
        <v>0</v>
      </c>
      <c r="Q330" s="8" t="n">
        <f aca="false">IF(F330=0,0,H330/F330)</f>
        <v>0</v>
      </c>
      <c r="R330" s="8" t="n">
        <f aca="false">IF(F330+O330=0,0,(H330+O330)/(F330+O330))</f>
        <v>0</v>
      </c>
      <c r="S330" s="8" t="n">
        <f aca="false">IF(F330=0,0,M330/F330)</f>
        <v>0</v>
      </c>
      <c r="T330" s="8" t="n">
        <f aca="false">S330+R330</f>
        <v>0</v>
      </c>
      <c r="U330" s="8" t="n">
        <f aca="false">S330-Q330</f>
        <v>0</v>
      </c>
    </row>
    <row r="331" customFormat="false" ht="14.25" hidden="false" customHeight="true" outlineLevel="0" collapsed="false">
      <c r="A331" s="6" t="s">
        <v>392</v>
      </c>
      <c r="B331" s="6" t="s">
        <v>147</v>
      </c>
      <c r="C331" s="7" t="n">
        <v>1</v>
      </c>
      <c r="D331" s="7" t="s">
        <v>601</v>
      </c>
      <c r="E331" s="7" t="n">
        <v>2</v>
      </c>
      <c r="F331" s="7" t="n">
        <v>5</v>
      </c>
      <c r="G331" s="7" t="n">
        <v>0</v>
      </c>
      <c r="H331" s="7" t="n">
        <v>0</v>
      </c>
      <c r="I331" s="7" t="n">
        <v>0</v>
      </c>
      <c r="J331" s="7" t="n">
        <v>0</v>
      </c>
      <c r="K331" s="7" t="n">
        <v>0</v>
      </c>
      <c r="L331" s="7" t="n">
        <v>0</v>
      </c>
      <c r="M331" s="7" t="n">
        <v>0</v>
      </c>
      <c r="N331" s="7" t="n">
        <v>0</v>
      </c>
      <c r="O331" s="7" t="n">
        <v>0</v>
      </c>
      <c r="P331" s="7" t="n">
        <v>1</v>
      </c>
      <c r="Q331" s="8" t="n">
        <f aca="false">IF(F331=0,0,H331/F331)</f>
        <v>0</v>
      </c>
      <c r="R331" s="8" t="n">
        <f aca="false">IF(F331+O331=0,0,(H331+O331)/(F331+O331))</f>
        <v>0</v>
      </c>
      <c r="S331" s="8" t="n">
        <f aca="false">IF(F331=0,0,M331/F331)</f>
        <v>0</v>
      </c>
      <c r="T331" s="8" t="n">
        <f aca="false">S331+R331</f>
        <v>0</v>
      </c>
      <c r="U331" s="8" t="n">
        <f aca="false">S331-Q331</f>
        <v>0</v>
      </c>
    </row>
    <row r="332" customFormat="false" ht="14.25" hidden="false" customHeight="true" outlineLevel="0" collapsed="false">
      <c r="A332" s="6" t="s">
        <v>401</v>
      </c>
      <c r="B332" s="6" t="s">
        <v>192</v>
      </c>
      <c r="C332" s="7" t="n">
        <v>1</v>
      </c>
      <c r="D332" s="7" t="s">
        <v>601</v>
      </c>
      <c r="E332" s="7" t="n">
        <v>2</v>
      </c>
      <c r="F332" s="7" t="n">
        <v>5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7" t="n">
        <v>0</v>
      </c>
      <c r="N332" s="7" t="n">
        <v>0</v>
      </c>
      <c r="O332" s="7" t="n">
        <v>0</v>
      </c>
      <c r="P332" s="7" t="n">
        <v>0</v>
      </c>
      <c r="Q332" s="8" t="n">
        <f aca="false">IF(F332=0,0,H332/F332)</f>
        <v>0</v>
      </c>
      <c r="R332" s="8" t="n">
        <f aca="false">IF(F332+O332=0,0,(H332+O332)/(F332+O332))</f>
        <v>0</v>
      </c>
      <c r="S332" s="8" t="n">
        <f aca="false">IF(F332=0,0,M332/F332)</f>
        <v>0</v>
      </c>
      <c r="T332" s="8" t="n">
        <f aca="false">S332+R332</f>
        <v>0</v>
      </c>
      <c r="U332" s="8" t="n">
        <f aca="false">S332-Q332</f>
        <v>0</v>
      </c>
    </row>
    <row r="333" customFormat="false" ht="14.25" hidden="false" customHeight="true" outlineLevel="0" collapsed="false">
      <c r="A333" s="6" t="s">
        <v>636</v>
      </c>
      <c r="B333" s="6" t="s">
        <v>121</v>
      </c>
      <c r="C333" s="7" t="n">
        <v>1</v>
      </c>
      <c r="D333" s="7" t="s">
        <v>570</v>
      </c>
      <c r="E333" s="7" t="n">
        <v>2</v>
      </c>
      <c r="F333" s="7" t="n">
        <v>5</v>
      </c>
      <c r="G333" s="7" t="n">
        <v>0</v>
      </c>
      <c r="H333" s="7" t="n">
        <v>0</v>
      </c>
      <c r="I333" s="7" t="n">
        <v>0</v>
      </c>
      <c r="J333" s="7" t="n">
        <v>0</v>
      </c>
      <c r="K333" s="7" t="n">
        <v>0</v>
      </c>
      <c r="L333" s="7" t="n">
        <v>0</v>
      </c>
      <c r="M333" s="7" t="n">
        <v>0</v>
      </c>
      <c r="N333" s="7" t="n">
        <v>0</v>
      </c>
      <c r="O333" s="7" t="n">
        <v>0</v>
      </c>
      <c r="P333" s="7" t="n">
        <v>5</v>
      </c>
      <c r="Q333" s="8" t="n">
        <f aca="false">IF(F333=0,0,H333/F333)</f>
        <v>0</v>
      </c>
      <c r="R333" s="8" t="n">
        <f aca="false">IF(F333+O333=0,0,(H333+O333)/(F333+O333))</f>
        <v>0</v>
      </c>
      <c r="S333" s="8" t="n">
        <f aca="false">IF(F333=0,0,M333/F333)</f>
        <v>0</v>
      </c>
      <c r="T333" s="8" t="n">
        <f aca="false">S333+R333</f>
        <v>0</v>
      </c>
      <c r="U333" s="8" t="n">
        <f aca="false">S333-Q333</f>
        <v>0</v>
      </c>
    </row>
    <row r="334" customFormat="false" ht="14.25" hidden="false" customHeight="true" outlineLevel="0" collapsed="false">
      <c r="A334" s="6" t="s">
        <v>165</v>
      </c>
      <c r="B334" s="6" t="s">
        <v>147</v>
      </c>
      <c r="C334" s="7" t="n">
        <v>3</v>
      </c>
      <c r="D334" s="7" t="s">
        <v>637</v>
      </c>
      <c r="E334" s="7" t="n">
        <v>3</v>
      </c>
      <c r="F334" s="7" t="n">
        <v>8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0</v>
      </c>
      <c r="L334" s="7" t="n">
        <v>0</v>
      </c>
      <c r="M334" s="7" t="n">
        <v>0</v>
      </c>
      <c r="N334" s="7" t="n">
        <v>0</v>
      </c>
      <c r="O334" s="7" t="n">
        <v>0</v>
      </c>
      <c r="P334" s="7" t="n">
        <v>0</v>
      </c>
      <c r="Q334" s="8" t="n">
        <f aca="false">IF(F334=0,0,H334/F334)</f>
        <v>0</v>
      </c>
      <c r="R334" s="8" t="n">
        <f aca="false">IF(F334+O334=0,0,(H334+O334)/(F334+O334))</f>
        <v>0</v>
      </c>
      <c r="S334" s="8" t="n">
        <f aca="false">IF(F334=0,0,M334/F334)</f>
        <v>0</v>
      </c>
      <c r="T334" s="8" t="n">
        <f aca="false">S334+R334</f>
        <v>0</v>
      </c>
      <c r="U334" s="8" t="n">
        <f aca="false">S334-Q334</f>
        <v>0</v>
      </c>
    </row>
    <row r="335" customFormat="false" ht="14.25" hidden="false" customHeight="true" outlineLevel="0" collapsed="false">
      <c r="A335" s="6" t="s">
        <v>260</v>
      </c>
      <c r="B335" s="6" t="s">
        <v>97</v>
      </c>
      <c r="C335" s="7" t="n">
        <v>2</v>
      </c>
      <c r="D335" s="7" t="s">
        <v>564</v>
      </c>
      <c r="E335" s="7" t="n">
        <v>2</v>
      </c>
      <c r="F335" s="7" t="n">
        <v>5</v>
      </c>
      <c r="G335" s="7" t="n">
        <v>1</v>
      </c>
      <c r="H335" s="7" t="n">
        <v>0</v>
      </c>
      <c r="I335" s="7" t="n">
        <v>0</v>
      </c>
      <c r="J335" s="7" t="n">
        <v>0</v>
      </c>
      <c r="K335" s="7" t="n">
        <v>0</v>
      </c>
      <c r="L335" s="7" t="n">
        <v>0</v>
      </c>
      <c r="M335" s="7" t="n">
        <v>0</v>
      </c>
      <c r="N335" s="7" t="n">
        <v>0</v>
      </c>
      <c r="O335" s="7" t="n">
        <v>0</v>
      </c>
      <c r="P335" s="7" t="n">
        <v>1</v>
      </c>
      <c r="Q335" s="8" t="n">
        <f aca="false">IF(F335=0,0,H335/F335)</f>
        <v>0</v>
      </c>
      <c r="R335" s="8" t="n">
        <f aca="false">IF(F335+O335=0,0,(H335+O335)/(F335+O335))</f>
        <v>0</v>
      </c>
      <c r="S335" s="8" t="n">
        <f aca="false">IF(F335=0,0,M335/F335)</f>
        <v>0</v>
      </c>
      <c r="T335" s="8" t="n">
        <f aca="false">S335+R335</f>
        <v>0</v>
      </c>
      <c r="U335" s="8" t="n">
        <f aca="false">S335-Q335</f>
        <v>0</v>
      </c>
    </row>
    <row r="336" customFormat="false" ht="14.25" hidden="false" customHeight="true" outlineLevel="0" collapsed="false">
      <c r="A336" s="6" t="s">
        <v>299</v>
      </c>
      <c r="B336" s="6" t="s">
        <v>121</v>
      </c>
      <c r="C336" s="7" t="n">
        <v>1</v>
      </c>
      <c r="D336" s="7" t="s">
        <v>613</v>
      </c>
      <c r="E336" s="7" t="n">
        <v>2</v>
      </c>
      <c r="F336" s="7" t="n">
        <v>5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7" t="n">
        <v>0</v>
      </c>
      <c r="N336" s="7" t="n">
        <v>0</v>
      </c>
      <c r="O336" s="7" t="n">
        <v>1</v>
      </c>
      <c r="P336" s="7" t="n">
        <v>0</v>
      </c>
      <c r="Q336" s="8" t="n">
        <f aca="false">IF(F336=0,0,H336/F336)</f>
        <v>0</v>
      </c>
      <c r="R336" s="8" t="n">
        <f aca="false">IF(F336+O336=0,0,(H336+O336)/(F336+O336))</f>
        <v>0.166666666666667</v>
      </c>
      <c r="S336" s="8" t="n">
        <f aca="false">IF(F336=0,0,M336/F336)</f>
        <v>0</v>
      </c>
      <c r="T336" s="8" t="n">
        <f aca="false">S336+R336</f>
        <v>0.166666666666667</v>
      </c>
      <c r="U336" s="8" t="n">
        <f aca="false">S336-Q336</f>
        <v>0</v>
      </c>
    </row>
    <row r="337" customFormat="false" ht="14.25" hidden="false" customHeight="true" outlineLevel="0" collapsed="false">
      <c r="A337" s="6" t="s">
        <v>278</v>
      </c>
      <c r="B337" s="6" t="s">
        <v>71</v>
      </c>
      <c r="C337" s="7" t="n">
        <v>1</v>
      </c>
      <c r="D337" s="7" t="s">
        <v>571</v>
      </c>
      <c r="E337" s="7" t="n">
        <v>1</v>
      </c>
      <c r="F337" s="7" t="n">
        <v>4</v>
      </c>
      <c r="G337" s="7" t="n">
        <v>0</v>
      </c>
      <c r="H337" s="7" t="n">
        <v>0</v>
      </c>
      <c r="I337" s="7" t="n">
        <v>0</v>
      </c>
      <c r="J337" s="7" t="n">
        <v>0</v>
      </c>
      <c r="K337" s="7" t="n">
        <v>0</v>
      </c>
      <c r="L337" s="7" t="n">
        <v>0</v>
      </c>
      <c r="M337" s="7" t="n">
        <v>0</v>
      </c>
      <c r="N337" s="7" t="n">
        <v>0</v>
      </c>
      <c r="O337" s="7" t="n">
        <v>0</v>
      </c>
      <c r="P337" s="7" t="n">
        <v>4</v>
      </c>
      <c r="Q337" s="8" t="n">
        <f aca="false">IF(F337=0,0,H337/F337)</f>
        <v>0</v>
      </c>
      <c r="R337" s="8" t="n">
        <f aca="false">IF(F337+O337=0,0,(H337+O337)/(F337+O337))</f>
        <v>0</v>
      </c>
      <c r="S337" s="8" t="n">
        <f aca="false">IF(F337=0,0,M337/F337)</f>
        <v>0</v>
      </c>
      <c r="T337" s="8" t="n">
        <f aca="false">S337+R337</f>
        <v>0</v>
      </c>
      <c r="U337" s="8" t="n">
        <f aca="false">S337-Q337</f>
        <v>0</v>
      </c>
    </row>
    <row r="338" customFormat="false" ht="14.25" hidden="false" customHeight="true" outlineLevel="0" collapsed="false">
      <c r="A338" s="6" t="s">
        <v>483</v>
      </c>
      <c r="B338" s="6" t="s">
        <v>147</v>
      </c>
      <c r="C338" s="7" t="n">
        <v>2</v>
      </c>
      <c r="D338" s="7" t="s">
        <v>554</v>
      </c>
      <c r="E338" s="7" t="n">
        <v>5</v>
      </c>
      <c r="F338" s="7" t="n">
        <v>11</v>
      </c>
      <c r="G338" s="7" t="n">
        <v>0</v>
      </c>
      <c r="H338" s="7" t="n">
        <v>0</v>
      </c>
      <c r="I338" s="7" t="n">
        <v>0</v>
      </c>
      <c r="J338" s="7" t="n">
        <v>0</v>
      </c>
      <c r="K338" s="7" t="n">
        <v>0</v>
      </c>
      <c r="L338" s="7" t="n">
        <v>0</v>
      </c>
      <c r="M338" s="7" t="n">
        <v>0</v>
      </c>
      <c r="N338" s="7" t="n">
        <v>1</v>
      </c>
      <c r="O338" s="7" t="n">
        <v>0</v>
      </c>
      <c r="P338" s="7" t="n">
        <v>0</v>
      </c>
      <c r="Q338" s="8" t="n">
        <f aca="false">IF(F338=0,0,H338/F338)</f>
        <v>0</v>
      </c>
      <c r="R338" s="8" t="n">
        <f aca="false">IF(F338+O338=0,0,(H338+O338)/(F338+O338))</f>
        <v>0</v>
      </c>
      <c r="S338" s="8" t="n">
        <f aca="false">IF(F338=0,0,M338/F338)</f>
        <v>0</v>
      </c>
      <c r="T338" s="8" t="n">
        <f aca="false">S338+R338</f>
        <v>0</v>
      </c>
      <c r="U338" s="8" t="n">
        <f aca="false">S338-Q338</f>
        <v>0</v>
      </c>
    </row>
    <row r="339" customFormat="false" ht="14.25" hidden="false" customHeight="true" outlineLevel="0" collapsed="false">
      <c r="A339" s="6" t="s">
        <v>211</v>
      </c>
      <c r="B339" s="6" t="s">
        <v>192</v>
      </c>
      <c r="C339" s="7" t="n">
        <v>2</v>
      </c>
      <c r="D339" s="7" t="s">
        <v>566</v>
      </c>
      <c r="E339" s="7" t="n">
        <v>2</v>
      </c>
      <c r="F339" s="7" t="n">
        <v>5</v>
      </c>
      <c r="G339" s="7" t="n">
        <v>0</v>
      </c>
      <c r="H339" s="7" t="n">
        <v>0</v>
      </c>
      <c r="I339" s="7" t="n">
        <v>0</v>
      </c>
      <c r="J339" s="7" t="n">
        <v>0</v>
      </c>
      <c r="K339" s="7" t="n">
        <v>0</v>
      </c>
      <c r="L339" s="7" t="n">
        <v>0</v>
      </c>
      <c r="M339" s="7" t="n">
        <v>0</v>
      </c>
      <c r="N339" s="7" t="n">
        <v>0</v>
      </c>
      <c r="O339" s="7" t="n">
        <v>0</v>
      </c>
      <c r="P339" s="7" t="n">
        <v>0</v>
      </c>
      <c r="Q339" s="8" t="n">
        <f aca="false">IF(F339=0,0,H339/F339)</f>
        <v>0</v>
      </c>
      <c r="R339" s="8" t="n">
        <f aca="false">IF(F339+O339=0,0,(H339+O339)/(F339+O339))</f>
        <v>0</v>
      </c>
      <c r="S339" s="8" t="n">
        <f aca="false">IF(F339=0,0,M339/F339)</f>
        <v>0</v>
      </c>
      <c r="T339" s="8" t="n">
        <f aca="false">S339+R339</f>
        <v>0</v>
      </c>
      <c r="U339" s="8" t="n">
        <f aca="false">S339-Q339</f>
        <v>0</v>
      </c>
    </row>
    <row r="340" customFormat="false" ht="14.25" hidden="false" customHeight="true" outlineLevel="0" collapsed="false">
      <c r="A340" s="6" t="s">
        <v>423</v>
      </c>
      <c r="B340" s="6" t="s">
        <v>97</v>
      </c>
      <c r="C340" s="7" t="n">
        <v>1</v>
      </c>
      <c r="D340" s="7" t="s">
        <v>568</v>
      </c>
      <c r="E340" s="7" t="n">
        <v>2</v>
      </c>
      <c r="F340" s="7" t="n">
        <v>4</v>
      </c>
      <c r="G340" s="7" t="n">
        <v>0</v>
      </c>
      <c r="H340" s="7" t="n">
        <v>0</v>
      </c>
      <c r="I340" s="7" t="n">
        <v>0</v>
      </c>
      <c r="J340" s="7" t="n">
        <v>0</v>
      </c>
      <c r="K340" s="7" t="n">
        <v>0</v>
      </c>
      <c r="L340" s="7" t="n">
        <v>0</v>
      </c>
      <c r="M340" s="7" t="n">
        <v>0</v>
      </c>
      <c r="N340" s="7" t="n">
        <v>2</v>
      </c>
      <c r="O340" s="7" t="n">
        <v>0</v>
      </c>
      <c r="P340" s="7" t="n">
        <v>0</v>
      </c>
      <c r="Q340" s="8" t="n">
        <f aca="false">IF(F340=0,0,H340/F340)</f>
        <v>0</v>
      </c>
      <c r="R340" s="8" t="n">
        <f aca="false">IF(F340+O340=0,0,(H340+O340)/(F340+O340))</f>
        <v>0</v>
      </c>
      <c r="S340" s="8" t="n">
        <f aca="false">IF(F340=0,0,M340/F340)</f>
        <v>0</v>
      </c>
      <c r="T340" s="8" t="n">
        <f aca="false">S340+R340</f>
        <v>0</v>
      </c>
      <c r="U340" s="8" t="n">
        <f aca="false">S340-Q340</f>
        <v>0</v>
      </c>
    </row>
    <row r="341" customFormat="false" ht="14.25" hidden="false" customHeight="true" outlineLevel="0" collapsed="false">
      <c r="A341" s="6" t="s">
        <v>279</v>
      </c>
      <c r="B341" s="6" t="s">
        <v>166</v>
      </c>
      <c r="C341" s="7" t="n">
        <v>1</v>
      </c>
      <c r="D341" s="7" t="s">
        <v>568</v>
      </c>
      <c r="E341" s="7" t="n">
        <v>1</v>
      </c>
      <c r="F341" s="7" t="n">
        <v>4</v>
      </c>
      <c r="G341" s="7" t="n">
        <v>0</v>
      </c>
      <c r="H341" s="7" t="n">
        <v>0</v>
      </c>
      <c r="I341" s="7" t="n">
        <v>0</v>
      </c>
      <c r="J341" s="7" t="n">
        <v>0</v>
      </c>
      <c r="K341" s="7" t="n">
        <v>0</v>
      </c>
      <c r="L341" s="7" t="n">
        <v>0</v>
      </c>
      <c r="M341" s="7" t="n">
        <v>0</v>
      </c>
      <c r="N341" s="7" t="n">
        <v>0</v>
      </c>
      <c r="O341" s="7" t="n">
        <v>0</v>
      </c>
      <c r="P341" s="7" t="n">
        <v>1</v>
      </c>
      <c r="Q341" s="8" t="n">
        <f aca="false">IF(F341=0,0,H341/F341)</f>
        <v>0</v>
      </c>
      <c r="R341" s="8" t="n">
        <f aca="false">IF(F341+O341=0,0,(H341+O341)/(F341+O341))</f>
        <v>0</v>
      </c>
      <c r="S341" s="8" t="n">
        <f aca="false">IF(F341=0,0,M341/F341)</f>
        <v>0</v>
      </c>
      <c r="T341" s="8" t="n">
        <f aca="false">S341+R341</f>
        <v>0</v>
      </c>
      <c r="U341" s="8" t="n">
        <f aca="false">S341-Q341</f>
        <v>0</v>
      </c>
    </row>
    <row r="342" customFormat="false" ht="14.25" hidden="false" customHeight="true" outlineLevel="0" collapsed="false">
      <c r="A342" s="6" t="s">
        <v>460</v>
      </c>
      <c r="B342" s="6" t="s">
        <v>50</v>
      </c>
      <c r="C342" s="7" t="n">
        <v>2</v>
      </c>
      <c r="D342" s="7" t="s">
        <v>554</v>
      </c>
      <c r="E342" s="7" t="n">
        <v>15</v>
      </c>
      <c r="F342" s="7" t="n">
        <v>21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7" t="n">
        <v>0</v>
      </c>
      <c r="N342" s="7" t="n">
        <v>0</v>
      </c>
      <c r="O342" s="7" t="n">
        <v>0</v>
      </c>
      <c r="P342" s="7" t="n">
        <v>0</v>
      </c>
      <c r="Q342" s="8" t="n">
        <f aca="false">IF(F342=0,0,H342/F342)</f>
        <v>0</v>
      </c>
      <c r="R342" s="8" t="n">
        <f aca="false">IF(F342+O342=0,0,(H342+O342)/(F342+O342))</f>
        <v>0</v>
      </c>
      <c r="S342" s="8" t="n">
        <f aca="false">IF(F342=0,0,M342/F342)</f>
        <v>0</v>
      </c>
      <c r="T342" s="8" t="n">
        <f aca="false">S342+R342</f>
        <v>0</v>
      </c>
      <c r="U342" s="8" t="n">
        <f aca="false">S342-Q342</f>
        <v>0</v>
      </c>
    </row>
    <row r="343" customFormat="false" ht="14.25" hidden="false" customHeight="true" outlineLevel="0" collapsed="false">
      <c r="A343" s="6" t="s">
        <v>120</v>
      </c>
      <c r="B343" s="6" t="s">
        <v>97</v>
      </c>
      <c r="C343" s="7" t="n">
        <v>2</v>
      </c>
      <c r="D343" s="7" t="s">
        <v>631</v>
      </c>
      <c r="E343" s="7" t="n">
        <v>3</v>
      </c>
      <c r="F343" s="7" t="n">
        <v>7</v>
      </c>
      <c r="G343" s="7" t="n">
        <v>0</v>
      </c>
      <c r="H343" s="7" t="n">
        <v>0</v>
      </c>
      <c r="I343" s="7" t="n">
        <v>0</v>
      </c>
      <c r="J343" s="7" t="n">
        <v>0</v>
      </c>
      <c r="K343" s="7" t="n">
        <v>0</v>
      </c>
      <c r="L343" s="7" t="n">
        <v>0</v>
      </c>
      <c r="M343" s="7" t="n">
        <v>0</v>
      </c>
      <c r="N343" s="7" t="n">
        <v>0</v>
      </c>
      <c r="O343" s="7" t="n">
        <v>0</v>
      </c>
      <c r="P343" s="7" t="n">
        <v>0</v>
      </c>
      <c r="Q343" s="8" t="n">
        <f aca="false">IF(F343=0,0,H343/F343)</f>
        <v>0</v>
      </c>
      <c r="R343" s="8" t="n">
        <f aca="false">IF(F343+O343=0,0,(H343+O343)/(F343+O343))</f>
        <v>0</v>
      </c>
      <c r="S343" s="8" t="n">
        <f aca="false">IF(F343=0,0,M343/F343)</f>
        <v>0</v>
      </c>
      <c r="T343" s="8" t="n">
        <f aca="false">S343+R343</f>
        <v>0</v>
      </c>
      <c r="U343" s="8" t="n">
        <f aca="false">S343-Q343</f>
        <v>0</v>
      </c>
    </row>
    <row r="344" customFormat="false" ht="14.25" hidden="false" customHeight="true" outlineLevel="0" collapsed="false">
      <c r="A344" s="6" t="s">
        <v>324</v>
      </c>
      <c r="B344" s="6" t="s">
        <v>71</v>
      </c>
      <c r="C344" s="7" t="n">
        <v>1</v>
      </c>
      <c r="D344" s="7" t="s">
        <v>570</v>
      </c>
      <c r="E344" s="7" t="n">
        <v>1</v>
      </c>
      <c r="F344" s="7" t="n">
        <v>4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0</v>
      </c>
      <c r="M344" s="7" t="n">
        <v>0</v>
      </c>
      <c r="N344" s="7" t="n">
        <v>0</v>
      </c>
      <c r="O344" s="7" t="n">
        <v>0</v>
      </c>
      <c r="P344" s="7" t="n">
        <v>0</v>
      </c>
      <c r="Q344" s="8" t="n">
        <f aca="false">IF(F344=0,0,H344/F344)</f>
        <v>0</v>
      </c>
      <c r="R344" s="8" t="n">
        <f aca="false">IF(F344+O344=0,0,(H344+O344)/(F344+O344))</f>
        <v>0</v>
      </c>
      <c r="S344" s="8" t="n">
        <f aca="false">IF(F344=0,0,M344/F344)</f>
        <v>0</v>
      </c>
      <c r="T344" s="8" t="n">
        <f aca="false">S344+R344</f>
        <v>0</v>
      </c>
      <c r="U344" s="8" t="n">
        <f aca="false">S344-Q344</f>
        <v>0</v>
      </c>
    </row>
    <row r="345" customFormat="false" ht="14.25" hidden="false" customHeight="true" outlineLevel="0" collapsed="false">
      <c r="A345" s="6" t="s">
        <v>229</v>
      </c>
      <c r="B345" s="6" t="s">
        <v>212</v>
      </c>
      <c r="C345" s="7" t="n">
        <v>2</v>
      </c>
      <c r="D345" s="7" t="s">
        <v>638</v>
      </c>
      <c r="E345" s="7" t="n">
        <v>2</v>
      </c>
      <c r="F345" s="7" t="n">
        <v>7</v>
      </c>
      <c r="G345" s="7" t="n">
        <v>0</v>
      </c>
      <c r="H345" s="7" t="n">
        <v>0</v>
      </c>
      <c r="I345" s="7" t="n">
        <v>0</v>
      </c>
      <c r="J345" s="7" t="n">
        <v>0</v>
      </c>
      <c r="K345" s="7" t="n">
        <v>0</v>
      </c>
      <c r="L345" s="7" t="n">
        <v>0</v>
      </c>
      <c r="M345" s="7" t="n">
        <v>0</v>
      </c>
      <c r="N345" s="7" t="n">
        <v>0</v>
      </c>
      <c r="O345" s="7" t="n">
        <v>0</v>
      </c>
      <c r="P345" s="7" t="n">
        <v>0</v>
      </c>
      <c r="Q345" s="8" t="n">
        <f aca="false">IF(F345=0,0,H345/F345)</f>
        <v>0</v>
      </c>
      <c r="R345" s="8" t="n">
        <f aca="false">IF(F345+O345=0,0,(H345+O345)/(F345+O345))</f>
        <v>0</v>
      </c>
      <c r="S345" s="8" t="n">
        <f aca="false">IF(F345=0,0,M345/F345)</f>
        <v>0</v>
      </c>
      <c r="T345" s="8" t="n">
        <f aca="false">S345+R345</f>
        <v>0</v>
      </c>
      <c r="U345" s="8" t="n">
        <f aca="false">S345-Q345</f>
        <v>0</v>
      </c>
    </row>
    <row r="346" customFormat="false" ht="14.25" hidden="false" customHeight="true" outlineLevel="0" collapsed="false">
      <c r="A346" s="6" t="s">
        <v>262</v>
      </c>
      <c r="B346" s="6" t="s">
        <v>97</v>
      </c>
      <c r="C346" s="7" t="n">
        <v>1</v>
      </c>
      <c r="D346" s="7" t="s">
        <v>607</v>
      </c>
      <c r="E346" s="7" t="n">
        <v>2</v>
      </c>
      <c r="F346" s="7" t="n">
        <v>4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7" t="n">
        <v>0</v>
      </c>
      <c r="N346" s="7" t="n">
        <v>0</v>
      </c>
      <c r="O346" s="7" t="n">
        <v>0</v>
      </c>
      <c r="P346" s="7" t="n">
        <v>0</v>
      </c>
      <c r="Q346" s="8" t="n">
        <f aca="false">IF(F346=0,0,H346/F346)</f>
        <v>0</v>
      </c>
      <c r="R346" s="8" t="n">
        <f aca="false">IF(F346+O346=0,0,(H346+O346)/(F346+O346))</f>
        <v>0</v>
      </c>
      <c r="S346" s="8" t="n">
        <f aca="false">IF(F346=0,0,M346/F346)</f>
        <v>0</v>
      </c>
      <c r="T346" s="8" t="n">
        <f aca="false">S346+R346</f>
        <v>0</v>
      </c>
      <c r="U346" s="8" t="n">
        <f aca="false">S346-Q346</f>
        <v>0</v>
      </c>
    </row>
    <row r="347" customFormat="false" ht="14.25" hidden="false" customHeight="true" outlineLevel="0" collapsed="false">
      <c r="A347" s="6" t="s">
        <v>244</v>
      </c>
      <c r="B347" s="6" t="s">
        <v>71</v>
      </c>
      <c r="C347" s="7" t="n">
        <v>1</v>
      </c>
      <c r="D347" s="7" t="s">
        <v>607</v>
      </c>
      <c r="E347" s="7" t="n">
        <v>1</v>
      </c>
      <c r="F347" s="7" t="n">
        <v>4</v>
      </c>
      <c r="G347" s="7" t="n">
        <v>0</v>
      </c>
      <c r="H347" s="7" t="n">
        <v>0</v>
      </c>
      <c r="I347" s="7" t="n">
        <v>0</v>
      </c>
      <c r="J347" s="7" t="n">
        <v>0</v>
      </c>
      <c r="K347" s="7" t="n">
        <v>0</v>
      </c>
      <c r="L347" s="7" t="n">
        <v>0</v>
      </c>
      <c r="M347" s="7" t="n">
        <v>0</v>
      </c>
      <c r="N347" s="7" t="n">
        <v>0</v>
      </c>
      <c r="O347" s="7" t="n">
        <v>0</v>
      </c>
      <c r="P347" s="7" t="n">
        <v>4</v>
      </c>
      <c r="Q347" s="8" t="n">
        <f aca="false">IF(F347=0,0,H347/F347)</f>
        <v>0</v>
      </c>
      <c r="R347" s="8" t="n">
        <f aca="false">IF(F347+O347=0,0,(H347+O347)/(F347+O347))</f>
        <v>0</v>
      </c>
      <c r="S347" s="8" t="n">
        <f aca="false">IF(F347=0,0,M347/F347)</f>
        <v>0</v>
      </c>
      <c r="T347" s="8" t="n">
        <f aca="false">S347+R347</f>
        <v>0</v>
      </c>
      <c r="U347" s="8" t="n">
        <f aca="false">S347-Q347</f>
        <v>0</v>
      </c>
    </row>
    <row r="348" customFormat="false" ht="14.25" hidden="false" customHeight="true" outlineLevel="0" collapsed="false">
      <c r="A348" s="6" t="s">
        <v>472</v>
      </c>
      <c r="B348" s="6" t="s">
        <v>97</v>
      </c>
      <c r="C348" s="7" t="n">
        <v>1</v>
      </c>
      <c r="D348" s="7" t="s">
        <v>571</v>
      </c>
      <c r="E348" s="7" t="n">
        <v>1</v>
      </c>
      <c r="F348" s="7" t="n">
        <v>3</v>
      </c>
      <c r="G348" s="7" t="n">
        <v>0</v>
      </c>
      <c r="H348" s="7" t="n">
        <v>0</v>
      </c>
      <c r="I348" s="7" t="n">
        <v>0</v>
      </c>
      <c r="J348" s="7" t="n">
        <v>0</v>
      </c>
      <c r="K348" s="7" t="n">
        <v>0</v>
      </c>
      <c r="L348" s="7" t="n">
        <v>0</v>
      </c>
      <c r="M348" s="7" t="n">
        <v>0</v>
      </c>
      <c r="N348" s="7" t="n">
        <v>0</v>
      </c>
      <c r="O348" s="7" t="n">
        <v>0</v>
      </c>
      <c r="P348" s="7" t="n">
        <v>0</v>
      </c>
      <c r="Q348" s="8" t="n">
        <f aca="false">IF(F348=0,0,H348/F348)</f>
        <v>0</v>
      </c>
      <c r="R348" s="8" t="n">
        <f aca="false">IF(F348+O348=0,0,(H348+O348)/(F348+O348))</f>
        <v>0</v>
      </c>
      <c r="S348" s="8" t="n">
        <f aca="false">IF(F348=0,0,M348/F348)</f>
        <v>0</v>
      </c>
      <c r="T348" s="8" t="n">
        <f aca="false">S348+R348</f>
        <v>0</v>
      </c>
      <c r="U348" s="8" t="n">
        <f aca="false">S348-Q348</f>
        <v>0</v>
      </c>
    </row>
    <row r="349" customFormat="false" ht="14.25" hidden="false" customHeight="true" outlineLevel="0" collapsed="false">
      <c r="A349" s="6" t="s">
        <v>473</v>
      </c>
      <c r="B349" s="6" t="s">
        <v>97</v>
      </c>
      <c r="C349" s="7" t="n">
        <v>1</v>
      </c>
      <c r="D349" s="7" t="s">
        <v>571</v>
      </c>
      <c r="E349" s="7" t="n">
        <v>1</v>
      </c>
      <c r="F349" s="7" t="n">
        <v>3</v>
      </c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0</v>
      </c>
      <c r="L349" s="7" t="n">
        <v>0</v>
      </c>
      <c r="M349" s="7" t="n">
        <v>0</v>
      </c>
      <c r="N349" s="7" t="n">
        <v>0</v>
      </c>
      <c r="O349" s="7" t="n">
        <v>0</v>
      </c>
      <c r="P349" s="7" t="n">
        <v>0</v>
      </c>
      <c r="Q349" s="8" t="n">
        <f aca="false">IF(F349=0,0,H349/F349)</f>
        <v>0</v>
      </c>
      <c r="R349" s="8" t="n">
        <f aca="false">IF(F349+O349=0,0,(H349+O349)/(F349+O349))</f>
        <v>0</v>
      </c>
      <c r="S349" s="8" t="n">
        <f aca="false">IF(F349=0,0,M349/F349)</f>
        <v>0</v>
      </c>
      <c r="T349" s="8" t="n">
        <f aca="false">S349+R349</f>
        <v>0</v>
      </c>
      <c r="U349" s="8" t="n">
        <f aca="false">S349-Q349</f>
        <v>0</v>
      </c>
    </row>
    <row r="350" customFormat="false" ht="14.25" hidden="false" customHeight="true" outlineLevel="0" collapsed="false">
      <c r="A350" s="6" t="s">
        <v>469</v>
      </c>
      <c r="B350" s="6" t="s">
        <v>97</v>
      </c>
      <c r="C350" s="7" t="n">
        <v>1</v>
      </c>
      <c r="D350" s="7" t="s">
        <v>571</v>
      </c>
      <c r="E350" s="7" t="n">
        <v>1</v>
      </c>
      <c r="F350" s="7" t="n">
        <v>3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0</v>
      </c>
      <c r="M350" s="7" t="n">
        <v>0</v>
      </c>
      <c r="N350" s="7" t="n">
        <v>0</v>
      </c>
      <c r="O350" s="7" t="n">
        <v>0</v>
      </c>
      <c r="P350" s="7" t="n">
        <v>1</v>
      </c>
      <c r="Q350" s="8" t="n">
        <f aca="false">IF(F350=0,0,H350/F350)</f>
        <v>0</v>
      </c>
      <c r="R350" s="8" t="n">
        <f aca="false">IF(F350+O350=0,0,(H350+O350)/(F350+O350))</f>
        <v>0</v>
      </c>
      <c r="S350" s="8" t="n">
        <f aca="false">IF(F350=0,0,M350/F350)</f>
        <v>0</v>
      </c>
      <c r="T350" s="8" t="n">
        <f aca="false">S350+R350</f>
        <v>0</v>
      </c>
      <c r="U350" s="8" t="n">
        <f aca="false">S350-Q350</f>
        <v>0</v>
      </c>
    </row>
    <row r="351" customFormat="false" ht="14.25" hidden="false" customHeight="true" outlineLevel="0" collapsed="false">
      <c r="A351" s="6" t="s">
        <v>474</v>
      </c>
      <c r="B351" s="6" t="s">
        <v>97</v>
      </c>
      <c r="C351" s="7" t="n">
        <v>1</v>
      </c>
      <c r="D351" s="7" t="s">
        <v>571</v>
      </c>
      <c r="E351" s="7" t="n">
        <v>1</v>
      </c>
      <c r="F351" s="7" t="n">
        <v>3</v>
      </c>
      <c r="G351" s="7" t="n">
        <v>0</v>
      </c>
      <c r="H351" s="7" t="n">
        <v>0</v>
      </c>
      <c r="I351" s="7" t="n">
        <v>0</v>
      </c>
      <c r="J351" s="7" t="n">
        <v>0</v>
      </c>
      <c r="K351" s="7" t="n">
        <v>0</v>
      </c>
      <c r="L351" s="7" t="n">
        <v>0</v>
      </c>
      <c r="M351" s="7" t="n">
        <v>0</v>
      </c>
      <c r="N351" s="7" t="n">
        <v>0</v>
      </c>
      <c r="O351" s="7" t="n">
        <v>0</v>
      </c>
      <c r="P351" s="7" t="n">
        <v>0</v>
      </c>
      <c r="Q351" s="8" t="n">
        <f aca="false">IF(F351=0,0,H351/F351)</f>
        <v>0</v>
      </c>
      <c r="R351" s="8" t="n">
        <f aca="false">IF(F351+O351=0,0,(H351+O351)/(F351+O351))</f>
        <v>0</v>
      </c>
      <c r="S351" s="8" t="n">
        <f aca="false">IF(F351=0,0,M351/F351)</f>
        <v>0</v>
      </c>
      <c r="T351" s="8" t="n">
        <f aca="false">S351+R351</f>
        <v>0</v>
      </c>
      <c r="U351" s="8" t="n">
        <f aca="false">S351-Q351</f>
        <v>0</v>
      </c>
    </row>
    <row r="352" customFormat="false" ht="14.25" hidden="false" customHeight="true" outlineLevel="0" collapsed="false">
      <c r="A352" s="6" t="s">
        <v>504</v>
      </c>
      <c r="B352" s="6" t="s">
        <v>212</v>
      </c>
      <c r="C352" s="7" t="n">
        <v>2</v>
      </c>
      <c r="D352" s="7" t="s">
        <v>554</v>
      </c>
      <c r="E352" s="7" t="n">
        <v>2</v>
      </c>
      <c r="F352" s="7" t="n">
        <v>4</v>
      </c>
      <c r="G352" s="7" t="n">
        <v>0</v>
      </c>
      <c r="H352" s="7" t="n">
        <v>0</v>
      </c>
      <c r="I352" s="7" t="n">
        <v>0</v>
      </c>
      <c r="J352" s="7" t="n">
        <v>0</v>
      </c>
      <c r="K352" s="7" t="n">
        <v>0</v>
      </c>
      <c r="L352" s="7" t="n">
        <v>0</v>
      </c>
      <c r="M352" s="7" t="n">
        <v>0</v>
      </c>
      <c r="N352" s="7" t="n">
        <v>1</v>
      </c>
      <c r="O352" s="7" t="n">
        <v>0</v>
      </c>
      <c r="P352" s="7" t="n">
        <v>2</v>
      </c>
      <c r="Q352" s="8" t="n">
        <f aca="false">IF(F352=0,0,H352/F352)</f>
        <v>0</v>
      </c>
      <c r="R352" s="8" t="n">
        <f aca="false">IF(F352+O352=0,0,(H352+O352)/(F352+O352))</f>
        <v>0</v>
      </c>
      <c r="S352" s="8" t="n">
        <f aca="false">IF(F352=0,0,M352/F352)</f>
        <v>0</v>
      </c>
      <c r="T352" s="8" t="n">
        <f aca="false">S352+R352</f>
        <v>0</v>
      </c>
      <c r="U352" s="8" t="n">
        <f aca="false">S352-Q352</f>
        <v>0</v>
      </c>
    </row>
    <row r="353" customFormat="false" ht="14.25" hidden="false" customHeight="true" outlineLevel="0" collapsed="false">
      <c r="A353" s="6" t="s">
        <v>496</v>
      </c>
      <c r="B353" s="6" t="s">
        <v>192</v>
      </c>
      <c r="C353" s="7" t="n">
        <v>1</v>
      </c>
      <c r="D353" s="7" t="s">
        <v>571</v>
      </c>
      <c r="E353" s="7" t="n">
        <v>1</v>
      </c>
      <c r="F353" s="7" t="n">
        <v>3</v>
      </c>
      <c r="G353" s="7" t="n">
        <v>0</v>
      </c>
      <c r="H353" s="7" t="n">
        <v>0</v>
      </c>
      <c r="I353" s="7" t="n">
        <v>0</v>
      </c>
      <c r="J353" s="7" t="n">
        <v>0</v>
      </c>
      <c r="K353" s="7" t="n">
        <v>0</v>
      </c>
      <c r="L353" s="7" t="n">
        <v>0</v>
      </c>
      <c r="M353" s="7" t="n">
        <v>0</v>
      </c>
      <c r="N353" s="7" t="n">
        <v>0</v>
      </c>
      <c r="O353" s="7" t="n">
        <v>0</v>
      </c>
      <c r="P353" s="7" t="n">
        <v>2</v>
      </c>
      <c r="Q353" s="8" t="n">
        <f aca="false">IF(F353=0,0,H353/F353)</f>
        <v>0</v>
      </c>
      <c r="R353" s="8" t="n">
        <f aca="false">IF(F353+O353=0,0,(H353+O353)/(F353+O353))</f>
        <v>0</v>
      </c>
      <c r="S353" s="8" t="n">
        <f aca="false">IF(F353=0,0,M353/F353)</f>
        <v>0</v>
      </c>
      <c r="T353" s="8" t="n">
        <f aca="false">S353+R353</f>
        <v>0</v>
      </c>
      <c r="U353" s="8" t="n">
        <f aca="false">S353-Q353</f>
        <v>0</v>
      </c>
    </row>
    <row r="354" customFormat="false" ht="14.25" hidden="false" customHeight="true" outlineLevel="0" collapsed="false">
      <c r="A354" s="6" t="s">
        <v>439</v>
      </c>
      <c r="B354" s="6" t="s">
        <v>166</v>
      </c>
      <c r="C354" s="7" t="n">
        <v>1</v>
      </c>
      <c r="D354" s="7" t="s">
        <v>568</v>
      </c>
      <c r="E354" s="7" t="n">
        <v>1</v>
      </c>
      <c r="F354" s="7" t="n">
        <v>3</v>
      </c>
      <c r="G354" s="7" t="n">
        <v>1</v>
      </c>
      <c r="H354" s="7" t="n">
        <v>0</v>
      </c>
      <c r="I354" s="7" t="n">
        <v>0</v>
      </c>
      <c r="J354" s="7" t="n">
        <v>0</v>
      </c>
      <c r="K354" s="7" t="n">
        <v>0</v>
      </c>
      <c r="L354" s="7" t="n">
        <v>0</v>
      </c>
      <c r="M354" s="7" t="n">
        <v>0</v>
      </c>
      <c r="N354" s="7" t="n">
        <v>0</v>
      </c>
      <c r="O354" s="7" t="n">
        <v>0</v>
      </c>
      <c r="P354" s="7" t="n">
        <v>0</v>
      </c>
      <c r="Q354" s="8" t="n">
        <f aca="false">IF(F354=0,0,H354/F354)</f>
        <v>0</v>
      </c>
      <c r="R354" s="8" t="n">
        <f aca="false">IF(F354+O354=0,0,(H354+O354)/(F354+O354))</f>
        <v>0</v>
      </c>
      <c r="S354" s="8" t="n">
        <f aca="false">IF(F354=0,0,M354/F354)</f>
        <v>0</v>
      </c>
      <c r="T354" s="8" t="n">
        <f aca="false">S354+R354</f>
        <v>0</v>
      </c>
      <c r="U354" s="8" t="n">
        <f aca="false">S354-Q354</f>
        <v>0</v>
      </c>
    </row>
    <row r="355" customFormat="false" ht="14.25" hidden="false" customHeight="true" outlineLevel="0" collapsed="false">
      <c r="A355" s="6" t="s">
        <v>440</v>
      </c>
      <c r="B355" s="6" t="s">
        <v>166</v>
      </c>
      <c r="C355" s="7" t="n">
        <v>1</v>
      </c>
      <c r="D355" s="7" t="s">
        <v>568</v>
      </c>
      <c r="E355" s="7" t="n">
        <v>1</v>
      </c>
      <c r="F355" s="7" t="n">
        <v>3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0</v>
      </c>
      <c r="L355" s="7" t="n">
        <v>0</v>
      </c>
      <c r="M355" s="7" t="n">
        <v>0</v>
      </c>
      <c r="N355" s="7" t="n">
        <v>0</v>
      </c>
      <c r="O355" s="7" t="n">
        <v>0</v>
      </c>
      <c r="P355" s="7" t="n">
        <v>0</v>
      </c>
      <c r="Q355" s="8" t="n">
        <f aca="false">IF(F355=0,0,H355/F355)</f>
        <v>0</v>
      </c>
      <c r="R355" s="8" t="n">
        <f aca="false">IF(F355+O355=0,0,(H355+O355)/(F355+O355))</f>
        <v>0</v>
      </c>
      <c r="S355" s="8" t="n">
        <f aca="false">IF(F355=0,0,M355/F355)</f>
        <v>0</v>
      </c>
      <c r="T355" s="8" t="n">
        <f aca="false">S355+R355</f>
        <v>0</v>
      </c>
      <c r="U355" s="8" t="n">
        <f aca="false">S355-Q355</f>
        <v>0</v>
      </c>
    </row>
    <row r="356" customFormat="false" ht="14.25" hidden="false" customHeight="true" outlineLevel="0" collapsed="false">
      <c r="A356" s="6" t="s">
        <v>429</v>
      </c>
      <c r="B356" s="6" t="s">
        <v>121</v>
      </c>
      <c r="C356" s="7" t="n">
        <v>1</v>
      </c>
      <c r="D356" s="7" t="s">
        <v>568</v>
      </c>
      <c r="E356" s="7" t="n">
        <v>1</v>
      </c>
      <c r="F356" s="7" t="n">
        <v>3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7" t="n">
        <v>0</v>
      </c>
      <c r="N356" s="7" t="n">
        <v>0</v>
      </c>
      <c r="O356" s="7" t="n">
        <v>0</v>
      </c>
      <c r="P356" s="7" t="n">
        <v>0</v>
      </c>
      <c r="Q356" s="8" t="n">
        <f aca="false">IF(F356=0,0,H356/F356)</f>
        <v>0</v>
      </c>
      <c r="R356" s="8" t="n">
        <f aca="false">IF(F356+O356=0,0,(H356+O356)/(F356+O356))</f>
        <v>0</v>
      </c>
      <c r="S356" s="8" t="n">
        <f aca="false">IF(F356=0,0,M356/F356)</f>
        <v>0</v>
      </c>
      <c r="T356" s="8" t="n">
        <f aca="false">S356+R356</f>
        <v>0</v>
      </c>
      <c r="U356" s="8" t="n">
        <f aca="false">S356-Q356</f>
        <v>0</v>
      </c>
    </row>
    <row r="357" customFormat="false" ht="14.25" hidden="false" customHeight="true" outlineLevel="0" collapsed="false">
      <c r="A357" s="6" t="s">
        <v>441</v>
      </c>
      <c r="B357" s="6" t="s">
        <v>166</v>
      </c>
      <c r="C357" s="7" t="n">
        <v>1</v>
      </c>
      <c r="D357" s="7" t="s">
        <v>568</v>
      </c>
      <c r="E357" s="7" t="n">
        <v>1</v>
      </c>
      <c r="F357" s="7" t="n">
        <v>3</v>
      </c>
      <c r="G357" s="7" t="n">
        <v>0</v>
      </c>
      <c r="H357" s="7" t="n">
        <v>0</v>
      </c>
      <c r="I357" s="7" t="n">
        <v>0</v>
      </c>
      <c r="J357" s="7" t="n">
        <v>0</v>
      </c>
      <c r="K357" s="7" t="n">
        <v>0</v>
      </c>
      <c r="L357" s="7" t="n">
        <v>0</v>
      </c>
      <c r="M357" s="7" t="n">
        <v>0</v>
      </c>
      <c r="N357" s="7" t="n">
        <v>0</v>
      </c>
      <c r="O357" s="7" t="n">
        <v>0</v>
      </c>
      <c r="P357" s="7" t="n">
        <v>0</v>
      </c>
      <c r="Q357" s="8" t="n">
        <f aca="false">IF(F357=0,0,H357/F357)</f>
        <v>0</v>
      </c>
      <c r="R357" s="8" t="n">
        <f aca="false">IF(F357+O357=0,0,(H357+O357)/(F357+O357))</f>
        <v>0</v>
      </c>
      <c r="S357" s="8" t="n">
        <f aca="false">IF(F357=0,0,M357/F357)</f>
        <v>0</v>
      </c>
      <c r="T357" s="8" t="n">
        <f aca="false">S357+R357</f>
        <v>0</v>
      </c>
      <c r="U357" s="8" t="n">
        <f aca="false">S357-Q357</f>
        <v>0</v>
      </c>
    </row>
    <row r="358" customFormat="false" ht="14.25" hidden="false" customHeight="true" outlineLevel="0" collapsed="false">
      <c r="A358" s="6" t="s">
        <v>426</v>
      </c>
      <c r="B358" s="6" t="s">
        <v>121</v>
      </c>
      <c r="C358" s="7" t="n">
        <v>1</v>
      </c>
      <c r="D358" s="7" t="s">
        <v>568</v>
      </c>
      <c r="E358" s="7" t="n">
        <v>1</v>
      </c>
      <c r="F358" s="7" t="n">
        <v>3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</v>
      </c>
      <c r="M358" s="7" t="n">
        <v>0</v>
      </c>
      <c r="N358" s="7" t="n">
        <v>1</v>
      </c>
      <c r="O358" s="7" t="n">
        <v>0</v>
      </c>
      <c r="P358" s="7" t="n">
        <v>0</v>
      </c>
      <c r="Q358" s="8" t="n">
        <f aca="false">IF(F358=0,0,H358/F358)</f>
        <v>0</v>
      </c>
      <c r="R358" s="8" t="n">
        <f aca="false">IF(F358+O358=0,0,(H358+O358)/(F358+O358))</f>
        <v>0</v>
      </c>
      <c r="S358" s="8" t="n">
        <f aca="false">IF(F358=0,0,M358/F358)</f>
        <v>0</v>
      </c>
      <c r="T358" s="8" t="n">
        <f aca="false">S358+R358</f>
        <v>0</v>
      </c>
      <c r="U358" s="8" t="n">
        <f aca="false">S358-Q358</f>
        <v>0</v>
      </c>
    </row>
    <row r="359" customFormat="false" ht="14.25" hidden="false" customHeight="true" outlineLevel="0" collapsed="false">
      <c r="A359" s="6" t="s">
        <v>449</v>
      </c>
      <c r="B359" s="6" t="s">
        <v>192</v>
      </c>
      <c r="C359" s="7" t="n">
        <v>1</v>
      </c>
      <c r="D359" s="7" t="s">
        <v>568</v>
      </c>
      <c r="E359" s="7" t="n">
        <v>1</v>
      </c>
      <c r="F359" s="7" t="n">
        <v>3</v>
      </c>
      <c r="G359" s="7" t="n">
        <v>0</v>
      </c>
      <c r="H359" s="7" t="n">
        <v>0</v>
      </c>
      <c r="I359" s="7" t="n">
        <v>0</v>
      </c>
      <c r="J359" s="7" t="n">
        <v>0</v>
      </c>
      <c r="K359" s="7" t="n">
        <v>0</v>
      </c>
      <c r="L359" s="7" t="n">
        <v>0</v>
      </c>
      <c r="M359" s="7" t="n">
        <v>0</v>
      </c>
      <c r="N359" s="7" t="n">
        <v>0</v>
      </c>
      <c r="O359" s="7" t="n">
        <v>0</v>
      </c>
      <c r="P359" s="7" t="n">
        <v>0</v>
      </c>
      <c r="Q359" s="8" t="n">
        <f aca="false">IF(F359=0,0,H359/F359)</f>
        <v>0</v>
      </c>
      <c r="R359" s="8" t="n">
        <f aca="false">IF(F359+O359=0,0,(H359+O359)/(F359+O359))</f>
        <v>0</v>
      </c>
      <c r="S359" s="8" t="n">
        <f aca="false">IF(F359=0,0,M359/F359)</f>
        <v>0</v>
      </c>
      <c r="T359" s="8" t="n">
        <f aca="false">S359+R359</f>
        <v>0</v>
      </c>
      <c r="U359" s="8" t="n">
        <f aca="false">S359-Q359</f>
        <v>0</v>
      </c>
    </row>
    <row r="360" customFormat="false" ht="14.25" hidden="false" customHeight="true" outlineLevel="0" collapsed="false">
      <c r="A360" s="6" t="s">
        <v>372</v>
      </c>
      <c r="B360" s="6" t="s">
        <v>71</v>
      </c>
      <c r="C360" s="7" t="n">
        <v>1</v>
      </c>
      <c r="D360" s="7" t="s">
        <v>601</v>
      </c>
      <c r="E360" s="7" t="n">
        <v>1</v>
      </c>
      <c r="F360" s="7" t="n">
        <v>3</v>
      </c>
      <c r="G360" s="7" t="n">
        <v>1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  <c r="M360" s="7" t="n">
        <v>0</v>
      </c>
      <c r="N360" s="7" t="n">
        <v>1</v>
      </c>
      <c r="O360" s="7" t="n">
        <v>0</v>
      </c>
      <c r="P360" s="7" t="n">
        <v>0</v>
      </c>
      <c r="Q360" s="8" t="n">
        <f aca="false">IF(F360=0,0,H360/F360)</f>
        <v>0</v>
      </c>
      <c r="R360" s="8" t="n">
        <f aca="false">IF(F360+O360=0,0,(H360+O360)/(F360+O360))</f>
        <v>0</v>
      </c>
      <c r="S360" s="8" t="n">
        <f aca="false">IF(F360=0,0,M360/F360)</f>
        <v>0</v>
      </c>
      <c r="T360" s="8" t="n">
        <f aca="false">S360+R360</f>
        <v>0</v>
      </c>
      <c r="U360" s="8" t="n">
        <f aca="false">S360-Q360</f>
        <v>0</v>
      </c>
    </row>
    <row r="361" customFormat="false" ht="14.25" hidden="false" customHeight="true" outlineLevel="0" collapsed="false">
      <c r="A361" s="6" t="s">
        <v>373</v>
      </c>
      <c r="B361" s="6" t="s">
        <v>71</v>
      </c>
      <c r="C361" s="7" t="n">
        <v>1</v>
      </c>
      <c r="D361" s="7" t="s">
        <v>601</v>
      </c>
      <c r="E361" s="7" t="n">
        <v>1</v>
      </c>
      <c r="F361" s="7" t="n">
        <v>3</v>
      </c>
      <c r="G361" s="7" t="n">
        <v>0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0</v>
      </c>
      <c r="M361" s="7" t="n">
        <v>0</v>
      </c>
      <c r="N361" s="7" t="n">
        <v>0</v>
      </c>
      <c r="O361" s="7" t="n">
        <v>0</v>
      </c>
      <c r="P361" s="7" t="n">
        <v>3</v>
      </c>
      <c r="Q361" s="8" t="n">
        <f aca="false">IF(F361=0,0,H361/F361)</f>
        <v>0</v>
      </c>
      <c r="R361" s="8" t="n">
        <f aca="false">IF(F361+O361=0,0,(H361+O361)/(F361+O361))</f>
        <v>0</v>
      </c>
      <c r="S361" s="8" t="n">
        <f aca="false">IF(F361=0,0,M361/F361)</f>
        <v>0</v>
      </c>
      <c r="T361" s="8" t="n">
        <f aca="false">S361+R361</f>
        <v>0</v>
      </c>
      <c r="U361" s="8" t="n">
        <f aca="false">S361-Q361</f>
        <v>0</v>
      </c>
    </row>
    <row r="362" customFormat="false" ht="14.25" hidden="false" customHeight="true" outlineLevel="0" collapsed="false">
      <c r="A362" s="6" t="s">
        <v>376</v>
      </c>
      <c r="B362" s="6" t="s">
        <v>71</v>
      </c>
      <c r="C362" s="7" t="n">
        <v>1</v>
      </c>
      <c r="D362" s="7" t="s">
        <v>601</v>
      </c>
      <c r="E362" s="7" t="n">
        <v>1</v>
      </c>
      <c r="F362" s="7" t="n">
        <v>3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7" t="n">
        <v>0</v>
      </c>
      <c r="N362" s="7" t="n">
        <v>0</v>
      </c>
      <c r="O362" s="7" t="n">
        <v>0</v>
      </c>
      <c r="P362" s="7" t="n">
        <v>0</v>
      </c>
      <c r="Q362" s="8" t="n">
        <f aca="false">IF(F362=0,0,H362/F362)</f>
        <v>0</v>
      </c>
      <c r="R362" s="8" t="n">
        <f aca="false">IF(F362+O362=0,0,(H362+O362)/(F362+O362))</f>
        <v>0</v>
      </c>
      <c r="S362" s="8" t="n">
        <f aca="false">IF(F362=0,0,M362/F362)</f>
        <v>0</v>
      </c>
      <c r="T362" s="8" t="n">
        <f aca="false">S362+R362</f>
        <v>0</v>
      </c>
      <c r="U362" s="8" t="n">
        <f aca="false">S362-Q362</f>
        <v>0</v>
      </c>
    </row>
    <row r="363" customFormat="false" ht="14.25" hidden="false" customHeight="true" outlineLevel="0" collapsed="false">
      <c r="A363" s="6" t="s">
        <v>120</v>
      </c>
      <c r="B363" s="6" t="s">
        <v>212</v>
      </c>
      <c r="C363" s="7" t="n">
        <v>1</v>
      </c>
      <c r="D363" s="7" t="s">
        <v>601</v>
      </c>
      <c r="E363" s="7" t="n">
        <v>1</v>
      </c>
      <c r="F363" s="7" t="n">
        <v>3</v>
      </c>
      <c r="G363" s="7" t="n">
        <v>0</v>
      </c>
      <c r="H363" s="7" t="n">
        <v>0</v>
      </c>
      <c r="I363" s="7" t="n">
        <v>0</v>
      </c>
      <c r="J363" s="7" t="n">
        <v>0</v>
      </c>
      <c r="K363" s="7" t="n">
        <v>0</v>
      </c>
      <c r="L363" s="7" t="n">
        <v>0</v>
      </c>
      <c r="M363" s="7" t="n">
        <v>0</v>
      </c>
      <c r="N363" s="7" t="n">
        <v>0</v>
      </c>
      <c r="O363" s="7" t="n">
        <v>0</v>
      </c>
      <c r="P363" s="7" t="n">
        <v>0</v>
      </c>
      <c r="Q363" s="8" t="n">
        <f aca="false">IF(F363=0,0,H363/F363)</f>
        <v>0</v>
      </c>
      <c r="R363" s="8" t="n">
        <f aca="false">IF(F363+O363=0,0,(H363+O363)/(F363+O363))</f>
        <v>0</v>
      </c>
      <c r="S363" s="8" t="n">
        <f aca="false">IF(F363=0,0,M363/F363)</f>
        <v>0</v>
      </c>
      <c r="T363" s="8" t="n">
        <f aca="false">S363+R363</f>
        <v>0</v>
      </c>
      <c r="U363" s="8" t="n">
        <f aca="false">S363-Q363</f>
        <v>0</v>
      </c>
    </row>
    <row r="364" customFormat="false" ht="14.25" hidden="false" customHeight="true" outlineLevel="0" collapsed="false">
      <c r="A364" s="6" t="s">
        <v>393</v>
      </c>
      <c r="B364" s="6" t="s">
        <v>147</v>
      </c>
      <c r="C364" s="7" t="n">
        <v>1</v>
      </c>
      <c r="D364" s="7" t="s">
        <v>601</v>
      </c>
      <c r="E364" s="7" t="n">
        <v>1</v>
      </c>
      <c r="F364" s="7" t="n">
        <v>3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7" t="n">
        <v>0</v>
      </c>
      <c r="N364" s="7" t="n">
        <v>0</v>
      </c>
      <c r="O364" s="7" t="n">
        <v>0</v>
      </c>
      <c r="P364" s="7" t="n">
        <v>0</v>
      </c>
      <c r="Q364" s="8" t="n">
        <f aca="false">IF(F364=0,0,H364/F364)</f>
        <v>0</v>
      </c>
      <c r="R364" s="8" t="n">
        <f aca="false">IF(F364+O364=0,0,(H364+O364)/(F364+O364))</f>
        <v>0</v>
      </c>
      <c r="S364" s="8" t="n">
        <f aca="false">IF(F364=0,0,M364/F364)</f>
        <v>0</v>
      </c>
      <c r="T364" s="8" t="n">
        <f aca="false">S364+R364</f>
        <v>0</v>
      </c>
      <c r="U364" s="8" t="n">
        <f aca="false">S364-Q364</f>
        <v>0</v>
      </c>
    </row>
    <row r="365" customFormat="false" ht="14.25" hidden="false" customHeight="true" outlineLevel="0" collapsed="false">
      <c r="A365" s="6" t="s">
        <v>399</v>
      </c>
      <c r="B365" s="6" t="s">
        <v>166</v>
      </c>
      <c r="C365" s="7" t="n">
        <v>1</v>
      </c>
      <c r="D365" s="7" t="s">
        <v>601</v>
      </c>
      <c r="E365" s="7" t="n">
        <v>1</v>
      </c>
      <c r="F365" s="7" t="n">
        <v>3</v>
      </c>
      <c r="G365" s="7" t="n">
        <v>0</v>
      </c>
      <c r="H365" s="7" t="n">
        <v>0</v>
      </c>
      <c r="I365" s="7" t="n">
        <v>0</v>
      </c>
      <c r="J365" s="7" t="n">
        <v>0</v>
      </c>
      <c r="K365" s="7" t="n">
        <v>0</v>
      </c>
      <c r="L365" s="7" t="n">
        <v>0</v>
      </c>
      <c r="M365" s="7" t="n">
        <v>0</v>
      </c>
      <c r="N365" s="7" t="n">
        <v>0</v>
      </c>
      <c r="O365" s="7" t="n">
        <v>0</v>
      </c>
      <c r="P365" s="7" t="n">
        <v>1</v>
      </c>
      <c r="Q365" s="8" t="n">
        <f aca="false">IF(F365=0,0,H365/F365)</f>
        <v>0</v>
      </c>
      <c r="R365" s="8" t="n">
        <f aca="false">IF(F365+O365=0,0,(H365+O365)/(F365+O365))</f>
        <v>0</v>
      </c>
      <c r="S365" s="8" t="n">
        <f aca="false">IF(F365=0,0,M365/F365)</f>
        <v>0</v>
      </c>
      <c r="T365" s="8" t="n">
        <f aca="false">S365+R365</f>
        <v>0</v>
      </c>
      <c r="U365" s="8" t="n">
        <f aca="false">S365-Q365</f>
        <v>0</v>
      </c>
    </row>
    <row r="366" customFormat="false" ht="14.25" hidden="false" customHeight="true" outlineLevel="0" collapsed="false">
      <c r="A366" s="6" t="s">
        <v>403</v>
      </c>
      <c r="B366" s="6" t="s">
        <v>192</v>
      </c>
      <c r="C366" s="7" t="n">
        <v>1</v>
      </c>
      <c r="D366" s="7" t="s">
        <v>601</v>
      </c>
      <c r="E366" s="7" t="n">
        <v>1</v>
      </c>
      <c r="F366" s="7" t="n">
        <v>3</v>
      </c>
      <c r="G366" s="7" t="n">
        <v>0</v>
      </c>
      <c r="H366" s="7" t="n">
        <v>0</v>
      </c>
      <c r="I366" s="7" t="n">
        <v>0</v>
      </c>
      <c r="J366" s="7" t="n">
        <v>0</v>
      </c>
      <c r="K366" s="7" t="n">
        <v>0</v>
      </c>
      <c r="L366" s="7" t="n">
        <v>0</v>
      </c>
      <c r="M366" s="7" t="n">
        <v>0</v>
      </c>
      <c r="N366" s="7" t="n">
        <v>0</v>
      </c>
      <c r="O366" s="7" t="n">
        <v>0</v>
      </c>
      <c r="P366" s="7" t="n">
        <v>0</v>
      </c>
      <c r="Q366" s="8" t="n">
        <f aca="false">IF(F366=0,0,H366/F366)</f>
        <v>0</v>
      </c>
      <c r="R366" s="8" t="n">
        <f aca="false">IF(F366+O366=0,0,(H366+O366)/(F366+O366))</f>
        <v>0</v>
      </c>
      <c r="S366" s="8" t="n">
        <f aca="false">IF(F366=0,0,M366/F366)</f>
        <v>0</v>
      </c>
      <c r="T366" s="8" t="n">
        <f aca="false">S366+R366</f>
        <v>0</v>
      </c>
      <c r="U366" s="8" t="n">
        <f aca="false">S366-Q366</f>
        <v>0</v>
      </c>
    </row>
    <row r="367" customFormat="false" ht="14.25" hidden="false" customHeight="true" outlineLevel="0" collapsed="false">
      <c r="A367" s="6" t="s">
        <v>404</v>
      </c>
      <c r="B367" s="6" t="s">
        <v>639</v>
      </c>
      <c r="C367" s="7" t="n">
        <v>2</v>
      </c>
      <c r="D367" s="7" t="s">
        <v>602</v>
      </c>
      <c r="E367" s="7" t="n">
        <v>2</v>
      </c>
      <c r="F367" s="7" t="n">
        <v>6</v>
      </c>
      <c r="G367" s="7" t="n">
        <v>0</v>
      </c>
      <c r="H367" s="7" t="n">
        <v>0</v>
      </c>
      <c r="I367" s="7" t="n">
        <v>0</v>
      </c>
      <c r="J367" s="7" t="n">
        <v>0</v>
      </c>
      <c r="K367" s="7" t="n">
        <v>0</v>
      </c>
      <c r="L367" s="7" t="n">
        <v>0</v>
      </c>
      <c r="M367" s="7" t="n">
        <v>0</v>
      </c>
      <c r="N367" s="7" t="n">
        <v>0</v>
      </c>
      <c r="O367" s="7" t="n">
        <v>0</v>
      </c>
      <c r="P367" s="7" t="n">
        <v>0</v>
      </c>
      <c r="Q367" s="8" t="n">
        <f aca="false">IF(F367=0,0,H367/F367)</f>
        <v>0</v>
      </c>
      <c r="R367" s="8" t="n">
        <f aca="false">IF(F367+O367=0,0,(H367+O367)/(F367+O367))</f>
        <v>0</v>
      </c>
      <c r="S367" s="8" t="n">
        <f aca="false">IF(F367=0,0,M367/F367)</f>
        <v>0</v>
      </c>
      <c r="T367" s="8" t="n">
        <f aca="false">S367+R367</f>
        <v>0</v>
      </c>
      <c r="U367" s="8" t="n">
        <f aca="false">S367-Q367</f>
        <v>0</v>
      </c>
    </row>
    <row r="368" customFormat="false" ht="14.25" hidden="false" customHeight="true" outlineLevel="0" collapsed="false">
      <c r="A368" s="6" t="s">
        <v>322</v>
      </c>
      <c r="B368" s="6" t="s">
        <v>71</v>
      </c>
      <c r="C368" s="7" t="n">
        <v>1</v>
      </c>
      <c r="D368" s="7" t="s">
        <v>570</v>
      </c>
      <c r="E368" s="7" t="n">
        <v>1</v>
      </c>
      <c r="F368" s="7" t="n">
        <v>3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7" t="n">
        <v>0</v>
      </c>
      <c r="N368" s="7" t="n">
        <v>0</v>
      </c>
      <c r="O368" s="7" t="n">
        <v>0</v>
      </c>
      <c r="P368" s="7" t="n">
        <v>1</v>
      </c>
      <c r="Q368" s="8" t="n">
        <f aca="false">IF(F368=0,0,H368/F368)</f>
        <v>0</v>
      </c>
      <c r="R368" s="8" t="n">
        <f aca="false">IF(F368+O368=0,0,(H368+O368)/(F368+O368))</f>
        <v>0</v>
      </c>
      <c r="S368" s="8" t="n">
        <f aca="false">IF(F368=0,0,M368/F368)</f>
        <v>0</v>
      </c>
      <c r="T368" s="8" t="n">
        <f aca="false">S368+R368</f>
        <v>0</v>
      </c>
      <c r="U368" s="8" t="n">
        <f aca="false">S368-Q368</f>
        <v>0</v>
      </c>
    </row>
    <row r="369" customFormat="false" ht="14.25" hidden="false" customHeight="true" outlineLevel="0" collapsed="false">
      <c r="A369" s="6" t="s">
        <v>352</v>
      </c>
      <c r="B369" s="6" t="s">
        <v>166</v>
      </c>
      <c r="C369" s="7" t="n">
        <v>1</v>
      </c>
      <c r="D369" s="7" t="s">
        <v>570</v>
      </c>
      <c r="E369" s="7" t="n">
        <v>1</v>
      </c>
      <c r="F369" s="7" t="n">
        <v>3</v>
      </c>
      <c r="G369" s="7" t="n">
        <v>0</v>
      </c>
      <c r="H369" s="7" t="n">
        <v>0</v>
      </c>
      <c r="I369" s="7" t="n">
        <v>0</v>
      </c>
      <c r="J369" s="7" t="n">
        <v>0</v>
      </c>
      <c r="K369" s="7" t="n">
        <v>0</v>
      </c>
      <c r="L369" s="7" t="n">
        <v>0</v>
      </c>
      <c r="M369" s="7" t="n">
        <v>0</v>
      </c>
      <c r="N369" s="7" t="n">
        <v>0</v>
      </c>
      <c r="O369" s="7" t="n">
        <v>0</v>
      </c>
      <c r="P369" s="7" t="n">
        <v>0</v>
      </c>
      <c r="Q369" s="8" t="n">
        <f aca="false">IF(F369=0,0,H369/F369)</f>
        <v>0</v>
      </c>
      <c r="R369" s="8" t="n">
        <f aca="false">IF(F369+O369=0,0,(H369+O369)/(F369+O369))</f>
        <v>0</v>
      </c>
      <c r="S369" s="8" t="n">
        <f aca="false">IF(F369=0,0,M369/F369)</f>
        <v>0</v>
      </c>
      <c r="T369" s="8" t="n">
        <f aca="false">S369+R369</f>
        <v>0</v>
      </c>
      <c r="U369" s="8" t="n">
        <f aca="false">S369-Q369</f>
        <v>0</v>
      </c>
    </row>
    <row r="370" customFormat="false" ht="14.25" hidden="false" customHeight="true" outlineLevel="0" collapsed="false">
      <c r="A370" s="6" t="s">
        <v>340</v>
      </c>
      <c r="B370" s="6" t="s">
        <v>121</v>
      </c>
      <c r="C370" s="7" t="n">
        <v>1</v>
      </c>
      <c r="D370" s="7" t="s">
        <v>570</v>
      </c>
      <c r="E370" s="7" t="n">
        <v>1</v>
      </c>
      <c r="F370" s="7" t="n">
        <v>3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7" t="n">
        <v>0</v>
      </c>
      <c r="N370" s="7" t="n">
        <v>0</v>
      </c>
      <c r="O370" s="7" t="n">
        <v>0</v>
      </c>
      <c r="P370" s="7" t="n">
        <v>0</v>
      </c>
      <c r="Q370" s="8" t="n">
        <f aca="false">IF(F370=0,0,H370/F370)</f>
        <v>0</v>
      </c>
      <c r="R370" s="8" t="n">
        <f aca="false">IF(F370+O370=0,0,(H370+O370)/(F370+O370))</f>
        <v>0</v>
      </c>
      <c r="S370" s="8" t="n">
        <f aca="false">IF(F370=0,0,M370/F370)</f>
        <v>0</v>
      </c>
      <c r="T370" s="8" t="n">
        <f aca="false">S370+R370</f>
        <v>0</v>
      </c>
      <c r="U370" s="8" t="n">
        <f aca="false">S370-Q370</f>
        <v>0</v>
      </c>
    </row>
    <row r="371" customFormat="false" ht="14.25" hidden="false" customHeight="true" outlineLevel="0" collapsed="false">
      <c r="A371" s="6" t="s">
        <v>353</v>
      </c>
      <c r="B371" s="6" t="s">
        <v>166</v>
      </c>
      <c r="C371" s="7" t="n">
        <v>1</v>
      </c>
      <c r="D371" s="7" t="s">
        <v>570</v>
      </c>
      <c r="E371" s="7" t="n">
        <v>1</v>
      </c>
      <c r="F371" s="7" t="n">
        <v>3</v>
      </c>
      <c r="G371" s="7" t="n">
        <v>0</v>
      </c>
      <c r="H371" s="7" t="n">
        <v>0</v>
      </c>
      <c r="I371" s="7" t="n">
        <v>0</v>
      </c>
      <c r="J371" s="7" t="n">
        <v>0</v>
      </c>
      <c r="K371" s="7" t="n">
        <v>0</v>
      </c>
      <c r="L371" s="7" t="n">
        <v>0</v>
      </c>
      <c r="M371" s="7" t="n">
        <v>0</v>
      </c>
      <c r="N371" s="7" t="n">
        <v>0</v>
      </c>
      <c r="O371" s="7" t="n">
        <v>0</v>
      </c>
      <c r="P371" s="7" t="n">
        <v>0</v>
      </c>
      <c r="Q371" s="8" t="n">
        <f aca="false">IF(F371=0,0,H371/F371)</f>
        <v>0</v>
      </c>
      <c r="R371" s="8" t="n">
        <f aca="false">IF(F371+O371=0,0,(H371+O371)/(F371+O371))</f>
        <v>0</v>
      </c>
      <c r="S371" s="8" t="n">
        <f aca="false">IF(F371=0,0,M371/F371)</f>
        <v>0</v>
      </c>
      <c r="T371" s="8" t="n">
        <f aca="false">S371+R371</f>
        <v>0</v>
      </c>
      <c r="U371" s="8" t="n">
        <f aca="false">S371-Q371</f>
        <v>0</v>
      </c>
    </row>
    <row r="372" customFormat="false" ht="14.25" hidden="false" customHeight="true" outlineLevel="0" collapsed="false">
      <c r="A372" s="6" t="s">
        <v>640</v>
      </c>
      <c r="B372" s="6" t="s">
        <v>71</v>
      </c>
      <c r="C372" s="7" t="n">
        <v>1</v>
      </c>
      <c r="D372" s="7" t="s">
        <v>570</v>
      </c>
      <c r="E372" s="7" t="n">
        <v>1</v>
      </c>
      <c r="F372" s="7" t="n">
        <v>3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0</v>
      </c>
      <c r="M372" s="7" t="n">
        <v>0</v>
      </c>
      <c r="N372" s="7" t="n">
        <v>0</v>
      </c>
      <c r="O372" s="7" t="n">
        <v>0</v>
      </c>
      <c r="P372" s="7" t="n">
        <v>3</v>
      </c>
      <c r="Q372" s="8" t="n">
        <f aca="false">IF(F372=0,0,H372/F372)</f>
        <v>0</v>
      </c>
      <c r="R372" s="8" t="n">
        <f aca="false">IF(F372+O372=0,0,(H372+O372)/(F372+O372))</f>
        <v>0</v>
      </c>
      <c r="S372" s="8" t="n">
        <f aca="false">IF(F372=0,0,M372/F372)</f>
        <v>0</v>
      </c>
      <c r="T372" s="8" t="n">
        <f aca="false">S372+R372</f>
        <v>0</v>
      </c>
      <c r="U372" s="8" t="n">
        <f aca="false">S372-Q372</f>
        <v>0</v>
      </c>
    </row>
    <row r="373" customFormat="false" ht="14.25" hidden="false" customHeight="true" outlineLevel="0" collapsed="false">
      <c r="A373" s="6" t="s">
        <v>331</v>
      </c>
      <c r="B373" s="6" t="s">
        <v>97</v>
      </c>
      <c r="C373" s="7" t="n">
        <v>1</v>
      </c>
      <c r="D373" s="7" t="s">
        <v>570</v>
      </c>
      <c r="E373" s="7" t="n">
        <v>1</v>
      </c>
      <c r="F373" s="7" t="n">
        <v>3</v>
      </c>
      <c r="G373" s="7" t="n">
        <v>0</v>
      </c>
      <c r="H373" s="7" t="n">
        <v>0</v>
      </c>
      <c r="I373" s="7" t="n">
        <v>0</v>
      </c>
      <c r="J373" s="7" t="n">
        <v>0</v>
      </c>
      <c r="K373" s="7" t="n">
        <v>0</v>
      </c>
      <c r="L373" s="7" t="n">
        <v>0</v>
      </c>
      <c r="M373" s="7" t="n">
        <v>0</v>
      </c>
      <c r="N373" s="7" t="n">
        <v>0</v>
      </c>
      <c r="O373" s="7" t="n">
        <v>0</v>
      </c>
      <c r="P373" s="7" t="n">
        <v>0</v>
      </c>
      <c r="Q373" s="8" t="n">
        <f aca="false">IF(F373=0,0,H373/F373)</f>
        <v>0</v>
      </c>
      <c r="R373" s="8" t="n">
        <f aca="false">IF(F373+O373=0,0,(H373+O373)/(F373+O373))</f>
        <v>0</v>
      </c>
      <c r="S373" s="8" t="n">
        <f aca="false">IF(F373=0,0,M373/F373)</f>
        <v>0</v>
      </c>
      <c r="T373" s="8" t="n">
        <f aca="false">S373+R373</f>
        <v>0</v>
      </c>
      <c r="U373" s="8" t="n">
        <f aca="false">S373-Q373</f>
        <v>0</v>
      </c>
    </row>
    <row r="374" customFormat="false" ht="14.25" hidden="false" customHeight="true" outlineLevel="0" collapsed="false">
      <c r="A374" s="6" t="s">
        <v>338</v>
      </c>
      <c r="B374" s="6" t="s">
        <v>121</v>
      </c>
      <c r="C374" s="7" t="n">
        <v>1</v>
      </c>
      <c r="D374" s="7" t="s">
        <v>570</v>
      </c>
      <c r="E374" s="7" t="n">
        <v>1</v>
      </c>
      <c r="F374" s="7" t="n">
        <v>3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7" t="n">
        <v>0</v>
      </c>
      <c r="N374" s="7" t="n">
        <v>0</v>
      </c>
      <c r="O374" s="7" t="n">
        <v>0</v>
      </c>
      <c r="P374" s="7" t="n">
        <v>1</v>
      </c>
      <c r="Q374" s="8" t="n">
        <f aca="false">IF(F374=0,0,H374/F374)</f>
        <v>0</v>
      </c>
      <c r="R374" s="8" t="n">
        <f aca="false">IF(F374+O374=0,0,(H374+O374)/(F374+O374))</f>
        <v>0</v>
      </c>
      <c r="S374" s="8" t="n">
        <f aca="false">IF(F374=0,0,M374/F374)</f>
        <v>0</v>
      </c>
      <c r="T374" s="8" t="n">
        <f aca="false">S374+R374</f>
        <v>0</v>
      </c>
      <c r="U374" s="8" t="n">
        <f aca="false">S374-Q374</f>
        <v>0</v>
      </c>
    </row>
    <row r="375" customFormat="false" ht="14.25" hidden="false" customHeight="true" outlineLevel="0" collapsed="false">
      <c r="A375" s="6" t="s">
        <v>227</v>
      </c>
      <c r="B375" s="6" t="s">
        <v>212</v>
      </c>
      <c r="C375" s="7" t="n">
        <v>2</v>
      </c>
      <c r="D375" s="7" t="s">
        <v>638</v>
      </c>
      <c r="E375" s="7" t="n">
        <v>2</v>
      </c>
      <c r="F375" s="7" t="n">
        <v>3</v>
      </c>
      <c r="G375" s="7" t="n">
        <v>0</v>
      </c>
      <c r="H375" s="7" t="n">
        <v>0</v>
      </c>
      <c r="I375" s="7" t="n">
        <v>0</v>
      </c>
      <c r="J375" s="7" t="n">
        <v>0</v>
      </c>
      <c r="K375" s="7" t="n">
        <v>0</v>
      </c>
      <c r="L375" s="7" t="n">
        <v>0</v>
      </c>
      <c r="M375" s="7" t="n">
        <v>0</v>
      </c>
      <c r="N375" s="7" t="n">
        <v>1</v>
      </c>
      <c r="O375" s="7" t="n">
        <v>0</v>
      </c>
      <c r="P375" s="7" t="n">
        <v>1</v>
      </c>
      <c r="Q375" s="8" t="n">
        <f aca="false">IF(F375=0,0,H375/F375)</f>
        <v>0</v>
      </c>
      <c r="R375" s="8" t="n">
        <f aca="false">IF(F375+O375=0,0,(H375+O375)/(F375+O375))</f>
        <v>0</v>
      </c>
      <c r="S375" s="8" t="n">
        <f aca="false">IF(F375=0,0,M375/F375)</f>
        <v>0</v>
      </c>
      <c r="T375" s="8" t="n">
        <f aca="false">S375+R375</f>
        <v>0</v>
      </c>
      <c r="U375" s="8" t="n">
        <f aca="false">S375-Q375</f>
        <v>0</v>
      </c>
    </row>
    <row r="376" customFormat="false" ht="14.25" hidden="false" customHeight="true" outlineLevel="0" collapsed="false">
      <c r="A376" s="6" t="s">
        <v>70</v>
      </c>
      <c r="B376" s="6" t="s">
        <v>50</v>
      </c>
      <c r="C376" s="7" t="n">
        <v>2</v>
      </c>
      <c r="D376" s="7" t="s">
        <v>638</v>
      </c>
      <c r="E376" s="7" t="n">
        <v>3</v>
      </c>
      <c r="F376" s="7" t="n">
        <v>4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0</v>
      </c>
      <c r="L376" s="7" t="n">
        <v>0</v>
      </c>
      <c r="M376" s="7" t="n">
        <v>0</v>
      </c>
      <c r="N376" s="7" t="n">
        <v>0</v>
      </c>
      <c r="O376" s="7" t="n">
        <v>0</v>
      </c>
      <c r="P376" s="7" t="n">
        <v>0</v>
      </c>
      <c r="Q376" s="8" t="n">
        <f aca="false">IF(F376=0,0,H376/F376)</f>
        <v>0</v>
      </c>
      <c r="R376" s="8" t="n">
        <f aca="false">IF(F376+O376=0,0,(H376+O376)/(F376+O376))</f>
        <v>0</v>
      </c>
      <c r="S376" s="8" t="n">
        <f aca="false">IF(F376=0,0,M376/F376)</f>
        <v>0</v>
      </c>
      <c r="T376" s="8" t="n">
        <f aca="false">S376+R376</f>
        <v>0</v>
      </c>
      <c r="U376" s="8" t="n">
        <f aca="false">S376-Q376</f>
        <v>0</v>
      </c>
    </row>
    <row r="377" customFormat="false" ht="14.25" hidden="false" customHeight="true" outlineLevel="0" collapsed="false">
      <c r="A377" s="6" t="s">
        <v>292</v>
      </c>
      <c r="B377" s="6" t="s">
        <v>97</v>
      </c>
      <c r="C377" s="7" t="n">
        <v>1</v>
      </c>
      <c r="D377" s="7" t="s">
        <v>613</v>
      </c>
      <c r="E377" s="7" t="n">
        <v>2</v>
      </c>
      <c r="F377" s="7" t="n">
        <v>3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0</v>
      </c>
      <c r="L377" s="7" t="n">
        <v>0</v>
      </c>
      <c r="M377" s="7" t="n">
        <v>0</v>
      </c>
      <c r="N377" s="7" t="n">
        <v>0</v>
      </c>
      <c r="O377" s="7" t="n">
        <v>2</v>
      </c>
      <c r="P377" s="7" t="n">
        <v>1</v>
      </c>
      <c r="Q377" s="8" t="n">
        <f aca="false">IF(F377=0,0,H377/F377)</f>
        <v>0</v>
      </c>
      <c r="R377" s="8" t="n">
        <f aca="false">IF(F377+O377=0,0,(H377+O377)/(F377+O377))</f>
        <v>0.4</v>
      </c>
      <c r="S377" s="8" t="n">
        <f aca="false">IF(F377=0,0,M377/F377)</f>
        <v>0</v>
      </c>
      <c r="T377" s="8" t="n">
        <f aca="false">S377+R377</f>
        <v>0.4</v>
      </c>
      <c r="U377" s="8" t="n">
        <f aca="false">S377-Q377</f>
        <v>0</v>
      </c>
    </row>
    <row r="378" customFormat="false" ht="14.25" hidden="false" customHeight="true" outlineLevel="0" collapsed="false">
      <c r="A378" s="6" t="s">
        <v>291</v>
      </c>
      <c r="B378" s="6" t="s">
        <v>97</v>
      </c>
      <c r="C378" s="7" t="n">
        <v>1</v>
      </c>
      <c r="D378" s="7" t="s">
        <v>613</v>
      </c>
      <c r="E378" s="7" t="n">
        <v>1</v>
      </c>
      <c r="F378" s="7" t="n">
        <v>3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0</v>
      </c>
      <c r="M378" s="7" t="n">
        <v>0</v>
      </c>
      <c r="N378" s="7" t="n">
        <v>0</v>
      </c>
      <c r="O378" s="7" t="n">
        <v>0</v>
      </c>
      <c r="P378" s="7" t="n">
        <v>2</v>
      </c>
      <c r="Q378" s="8" t="n">
        <f aca="false">IF(F378=0,0,H378/F378)</f>
        <v>0</v>
      </c>
      <c r="R378" s="8" t="n">
        <f aca="false">IF(F378+O378=0,0,(H378+O378)/(F378+O378))</f>
        <v>0</v>
      </c>
      <c r="S378" s="8" t="n">
        <f aca="false">IF(F378=0,0,M378/F378)</f>
        <v>0</v>
      </c>
      <c r="T378" s="8" t="n">
        <f aca="false">S378+R378</f>
        <v>0</v>
      </c>
      <c r="U378" s="8" t="n">
        <f aca="false">S378-Q378</f>
        <v>0</v>
      </c>
    </row>
    <row r="379" customFormat="false" ht="14.25" hidden="false" customHeight="true" outlineLevel="0" collapsed="false">
      <c r="A379" s="6" t="s">
        <v>294</v>
      </c>
      <c r="B379" s="6" t="s">
        <v>97</v>
      </c>
      <c r="C379" s="7" t="n">
        <v>1</v>
      </c>
      <c r="D379" s="7" t="s">
        <v>613</v>
      </c>
      <c r="E379" s="7" t="n">
        <v>1</v>
      </c>
      <c r="F379" s="7" t="n">
        <v>3</v>
      </c>
      <c r="G379" s="7" t="n">
        <v>0</v>
      </c>
      <c r="H379" s="7" t="n">
        <v>0</v>
      </c>
      <c r="I379" s="7" t="n">
        <v>0</v>
      </c>
      <c r="J379" s="7" t="n">
        <v>0</v>
      </c>
      <c r="K379" s="7" t="n">
        <v>0</v>
      </c>
      <c r="L379" s="7" t="n">
        <v>0</v>
      </c>
      <c r="M379" s="7" t="n">
        <v>0</v>
      </c>
      <c r="N379" s="7" t="n">
        <v>0</v>
      </c>
      <c r="O379" s="7" t="n">
        <v>0</v>
      </c>
      <c r="P379" s="7" t="n">
        <v>0</v>
      </c>
      <c r="Q379" s="8" t="n">
        <f aca="false">IF(F379=0,0,H379/F379)</f>
        <v>0</v>
      </c>
      <c r="R379" s="8" t="n">
        <f aca="false">IF(F379+O379=0,0,(H379+O379)/(F379+O379))</f>
        <v>0</v>
      </c>
      <c r="S379" s="8" t="n">
        <f aca="false">IF(F379=0,0,M379/F379)</f>
        <v>0</v>
      </c>
      <c r="T379" s="8" t="n">
        <f aca="false">S379+R379</f>
        <v>0</v>
      </c>
      <c r="U379" s="8" t="n">
        <f aca="false">S379-Q379</f>
        <v>0</v>
      </c>
    </row>
    <row r="380" customFormat="false" ht="14.25" hidden="false" customHeight="true" outlineLevel="0" collapsed="false">
      <c r="A380" s="6" t="s">
        <v>295</v>
      </c>
      <c r="B380" s="6" t="s">
        <v>97</v>
      </c>
      <c r="C380" s="7" t="n">
        <v>1</v>
      </c>
      <c r="D380" s="7" t="s">
        <v>613</v>
      </c>
      <c r="E380" s="7" t="n">
        <v>1</v>
      </c>
      <c r="F380" s="7" t="n">
        <v>3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7" t="n">
        <v>0</v>
      </c>
      <c r="N380" s="7" t="n">
        <v>0</v>
      </c>
      <c r="O380" s="7" t="n">
        <v>0</v>
      </c>
      <c r="P380" s="7" t="n">
        <v>0</v>
      </c>
      <c r="Q380" s="8" t="n">
        <f aca="false">IF(F380=0,0,H380/F380)</f>
        <v>0</v>
      </c>
      <c r="R380" s="8" t="n">
        <f aca="false">IF(F380+O380=0,0,(H380+O380)/(F380+O380))</f>
        <v>0</v>
      </c>
      <c r="S380" s="8" t="n">
        <f aca="false">IF(F380=0,0,M380/F380)</f>
        <v>0</v>
      </c>
      <c r="T380" s="8" t="n">
        <f aca="false">S380+R380</f>
        <v>0</v>
      </c>
      <c r="U380" s="8" t="n">
        <f aca="false">S380-Q380</f>
        <v>0</v>
      </c>
    </row>
    <row r="381" customFormat="false" ht="14.25" hidden="false" customHeight="true" outlineLevel="0" collapsed="false">
      <c r="A381" s="6" t="s">
        <v>305</v>
      </c>
      <c r="B381" s="6" t="s">
        <v>147</v>
      </c>
      <c r="C381" s="7" t="n">
        <v>1</v>
      </c>
      <c r="D381" s="7" t="s">
        <v>613</v>
      </c>
      <c r="E381" s="7" t="n">
        <v>1</v>
      </c>
      <c r="F381" s="7" t="n">
        <v>3</v>
      </c>
      <c r="G381" s="7" t="n">
        <v>0</v>
      </c>
      <c r="H381" s="7" t="n">
        <v>0</v>
      </c>
      <c r="I381" s="7" t="n">
        <v>0</v>
      </c>
      <c r="J381" s="7" t="n">
        <v>0</v>
      </c>
      <c r="K381" s="7" t="n">
        <v>0</v>
      </c>
      <c r="L381" s="7" t="n">
        <v>0</v>
      </c>
      <c r="M381" s="7" t="n">
        <v>0</v>
      </c>
      <c r="N381" s="7" t="n">
        <v>0</v>
      </c>
      <c r="O381" s="7" t="n">
        <v>0</v>
      </c>
      <c r="P381" s="7" t="n">
        <v>0</v>
      </c>
      <c r="Q381" s="8" t="n">
        <f aca="false">IF(F381=0,0,H381/F381)</f>
        <v>0</v>
      </c>
      <c r="R381" s="8" t="n">
        <f aca="false">IF(F381+O381=0,0,(H381+O381)/(F381+O381))</f>
        <v>0</v>
      </c>
      <c r="S381" s="8" t="n">
        <f aca="false">IF(F381=0,0,M381/F381)</f>
        <v>0</v>
      </c>
      <c r="T381" s="8" t="n">
        <f aca="false">S381+R381</f>
        <v>0</v>
      </c>
      <c r="U381" s="8" t="n">
        <f aca="false">S381-Q381</f>
        <v>0</v>
      </c>
    </row>
    <row r="382" customFormat="false" ht="14.25" hidden="false" customHeight="true" outlineLevel="0" collapsed="false">
      <c r="A382" s="6" t="s">
        <v>310</v>
      </c>
      <c r="B382" s="6" t="s">
        <v>192</v>
      </c>
      <c r="C382" s="7" t="n">
        <v>1</v>
      </c>
      <c r="D382" s="7" t="s">
        <v>613</v>
      </c>
      <c r="E382" s="7" t="n">
        <v>1</v>
      </c>
      <c r="F382" s="7" t="n">
        <v>3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7" t="n">
        <v>0</v>
      </c>
      <c r="N382" s="7" t="n">
        <v>0</v>
      </c>
      <c r="O382" s="7" t="n">
        <v>0</v>
      </c>
      <c r="P382" s="7" t="n">
        <v>0</v>
      </c>
      <c r="Q382" s="8" t="n">
        <f aca="false">IF(F382=0,0,H382/F382)</f>
        <v>0</v>
      </c>
      <c r="R382" s="8" t="n">
        <f aca="false">IF(F382+O382=0,0,(H382+O382)/(F382+O382))</f>
        <v>0</v>
      </c>
      <c r="S382" s="8" t="n">
        <f aca="false">IF(F382=0,0,M382/F382)</f>
        <v>0</v>
      </c>
      <c r="T382" s="8" t="n">
        <f aca="false">S382+R382</f>
        <v>0</v>
      </c>
      <c r="U382" s="8" t="n">
        <f aca="false">S382-Q382</f>
        <v>0</v>
      </c>
    </row>
    <row r="383" customFormat="false" ht="14.25" hidden="false" customHeight="true" outlineLevel="0" collapsed="false">
      <c r="A383" s="6" t="s">
        <v>314</v>
      </c>
      <c r="B383" s="6" t="s">
        <v>212</v>
      </c>
      <c r="C383" s="7" t="n">
        <v>1</v>
      </c>
      <c r="D383" s="7" t="s">
        <v>613</v>
      </c>
      <c r="E383" s="7" t="n">
        <v>1</v>
      </c>
      <c r="F383" s="7" t="n">
        <v>3</v>
      </c>
      <c r="G383" s="7" t="n">
        <v>0</v>
      </c>
      <c r="H383" s="7" t="n">
        <v>0</v>
      </c>
      <c r="I383" s="7" t="n">
        <v>0</v>
      </c>
      <c r="J383" s="7" t="n">
        <v>0</v>
      </c>
      <c r="K383" s="7" t="n">
        <v>0</v>
      </c>
      <c r="L383" s="7" t="n">
        <v>0</v>
      </c>
      <c r="M383" s="7" t="n">
        <v>0</v>
      </c>
      <c r="N383" s="7" t="n">
        <v>0</v>
      </c>
      <c r="O383" s="7" t="n">
        <v>0</v>
      </c>
      <c r="P383" s="7" t="n">
        <v>2</v>
      </c>
      <c r="Q383" s="8" t="n">
        <f aca="false">IF(F383=0,0,H383/F383)</f>
        <v>0</v>
      </c>
      <c r="R383" s="8" t="n">
        <f aca="false">IF(F383+O383=0,0,(H383+O383)/(F383+O383))</f>
        <v>0</v>
      </c>
      <c r="S383" s="8" t="n">
        <f aca="false">IF(F383=0,0,M383/F383)</f>
        <v>0</v>
      </c>
      <c r="T383" s="8" t="n">
        <f aca="false">S383+R383</f>
        <v>0</v>
      </c>
      <c r="U383" s="8" t="n">
        <f aca="false">S383-Q383</f>
        <v>0</v>
      </c>
    </row>
    <row r="384" customFormat="false" ht="14.25" hidden="false" customHeight="true" outlineLevel="0" collapsed="false">
      <c r="A384" s="6" t="s">
        <v>315</v>
      </c>
      <c r="B384" s="6" t="s">
        <v>212</v>
      </c>
      <c r="C384" s="7" t="n">
        <v>1</v>
      </c>
      <c r="D384" s="7" t="s">
        <v>613</v>
      </c>
      <c r="E384" s="7" t="n">
        <v>1</v>
      </c>
      <c r="F384" s="7" t="n">
        <v>3</v>
      </c>
      <c r="G384" s="7" t="n">
        <v>0</v>
      </c>
      <c r="H384" s="7" t="n">
        <v>0</v>
      </c>
      <c r="I384" s="7" t="n">
        <v>0</v>
      </c>
      <c r="J384" s="7" t="n">
        <v>0</v>
      </c>
      <c r="K384" s="7" t="n">
        <v>0</v>
      </c>
      <c r="L384" s="7" t="n">
        <v>0</v>
      </c>
      <c r="M384" s="7" t="n">
        <v>0</v>
      </c>
      <c r="N384" s="7" t="n">
        <v>0</v>
      </c>
      <c r="O384" s="7" t="n">
        <v>0</v>
      </c>
      <c r="P384" s="7" t="n">
        <v>0</v>
      </c>
      <c r="Q384" s="8" t="n">
        <f aca="false">IF(F384=0,0,H384/F384)</f>
        <v>0</v>
      </c>
      <c r="R384" s="8" t="n">
        <f aca="false">IF(F384+O384=0,0,(H384+O384)/(F384+O384))</f>
        <v>0</v>
      </c>
      <c r="S384" s="8" t="n">
        <f aca="false">IF(F384=0,0,M384/F384)</f>
        <v>0</v>
      </c>
      <c r="T384" s="8" t="n">
        <f aca="false">S384+R384</f>
        <v>0</v>
      </c>
      <c r="U384" s="8" t="n">
        <f aca="false">S384-Q384</f>
        <v>0</v>
      </c>
    </row>
    <row r="385" customFormat="false" ht="14.25" hidden="false" customHeight="true" outlineLevel="0" collapsed="false">
      <c r="A385" s="6" t="s">
        <v>269</v>
      </c>
      <c r="B385" s="6" t="s">
        <v>121</v>
      </c>
      <c r="C385" s="7" t="n">
        <v>1</v>
      </c>
      <c r="D385" s="7" t="s">
        <v>607</v>
      </c>
      <c r="E385" s="7" t="n">
        <v>1</v>
      </c>
      <c r="F385" s="7" t="n">
        <v>3</v>
      </c>
      <c r="G385" s="7" t="n">
        <v>0</v>
      </c>
      <c r="H385" s="7" t="n">
        <v>0</v>
      </c>
      <c r="I385" s="7" t="n">
        <v>0</v>
      </c>
      <c r="J385" s="7" t="n">
        <v>0</v>
      </c>
      <c r="K385" s="7" t="n">
        <v>0</v>
      </c>
      <c r="L385" s="7" t="n">
        <v>0</v>
      </c>
      <c r="M385" s="7" t="n">
        <v>0</v>
      </c>
      <c r="N385" s="7" t="n">
        <v>0</v>
      </c>
      <c r="O385" s="7" t="n">
        <v>0</v>
      </c>
      <c r="P385" s="7" t="n">
        <v>0</v>
      </c>
      <c r="Q385" s="8" t="n">
        <f aca="false">IF(F385=0,0,H385/F385)</f>
        <v>0</v>
      </c>
      <c r="R385" s="8" t="n">
        <f aca="false">IF(F385+O385=0,0,(H385+O385)/(F385+O385))</f>
        <v>0</v>
      </c>
      <c r="S385" s="8" t="n">
        <f aca="false">IF(F385=0,0,M385/F385)</f>
        <v>0</v>
      </c>
      <c r="T385" s="8" t="n">
        <f aca="false">S385+R385</f>
        <v>0</v>
      </c>
      <c r="U385" s="8" t="n">
        <f aca="false">S385-Q385</f>
        <v>0</v>
      </c>
    </row>
    <row r="386" customFormat="false" ht="14.25" hidden="false" customHeight="true" outlineLevel="0" collapsed="false">
      <c r="A386" s="6" t="s">
        <v>224</v>
      </c>
      <c r="B386" s="6" t="s">
        <v>121</v>
      </c>
      <c r="C386" s="7" t="n">
        <v>1</v>
      </c>
      <c r="D386" s="7" t="s">
        <v>607</v>
      </c>
      <c r="E386" s="7" t="n">
        <v>1</v>
      </c>
      <c r="F386" s="7" t="n">
        <v>3</v>
      </c>
      <c r="G386" s="7" t="n">
        <v>0</v>
      </c>
      <c r="H386" s="7" t="n">
        <v>0</v>
      </c>
      <c r="I386" s="7" t="n">
        <v>0</v>
      </c>
      <c r="J386" s="7" t="n">
        <v>0</v>
      </c>
      <c r="K386" s="7" t="n">
        <v>0</v>
      </c>
      <c r="L386" s="7" t="n">
        <v>0</v>
      </c>
      <c r="M386" s="7" t="n">
        <v>0</v>
      </c>
      <c r="N386" s="7" t="n">
        <v>0</v>
      </c>
      <c r="O386" s="7" t="n">
        <v>0</v>
      </c>
      <c r="P386" s="7" t="n">
        <v>0</v>
      </c>
      <c r="Q386" s="8" t="n">
        <f aca="false">IF(F386=0,0,H386/F386)</f>
        <v>0</v>
      </c>
      <c r="R386" s="8" t="n">
        <f aca="false">IF(F386+O386=0,0,(H386+O386)/(F386+O386))</f>
        <v>0</v>
      </c>
      <c r="S386" s="8" t="n">
        <f aca="false">IF(F386=0,0,M386/F386)</f>
        <v>0</v>
      </c>
      <c r="T386" s="8" t="n">
        <f aca="false">S386+R386</f>
        <v>0</v>
      </c>
      <c r="U386" s="8" t="n">
        <f aca="false">S386-Q386</f>
        <v>0</v>
      </c>
    </row>
    <row r="387" customFormat="false" ht="14.25" hidden="false" customHeight="true" outlineLevel="0" collapsed="false">
      <c r="A387" s="6" t="s">
        <v>276</v>
      </c>
      <c r="B387" s="6" t="s">
        <v>166</v>
      </c>
      <c r="C387" s="7" t="n">
        <v>1</v>
      </c>
      <c r="D387" s="7" t="s">
        <v>607</v>
      </c>
      <c r="E387" s="7" t="n">
        <v>1</v>
      </c>
      <c r="F387" s="7" t="n">
        <v>3</v>
      </c>
      <c r="G387" s="7" t="n">
        <v>0</v>
      </c>
      <c r="H387" s="7" t="n">
        <v>0</v>
      </c>
      <c r="I387" s="7" t="n">
        <v>0</v>
      </c>
      <c r="J387" s="7" t="n">
        <v>0</v>
      </c>
      <c r="K387" s="7" t="n">
        <v>0</v>
      </c>
      <c r="L387" s="7" t="n">
        <v>0</v>
      </c>
      <c r="M387" s="7" t="n">
        <v>0</v>
      </c>
      <c r="N387" s="7" t="n">
        <v>0</v>
      </c>
      <c r="O387" s="7" t="n">
        <v>0</v>
      </c>
      <c r="P387" s="7" t="n">
        <v>0</v>
      </c>
      <c r="Q387" s="8" t="n">
        <f aca="false">IF(F387=0,0,H387/F387)</f>
        <v>0</v>
      </c>
      <c r="R387" s="8" t="n">
        <f aca="false">IF(F387+O387=0,0,(H387+O387)/(F387+O387))</f>
        <v>0</v>
      </c>
      <c r="S387" s="8" t="n">
        <f aca="false">IF(F387=0,0,M387/F387)</f>
        <v>0</v>
      </c>
      <c r="T387" s="8" t="n">
        <f aca="false">S387+R387</f>
        <v>0</v>
      </c>
      <c r="U387" s="8" t="n">
        <f aca="false">S387-Q387</f>
        <v>0</v>
      </c>
    </row>
    <row r="388" customFormat="false" ht="14.25" hidden="false" customHeight="true" outlineLevel="0" collapsed="false">
      <c r="A388" s="6" t="s">
        <v>248</v>
      </c>
      <c r="B388" s="6" t="s">
        <v>71</v>
      </c>
      <c r="C388" s="7" t="n">
        <v>1</v>
      </c>
      <c r="D388" s="7" t="s">
        <v>607</v>
      </c>
      <c r="E388" s="7" t="n">
        <v>1</v>
      </c>
      <c r="F388" s="7" t="n">
        <v>3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7" t="n">
        <v>0</v>
      </c>
      <c r="N388" s="7" t="n">
        <v>0</v>
      </c>
      <c r="O388" s="7" t="n">
        <v>0</v>
      </c>
      <c r="P388" s="7" t="n">
        <v>0</v>
      </c>
      <c r="Q388" s="8" t="n">
        <f aca="false">IF(F388=0,0,H388/F388)</f>
        <v>0</v>
      </c>
      <c r="R388" s="8" t="n">
        <f aca="false">IF(F388+O388=0,0,(H388+O388)/(F388+O388))</f>
        <v>0</v>
      </c>
      <c r="S388" s="8" t="n">
        <f aca="false">IF(F388=0,0,M388/F388)</f>
        <v>0</v>
      </c>
      <c r="T388" s="8" t="n">
        <f aca="false">S388+R388</f>
        <v>0</v>
      </c>
      <c r="U388" s="8" t="n">
        <f aca="false">S388-Q388</f>
        <v>0</v>
      </c>
    </row>
    <row r="389" customFormat="false" ht="14.25" hidden="false" customHeight="true" outlineLevel="0" collapsed="false">
      <c r="A389" s="6" t="s">
        <v>278</v>
      </c>
      <c r="B389" s="6" t="s">
        <v>192</v>
      </c>
      <c r="C389" s="7" t="n">
        <v>1</v>
      </c>
      <c r="D389" s="7" t="s">
        <v>607</v>
      </c>
      <c r="E389" s="7" t="n">
        <v>1</v>
      </c>
      <c r="F389" s="7" t="n">
        <v>3</v>
      </c>
      <c r="G389" s="7" t="n">
        <v>0</v>
      </c>
      <c r="H389" s="7" t="n">
        <v>0</v>
      </c>
      <c r="I389" s="7" t="n">
        <v>0</v>
      </c>
      <c r="J389" s="7" t="n">
        <v>0</v>
      </c>
      <c r="K389" s="7" t="n">
        <v>0</v>
      </c>
      <c r="L389" s="7" t="n">
        <v>0</v>
      </c>
      <c r="M389" s="7" t="n">
        <v>0</v>
      </c>
      <c r="N389" s="7" t="n">
        <v>1</v>
      </c>
      <c r="O389" s="7" t="n">
        <v>0</v>
      </c>
      <c r="P389" s="7" t="n">
        <v>0</v>
      </c>
      <c r="Q389" s="8" t="n">
        <f aca="false">IF(F389=0,0,H389/F389)</f>
        <v>0</v>
      </c>
      <c r="R389" s="8" t="n">
        <f aca="false">IF(F389+O389=0,0,(H389+O389)/(F389+O389))</f>
        <v>0</v>
      </c>
      <c r="S389" s="8" t="n">
        <f aca="false">IF(F389=0,0,M389/F389)</f>
        <v>0</v>
      </c>
      <c r="T389" s="8" t="n">
        <f aca="false">S389+R389</f>
        <v>0</v>
      </c>
      <c r="U389" s="8" t="n">
        <f aca="false">S389-Q389</f>
        <v>0</v>
      </c>
    </row>
    <row r="390" customFormat="false" ht="14.25" hidden="false" customHeight="true" outlineLevel="0" collapsed="false">
      <c r="A390" s="6" t="s">
        <v>94</v>
      </c>
      <c r="B390" s="6" t="s">
        <v>71</v>
      </c>
      <c r="C390" s="7" t="n">
        <v>1</v>
      </c>
      <c r="D390" s="7" t="s">
        <v>555</v>
      </c>
      <c r="E390" s="7" t="n">
        <v>2</v>
      </c>
      <c r="F390" s="7" t="n">
        <v>3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7" t="n">
        <v>0</v>
      </c>
      <c r="N390" s="7" t="n">
        <v>0</v>
      </c>
      <c r="O390" s="7" t="n">
        <v>0</v>
      </c>
      <c r="P390" s="7" t="n">
        <v>0</v>
      </c>
      <c r="Q390" s="8" t="n">
        <f aca="false">IF(F390=0,0,H390/F390)</f>
        <v>0</v>
      </c>
      <c r="R390" s="8" t="n">
        <f aca="false">IF(F390+O390=0,0,(H390+O390)/(F390+O390))</f>
        <v>0</v>
      </c>
      <c r="S390" s="8" t="n">
        <f aca="false">IF(F390=0,0,M390/F390)</f>
        <v>0</v>
      </c>
      <c r="T390" s="8" t="n">
        <f aca="false">S390+R390</f>
        <v>0</v>
      </c>
      <c r="U390" s="8" t="n">
        <f aca="false">S390-Q390</f>
        <v>0</v>
      </c>
    </row>
    <row r="391" customFormat="false" ht="14.25" hidden="false" customHeight="true" outlineLevel="0" collapsed="false">
      <c r="A391" s="6" t="s">
        <v>111</v>
      </c>
      <c r="B391" s="6" t="s">
        <v>97</v>
      </c>
      <c r="C391" s="7" t="n">
        <v>1</v>
      </c>
      <c r="D391" s="7" t="s">
        <v>555</v>
      </c>
      <c r="E391" s="7" t="n">
        <v>4</v>
      </c>
      <c r="F391" s="7" t="n">
        <v>12</v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0</v>
      </c>
      <c r="L391" s="7" t="n">
        <v>0</v>
      </c>
      <c r="M391" s="7" t="n">
        <v>0</v>
      </c>
      <c r="N391" s="7" t="n">
        <v>0</v>
      </c>
      <c r="O391" s="7" t="n">
        <v>0</v>
      </c>
      <c r="P391" s="7" t="n">
        <v>0</v>
      </c>
      <c r="Q391" s="8" t="n">
        <f aca="false">IF(F391=0,0,H391/F391)</f>
        <v>0</v>
      </c>
      <c r="R391" s="8" t="n">
        <f aca="false">IF(F391+O391=0,0,(H391+O391)/(F391+O391))</f>
        <v>0</v>
      </c>
      <c r="S391" s="8" t="n">
        <f aca="false">IF(F391=0,0,M391/F391)</f>
        <v>0</v>
      </c>
      <c r="T391" s="8" t="n">
        <f aca="false">S391+R391</f>
        <v>0</v>
      </c>
      <c r="U391" s="8" t="n">
        <f aca="false">S391-Q391</f>
        <v>0</v>
      </c>
    </row>
    <row r="392" customFormat="false" ht="14.25" hidden="false" customHeight="true" outlineLevel="0" collapsed="false">
      <c r="A392" s="6" t="s">
        <v>458</v>
      </c>
      <c r="B392" s="6" t="s">
        <v>50</v>
      </c>
      <c r="C392" s="7" t="n">
        <v>1</v>
      </c>
      <c r="D392" s="7" t="s">
        <v>571</v>
      </c>
      <c r="E392" s="7" t="n">
        <v>1</v>
      </c>
      <c r="F392" s="7" t="n">
        <v>2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7" t="n">
        <v>0</v>
      </c>
      <c r="N392" s="7" t="n">
        <v>0</v>
      </c>
      <c r="O392" s="7" t="n">
        <v>1</v>
      </c>
      <c r="P392" s="7" t="n">
        <v>0</v>
      </c>
      <c r="Q392" s="8" t="n">
        <f aca="false">IF(F392=0,0,H392/F392)</f>
        <v>0</v>
      </c>
      <c r="R392" s="8" t="n">
        <f aca="false">IF(F392+O392=0,0,(H392+O392)/(F392+O392))</f>
        <v>0.333333333333333</v>
      </c>
      <c r="S392" s="8" t="n">
        <f aca="false">IF(F392=0,0,M392/F392)</f>
        <v>0</v>
      </c>
      <c r="T392" s="8" t="n">
        <f aca="false">S392+R392</f>
        <v>0.333333333333333</v>
      </c>
      <c r="U392" s="8" t="n">
        <f aca="false">S392-Q392</f>
        <v>0</v>
      </c>
    </row>
    <row r="393" customFormat="false" ht="14.25" hidden="false" customHeight="true" outlineLevel="0" collapsed="false">
      <c r="A393" s="6" t="s">
        <v>461</v>
      </c>
      <c r="B393" s="6" t="s">
        <v>50</v>
      </c>
      <c r="C393" s="7" t="n">
        <v>1</v>
      </c>
      <c r="D393" s="7" t="s">
        <v>571</v>
      </c>
      <c r="E393" s="7" t="n">
        <v>1</v>
      </c>
      <c r="F393" s="7" t="n">
        <v>2</v>
      </c>
      <c r="G393" s="7" t="n">
        <v>0</v>
      </c>
      <c r="H393" s="7" t="n">
        <v>0</v>
      </c>
      <c r="I393" s="7" t="n">
        <v>0</v>
      </c>
      <c r="J393" s="7" t="n">
        <v>0</v>
      </c>
      <c r="K393" s="7" t="n">
        <v>0</v>
      </c>
      <c r="L393" s="7" t="n">
        <v>0</v>
      </c>
      <c r="M393" s="7" t="n">
        <v>0</v>
      </c>
      <c r="N393" s="7" t="n">
        <v>0</v>
      </c>
      <c r="O393" s="7" t="n">
        <v>0</v>
      </c>
      <c r="P393" s="7" t="n">
        <v>0</v>
      </c>
      <c r="Q393" s="8" t="n">
        <f aca="false">IF(F393=0,0,H393/F393)</f>
        <v>0</v>
      </c>
      <c r="R393" s="8" t="n">
        <f aca="false">IF(F393+O393=0,0,(H393+O393)/(F393+O393))</f>
        <v>0</v>
      </c>
      <c r="S393" s="8" t="n">
        <f aca="false">IF(F393=0,0,M393/F393)</f>
        <v>0</v>
      </c>
      <c r="T393" s="8" t="n">
        <f aca="false">S393+R393</f>
        <v>0</v>
      </c>
      <c r="U393" s="8" t="n">
        <f aca="false">S393-Q393</f>
        <v>0</v>
      </c>
    </row>
    <row r="394" customFormat="false" ht="14.25" hidden="false" customHeight="true" outlineLevel="0" collapsed="false">
      <c r="A394" s="6" t="s">
        <v>494</v>
      </c>
      <c r="B394" s="6" t="s">
        <v>166</v>
      </c>
      <c r="C394" s="7" t="n">
        <v>1</v>
      </c>
      <c r="D394" s="7" t="s">
        <v>571</v>
      </c>
      <c r="E394" s="7" t="n">
        <v>1</v>
      </c>
      <c r="F394" s="7" t="n">
        <v>2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7" t="n">
        <v>0</v>
      </c>
      <c r="N394" s="7" t="n">
        <v>0</v>
      </c>
      <c r="O394" s="7" t="n">
        <v>0</v>
      </c>
      <c r="P394" s="7" t="n">
        <v>0</v>
      </c>
      <c r="Q394" s="8" t="n">
        <f aca="false">IF(F394=0,0,H394/F394)</f>
        <v>0</v>
      </c>
      <c r="R394" s="8" t="n">
        <f aca="false">IF(F394+O394=0,0,(H394+O394)/(F394+O394))</f>
        <v>0</v>
      </c>
      <c r="S394" s="8" t="n">
        <f aca="false">IF(F394=0,0,M394/F394)</f>
        <v>0</v>
      </c>
      <c r="T394" s="8" t="n">
        <f aca="false">S394+R394</f>
        <v>0</v>
      </c>
      <c r="U394" s="8" t="n">
        <f aca="false">S394-Q394</f>
        <v>0</v>
      </c>
    </row>
    <row r="395" customFormat="false" ht="14.25" hidden="false" customHeight="true" outlineLevel="0" collapsed="false">
      <c r="A395" s="6" t="s">
        <v>492</v>
      </c>
      <c r="B395" s="6" t="s">
        <v>166</v>
      </c>
      <c r="C395" s="7" t="n">
        <v>1</v>
      </c>
      <c r="D395" s="7" t="s">
        <v>571</v>
      </c>
      <c r="E395" s="7" t="n">
        <v>1</v>
      </c>
      <c r="F395" s="7" t="n">
        <v>2</v>
      </c>
      <c r="G395" s="7" t="n">
        <v>0</v>
      </c>
      <c r="H395" s="7" t="n">
        <v>0</v>
      </c>
      <c r="I395" s="7" t="n">
        <v>0</v>
      </c>
      <c r="J395" s="7" t="n">
        <v>0</v>
      </c>
      <c r="K395" s="7" t="n">
        <v>0</v>
      </c>
      <c r="L395" s="7" t="n">
        <v>0</v>
      </c>
      <c r="M395" s="7" t="n">
        <v>0</v>
      </c>
      <c r="N395" s="7" t="n">
        <v>0</v>
      </c>
      <c r="O395" s="7" t="n">
        <v>1</v>
      </c>
      <c r="P395" s="7" t="n">
        <v>0</v>
      </c>
      <c r="Q395" s="8" t="n">
        <f aca="false">IF(F395=0,0,H395/F395)</f>
        <v>0</v>
      </c>
      <c r="R395" s="8" t="n">
        <f aca="false">IF(F395+O395=0,0,(H395+O395)/(F395+O395))</f>
        <v>0.333333333333333</v>
      </c>
      <c r="S395" s="8" t="n">
        <f aca="false">IF(F395=0,0,M395/F395)</f>
        <v>0</v>
      </c>
      <c r="T395" s="8" t="n">
        <f aca="false">S395+R395</f>
        <v>0.333333333333333</v>
      </c>
      <c r="U395" s="8" t="n">
        <f aca="false">S395-Q395</f>
        <v>0</v>
      </c>
    </row>
    <row r="396" customFormat="false" ht="14.25" hidden="false" customHeight="true" outlineLevel="0" collapsed="false">
      <c r="A396" s="6" t="s">
        <v>475</v>
      </c>
      <c r="B396" s="6" t="s">
        <v>97</v>
      </c>
      <c r="C396" s="7" t="n">
        <v>1</v>
      </c>
      <c r="D396" s="7" t="s">
        <v>571</v>
      </c>
      <c r="E396" s="7" t="n">
        <v>1</v>
      </c>
      <c r="F396" s="7" t="n">
        <v>2</v>
      </c>
      <c r="G396" s="7" t="n">
        <v>0</v>
      </c>
      <c r="H396" s="7" t="n">
        <v>0</v>
      </c>
      <c r="I396" s="7" t="n">
        <v>0</v>
      </c>
      <c r="J396" s="7" t="n">
        <v>0</v>
      </c>
      <c r="K396" s="7" t="n">
        <v>0</v>
      </c>
      <c r="L396" s="7" t="n">
        <v>0</v>
      </c>
      <c r="M396" s="7" t="n">
        <v>0</v>
      </c>
      <c r="N396" s="7" t="n">
        <v>0</v>
      </c>
      <c r="O396" s="7" t="n">
        <v>0</v>
      </c>
      <c r="P396" s="7" t="n">
        <v>0</v>
      </c>
      <c r="Q396" s="8" t="n">
        <f aca="false">IF(F396=0,0,H396/F396)</f>
        <v>0</v>
      </c>
      <c r="R396" s="8" t="n">
        <f aca="false">IF(F396+O396=0,0,(H396+O396)/(F396+O396))</f>
        <v>0</v>
      </c>
      <c r="S396" s="8" t="n">
        <f aca="false">IF(F396=0,0,M396/F396)</f>
        <v>0</v>
      </c>
      <c r="T396" s="8" t="n">
        <f aca="false">S396+R396</f>
        <v>0</v>
      </c>
      <c r="U396" s="8" t="n">
        <f aca="false">S396-Q396</f>
        <v>0</v>
      </c>
    </row>
    <row r="397" customFormat="false" ht="14.25" hidden="false" customHeight="true" outlineLevel="0" collapsed="false">
      <c r="A397" s="6" t="s">
        <v>480</v>
      </c>
      <c r="B397" s="6" t="s">
        <v>121</v>
      </c>
      <c r="C397" s="7" t="n">
        <v>2</v>
      </c>
      <c r="D397" s="7" t="s">
        <v>554</v>
      </c>
      <c r="E397" s="7" t="n">
        <v>2</v>
      </c>
      <c r="F397" s="7" t="n">
        <v>4</v>
      </c>
      <c r="G397" s="7" t="n">
        <v>1</v>
      </c>
      <c r="H397" s="7" t="n">
        <v>0</v>
      </c>
      <c r="I397" s="7" t="n">
        <v>0</v>
      </c>
      <c r="J397" s="7" t="n">
        <v>0</v>
      </c>
      <c r="K397" s="7" t="n">
        <v>0</v>
      </c>
      <c r="L397" s="7" t="n">
        <v>0</v>
      </c>
      <c r="M397" s="7" t="n">
        <v>0</v>
      </c>
      <c r="N397" s="7" t="n">
        <v>1</v>
      </c>
      <c r="O397" s="7" t="n">
        <v>1</v>
      </c>
      <c r="P397" s="7" t="n">
        <v>1</v>
      </c>
      <c r="Q397" s="8" t="n">
        <f aca="false">IF(F397=0,0,H397/F397)</f>
        <v>0</v>
      </c>
      <c r="R397" s="8" t="n">
        <f aca="false">IF(F397+O397=0,0,(H397+O397)/(F397+O397))</f>
        <v>0.2</v>
      </c>
      <c r="S397" s="8" t="n">
        <f aca="false">IF(F397=0,0,M397/F397)</f>
        <v>0</v>
      </c>
      <c r="T397" s="8" t="n">
        <f aca="false">S397+R397</f>
        <v>0.2</v>
      </c>
      <c r="U397" s="8" t="n">
        <f aca="false">S397-Q397</f>
        <v>0</v>
      </c>
    </row>
    <row r="398" customFormat="false" ht="14.25" hidden="false" customHeight="true" outlineLevel="0" collapsed="false">
      <c r="A398" s="6" t="s">
        <v>497</v>
      </c>
      <c r="B398" s="6" t="s">
        <v>192</v>
      </c>
      <c r="C398" s="7" t="n">
        <v>1</v>
      </c>
      <c r="D398" s="7" t="s">
        <v>571</v>
      </c>
      <c r="E398" s="7" t="n">
        <v>1</v>
      </c>
      <c r="F398" s="7" t="n">
        <v>2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0</v>
      </c>
      <c r="L398" s="7" t="n">
        <v>0</v>
      </c>
      <c r="M398" s="7" t="n">
        <v>0</v>
      </c>
      <c r="N398" s="7" t="n">
        <v>0</v>
      </c>
      <c r="O398" s="7" t="n">
        <v>0</v>
      </c>
      <c r="P398" s="7" t="n">
        <v>0</v>
      </c>
      <c r="Q398" s="8" t="n">
        <f aca="false">IF(F398=0,0,H398/F398)</f>
        <v>0</v>
      </c>
      <c r="R398" s="8" t="n">
        <f aca="false">IF(F398+O398=0,0,(H398+O398)/(F398+O398))</f>
        <v>0</v>
      </c>
      <c r="S398" s="8" t="n">
        <f aca="false">IF(F398=0,0,M398/F398)</f>
        <v>0</v>
      </c>
      <c r="T398" s="8" t="n">
        <f aca="false">S398+R398</f>
        <v>0</v>
      </c>
      <c r="U398" s="8" t="n">
        <f aca="false">S398-Q398</f>
        <v>0</v>
      </c>
    </row>
    <row r="399" customFormat="false" ht="14.25" hidden="false" customHeight="true" outlineLevel="0" collapsed="false">
      <c r="A399" s="6" t="s">
        <v>366</v>
      </c>
      <c r="B399" s="6" t="s">
        <v>192</v>
      </c>
      <c r="C399" s="7" t="n">
        <v>1</v>
      </c>
      <c r="D399" s="7" t="s">
        <v>571</v>
      </c>
      <c r="E399" s="7" t="n">
        <v>1</v>
      </c>
      <c r="F399" s="7" t="n">
        <v>2</v>
      </c>
      <c r="G399" s="7" t="n">
        <v>0</v>
      </c>
      <c r="H399" s="7" t="n">
        <v>0</v>
      </c>
      <c r="I399" s="7" t="n">
        <v>0</v>
      </c>
      <c r="J399" s="7" t="n">
        <v>0</v>
      </c>
      <c r="K399" s="7" t="n">
        <v>0</v>
      </c>
      <c r="L399" s="7" t="n">
        <v>0</v>
      </c>
      <c r="M399" s="7" t="n">
        <v>0</v>
      </c>
      <c r="N399" s="7" t="n">
        <v>0</v>
      </c>
      <c r="O399" s="7" t="n">
        <v>0</v>
      </c>
      <c r="P399" s="7" t="n">
        <v>0</v>
      </c>
      <c r="Q399" s="8" t="n">
        <f aca="false">IF(F399=0,0,H399/F399)</f>
        <v>0</v>
      </c>
      <c r="R399" s="8" t="n">
        <f aca="false">IF(F399+O399=0,0,(H399+O399)/(F399+O399))</f>
        <v>0</v>
      </c>
      <c r="S399" s="8" t="n">
        <f aca="false">IF(F399=0,0,M399/F399)</f>
        <v>0</v>
      </c>
      <c r="T399" s="8" t="n">
        <f aca="false">S399+R399</f>
        <v>0</v>
      </c>
      <c r="U399" s="8" t="n">
        <f aca="false">S399-Q399</f>
        <v>0</v>
      </c>
    </row>
    <row r="400" customFormat="false" ht="14.25" hidden="false" customHeight="true" outlineLevel="0" collapsed="false">
      <c r="A400" s="6" t="s">
        <v>481</v>
      </c>
      <c r="B400" s="6" t="s">
        <v>121</v>
      </c>
      <c r="C400" s="7" t="n">
        <v>1</v>
      </c>
      <c r="D400" s="7" t="s">
        <v>571</v>
      </c>
      <c r="E400" s="7" t="n">
        <v>1</v>
      </c>
      <c r="F400" s="7" t="n">
        <v>2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7" t="n">
        <v>0</v>
      </c>
      <c r="N400" s="7" t="n">
        <v>0</v>
      </c>
      <c r="O400" s="7" t="n">
        <v>0</v>
      </c>
      <c r="P400" s="7" t="n">
        <v>1</v>
      </c>
      <c r="Q400" s="8" t="n">
        <f aca="false">IF(F400=0,0,H400/F400)</f>
        <v>0</v>
      </c>
      <c r="R400" s="8" t="n">
        <f aca="false">IF(F400+O400=0,0,(H400+O400)/(F400+O400))</f>
        <v>0</v>
      </c>
      <c r="S400" s="8" t="n">
        <f aca="false">IF(F400=0,0,M400/F400)</f>
        <v>0</v>
      </c>
      <c r="T400" s="8" t="n">
        <f aca="false">S400+R400</f>
        <v>0</v>
      </c>
      <c r="U400" s="8" t="n">
        <f aca="false">S400-Q400</f>
        <v>0</v>
      </c>
    </row>
    <row r="401" customFormat="false" ht="14.25" hidden="false" customHeight="true" outlineLevel="0" collapsed="false">
      <c r="A401" s="6" t="s">
        <v>460</v>
      </c>
      <c r="B401" s="6" t="s">
        <v>212</v>
      </c>
      <c r="C401" s="7" t="n">
        <v>1</v>
      </c>
      <c r="D401" s="7" t="s">
        <v>571</v>
      </c>
      <c r="E401" s="7" t="n">
        <v>1</v>
      </c>
      <c r="F401" s="7" t="n">
        <v>2</v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0</v>
      </c>
      <c r="L401" s="7" t="n">
        <v>0</v>
      </c>
      <c r="M401" s="7" t="n">
        <v>0</v>
      </c>
      <c r="N401" s="7" t="n">
        <v>0</v>
      </c>
      <c r="O401" s="7" t="n">
        <v>0</v>
      </c>
      <c r="P401" s="7" t="n">
        <v>1</v>
      </c>
      <c r="Q401" s="8" t="n">
        <f aca="false">IF(F401=0,0,H401/F401)</f>
        <v>0</v>
      </c>
      <c r="R401" s="8" t="n">
        <f aca="false">IF(F401+O401=0,0,(H401+O401)/(F401+O401))</f>
        <v>0</v>
      </c>
      <c r="S401" s="8" t="n">
        <f aca="false">IF(F401=0,0,M401/F401)</f>
        <v>0</v>
      </c>
      <c r="T401" s="8" t="n">
        <f aca="false">S401+R401</f>
        <v>0</v>
      </c>
      <c r="U401" s="8" t="n">
        <f aca="false">S401-Q401</f>
        <v>0</v>
      </c>
    </row>
    <row r="402" customFormat="false" ht="14.25" hidden="false" customHeight="true" outlineLevel="0" collapsed="false">
      <c r="A402" s="6" t="s">
        <v>493</v>
      </c>
      <c r="B402" s="6" t="s">
        <v>166</v>
      </c>
      <c r="C402" s="7" t="n">
        <v>1</v>
      </c>
      <c r="D402" s="7" t="s">
        <v>571</v>
      </c>
      <c r="E402" s="7" t="n">
        <v>1</v>
      </c>
      <c r="F402" s="7" t="n">
        <v>2</v>
      </c>
      <c r="G402" s="7" t="n">
        <v>0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7" t="n">
        <v>0</v>
      </c>
      <c r="N402" s="7" t="n">
        <v>0</v>
      </c>
      <c r="O402" s="7" t="n">
        <v>1</v>
      </c>
      <c r="P402" s="7" t="n">
        <v>0</v>
      </c>
      <c r="Q402" s="8" t="n">
        <f aca="false">IF(F402=0,0,H402/F402)</f>
        <v>0</v>
      </c>
      <c r="R402" s="8" t="n">
        <f aca="false">IF(F402+O402=0,0,(H402+O402)/(F402+O402))</f>
        <v>0.333333333333333</v>
      </c>
      <c r="S402" s="8" t="n">
        <f aca="false">IF(F402=0,0,M402/F402)</f>
        <v>0</v>
      </c>
      <c r="T402" s="8" t="n">
        <f aca="false">S402+R402</f>
        <v>0.333333333333333</v>
      </c>
      <c r="U402" s="8" t="n">
        <f aca="false">S402-Q402</f>
        <v>0</v>
      </c>
    </row>
    <row r="403" customFormat="false" ht="14.25" hidden="false" customHeight="true" outlineLevel="0" collapsed="false">
      <c r="A403" s="6" t="s">
        <v>403</v>
      </c>
      <c r="B403" s="6" t="s">
        <v>71</v>
      </c>
      <c r="C403" s="7" t="n">
        <v>1</v>
      </c>
      <c r="D403" s="7" t="s">
        <v>568</v>
      </c>
      <c r="E403" s="7" t="n">
        <v>1</v>
      </c>
      <c r="F403" s="7" t="n">
        <v>2</v>
      </c>
      <c r="G403" s="7" t="n">
        <v>0</v>
      </c>
      <c r="H403" s="7" t="n">
        <v>0</v>
      </c>
      <c r="I403" s="7" t="n">
        <v>0</v>
      </c>
      <c r="J403" s="7" t="n">
        <v>0</v>
      </c>
      <c r="K403" s="7" t="n">
        <v>0</v>
      </c>
      <c r="L403" s="7" t="n">
        <v>0</v>
      </c>
      <c r="M403" s="7" t="n">
        <v>0</v>
      </c>
      <c r="N403" s="7" t="n">
        <v>0</v>
      </c>
      <c r="O403" s="7" t="n">
        <v>0</v>
      </c>
      <c r="P403" s="7" t="n">
        <v>0</v>
      </c>
      <c r="Q403" s="8" t="n">
        <f aca="false">IF(F403=0,0,H403/F403)</f>
        <v>0</v>
      </c>
      <c r="R403" s="8" t="n">
        <f aca="false">IF(F403+O403=0,0,(H403+O403)/(F403+O403))</f>
        <v>0</v>
      </c>
      <c r="S403" s="8" t="n">
        <f aca="false">IF(F403=0,0,M403/F403)</f>
        <v>0</v>
      </c>
      <c r="T403" s="8" t="n">
        <f aca="false">S403+R403</f>
        <v>0</v>
      </c>
      <c r="U403" s="8" t="n">
        <f aca="false">S403-Q403</f>
        <v>0</v>
      </c>
    </row>
    <row r="404" customFormat="false" ht="14.25" hidden="false" customHeight="true" outlineLevel="0" collapsed="false">
      <c r="A404" s="6" t="s">
        <v>414</v>
      </c>
      <c r="B404" s="6" t="s">
        <v>71</v>
      </c>
      <c r="C404" s="7" t="n">
        <v>1</v>
      </c>
      <c r="D404" s="7" t="s">
        <v>568</v>
      </c>
      <c r="E404" s="7" t="n">
        <v>1</v>
      </c>
      <c r="F404" s="7" t="n">
        <v>2</v>
      </c>
      <c r="G404" s="7" t="n">
        <v>0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7" t="n">
        <v>0</v>
      </c>
      <c r="N404" s="7" t="n">
        <v>0</v>
      </c>
      <c r="O404" s="7" t="n">
        <v>0</v>
      </c>
      <c r="P404" s="7" t="n">
        <v>0</v>
      </c>
      <c r="Q404" s="8" t="n">
        <f aca="false">IF(F404=0,0,H404/F404)</f>
        <v>0</v>
      </c>
      <c r="R404" s="8" t="n">
        <f aca="false">IF(F404+O404=0,0,(H404+O404)/(F404+O404))</f>
        <v>0</v>
      </c>
      <c r="S404" s="8" t="n">
        <f aca="false">IF(F404=0,0,M404/F404)</f>
        <v>0</v>
      </c>
      <c r="T404" s="8" t="n">
        <f aca="false">S404+R404</f>
        <v>0</v>
      </c>
      <c r="U404" s="8" t="n">
        <f aca="false">S404-Q404</f>
        <v>0</v>
      </c>
    </row>
    <row r="405" customFormat="false" ht="14.25" hidden="false" customHeight="true" outlineLevel="0" collapsed="false">
      <c r="A405" s="6" t="s">
        <v>415</v>
      </c>
      <c r="B405" s="6" t="s">
        <v>71</v>
      </c>
      <c r="C405" s="7" t="n">
        <v>1</v>
      </c>
      <c r="D405" s="7" t="s">
        <v>568</v>
      </c>
      <c r="E405" s="7" t="n">
        <v>1</v>
      </c>
      <c r="F405" s="7" t="n">
        <v>2</v>
      </c>
      <c r="G405" s="7" t="n">
        <v>0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0</v>
      </c>
      <c r="M405" s="7" t="n">
        <v>0</v>
      </c>
      <c r="N405" s="7" t="n">
        <v>0</v>
      </c>
      <c r="O405" s="7" t="n">
        <v>0</v>
      </c>
      <c r="P405" s="7" t="n">
        <v>0</v>
      </c>
      <c r="Q405" s="8" t="n">
        <f aca="false">IF(F405=0,0,H405/F405)</f>
        <v>0</v>
      </c>
      <c r="R405" s="8" t="n">
        <f aca="false">IF(F405+O405=0,0,(H405+O405)/(F405+O405))</f>
        <v>0</v>
      </c>
      <c r="S405" s="8" t="n">
        <f aca="false">IF(F405=0,0,M405/F405)</f>
        <v>0</v>
      </c>
      <c r="T405" s="8" t="n">
        <f aca="false">S405+R405</f>
        <v>0</v>
      </c>
      <c r="U405" s="8" t="n">
        <f aca="false">S405-Q405</f>
        <v>0</v>
      </c>
    </row>
    <row r="406" customFormat="false" ht="14.25" hidden="false" customHeight="true" outlineLevel="0" collapsed="false">
      <c r="A406" s="6" t="s">
        <v>416</v>
      </c>
      <c r="B406" s="6" t="s">
        <v>71</v>
      </c>
      <c r="C406" s="7" t="n">
        <v>1</v>
      </c>
      <c r="D406" s="7" t="s">
        <v>568</v>
      </c>
      <c r="E406" s="7" t="n">
        <v>1</v>
      </c>
      <c r="F406" s="7" t="n">
        <v>2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7" t="n">
        <v>0</v>
      </c>
      <c r="N406" s="7" t="n">
        <v>0</v>
      </c>
      <c r="O406" s="7" t="n">
        <v>0</v>
      </c>
      <c r="P406" s="7" t="n">
        <v>0</v>
      </c>
      <c r="Q406" s="8" t="n">
        <f aca="false">IF(F406=0,0,H406/F406)</f>
        <v>0</v>
      </c>
      <c r="R406" s="8" t="n">
        <f aca="false">IF(F406+O406=0,0,(H406+O406)/(F406+O406))</f>
        <v>0</v>
      </c>
      <c r="S406" s="8" t="n">
        <f aca="false">IF(F406=0,0,M406/F406)</f>
        <v>0</v>
      </c>
      <c r="T406" s="8" t="n">
        <f aca="false">S406+R406</f>
        <v>0</v>
      </c>
      <c r="U406" s="8" t="n">
        <f aca="false">S406-Q406</f>
        <v>0</v>
      </c>
    </row>
    <row r="407" customFormat="false" ht="14.25" hidden="false" customHeight="true" outlineLevel="0" collapsed="false">
      <c r="A407" s="6" t="s">
        <v>427</v>
      </c>
      <c r="B407" s="6" t="s">
        <v>121</v>
      </c>
      <c r="C407" s="7" t="n">
        <v>1</v>
      </c>
      <c r="D407" s="7" t="s">
        <v>568</v>
      </c>
      <c r="E407" s="7" t="n">
        <v>1</v>
      </c>
      <c r="F407" s="7" t="n">
        <v>2</v>
      </c>
      <c r="G407" s="7" t="n">
        <v>0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0</v>
      </c>
      <c r="M407" s="7" t="n">
        <v>0</v>
      </c>
      <c r="N407" s="7" t="n">
        <v>0</v>
      </c>
      <c r="O407" s="7" t="n">
        <v>0</v>
      </c>
      <c r="P407" s="7" t="n">
        <v>1</v>
      </c>
      <c r="Q407" s="8" t="n">
        <f aca="false">IF(F407=0,0,H407/F407)</f>
        <v>0</v>
      </c>
      <c r="R407" s="8" t="n">
        <f aca="false">IF(F407+O407=0,0,(H407+O407)/(F407+O407))</f>
        <v>0</v>
      </c>
      <c r="S407" s="8" t="n">
        <f aca="false">IF(F407=0,0,M407/F407)</f>
        <v>0</v>
      </c>
      <c r="T407" s="8" t="n">
        <f aca="false">S407+R407</f>
        <v>0</v>
      </c>
      <c r="U407" s="8" t="n">
        <f aca="false">S407-Q407</f>
        <v>0</v>
      </c>
    </row>
    <row r="408" customFormat="false" ht="14.25" hidden="false" customHeight="true" outlineLevel="0" collapsed="false">
      <c r="A408" s="6" t="s">
        <v>430</v>
      </c>
      <c r="B408" s="6" t="s">
        <v>121</v>
      </c>
      <c r="C408" s="7" t="n">
        <v>1</v>
      </c>
      <c r="D408" s="7" t="s">
        <v>568</v>
      </c>
      <c r="E408" s="7" t="n">
        <v>1</v>
      </c>
      <c r="F408" s="7" t="n">
        <v>2</v>
      </c>
      <c r="G408" s="7" t="n">
        <v>0</v>
      </c>
      <c r="H408" s="7" t="n">
        <v>0</v>
      </c>
      <c r="I408" s="7" t="n">
        <v>0</v>
      </c>
      <c r="J408" s="7" t="n">
        <v>0</v>
      </c>
      <c r="K408" s="7" t="n">
        <v>0</v>
      </c>
      <c r="L408" s="7" t="n">
        <v>0</v>
      </c>
      <c r="M408" s="7" t="n">
        <v>0</v>
      </c>
      <c r="N408" s="7" t="n">
        <v>0</v>
      </c>
      <c r="O408" s="7" t="n">
        <v>0</v>
      </c>
      <c r="P408" s="7" t="n">
        <v>0</v>
      </c>
      <c r="Q408" s="8" t="n">
        <f aca="false">IF(F408=0,0,H408/F408)</f>
        <v>0</v>
      </c>
      <c r="R408" s="8" t="n">
        <f aca="false">IF(F408+O408=0,0,(H408+O408)/(F408+O408))</f>
        <v>0</v>
      </c>
      <c r="S408" s="8" t="n">
        <f aca="false">IF(F408=0,0,M408/F408)</f>
        <v>0</v>
      </c>
      <c r="T408" s="8" t="n">
        <f aca="false">S408+R408</f>
        <v>0</v>
      </c>
      <c r="U408" s="8" t="n">
        <f aca="false">S408-Q408</f>
        <v>0</v>
      </c>
    </row>
    <row r="409" customFormat="false" ht="14.25" hidden="false" customHeight="true" outlineLevel="0" collapsed="false">
      <c r="A409" s="6" t="s">
        <v>441</v>
      </c>
      <c r="B409" s="6" t="s">
        <v>192</v>
      </c>
      <c r="C409" s="7" t="n">
        <v>1</v>
      </c>
      <c r="D409" s="7" t="s">
        <v>568</v>
      </c>
      <c r="E409" s="7" t="n">
        <v>1</v>
      </c>
      <c r="F409" s="7" t="n">
        <v>2</v>
      </c>
      <c r="G409" s="7" t="n">
        <v>1</v>
      </c>
      <c r="H409" s="7" t="n">
        <v>0</v>
      </c>
      <c r="I409" s="7" t="n">
        <v>0</v>
      </c>
      <c r="J409" s="7" t="n">
        <v>0</v>
      </c>
      <c r="K409" s="7" t="n">
        <v>0</v>
      </c>
      <c r="L409" s="7" t="n">
        <v>0</v>
      </c>
      <c r="M409" s="7" t="n">
        <v>0</v>
      </c>
      <c r="N409" s="7" t="n">
        <v>1</v>
      </c>
      <c r="O409" s="7" t="n">
        <v>0</v>
      </c>
      <c r="P409" s="7" t="n">
        <v>0</v>
      </c>
      <c r="Q409" s="8" t="n">
        <f aca="false">IF(F409=0,0,H409/F409)</f>
        <v>0</v>
      </c>
      <c r="R409" s="8" t="n">
        <f aca="false">IF(F409+O409=0,0,(H409+O409)/(F409+O409))</f>
        <v>0</v>
      </c>
      <c r="S409" s="8" t="n">
        <f aca="false">IF(F409=0,0,M409/F409)</f>
        <v>0</v>
      </c>
      <c r="T409" s="8" t="n">
        <f aca="false">S409+R409</f>
        <v>0</v>
      </c>
      <c r="U409" s="8" t="n">
        <f aca="false">S409-Q409</f>
        <v>0</v>
      </c>
    </row>
    <row r="410" customFormat="false" ht="14.25" hidden="false" customHeight="true" outlineLevel="0" collapsed="false">
      <c r="A410" s="6" t="s">
        <v>640</v>
      </c>
      <c r="B410" s="6" t="s">
        <v>212</v>
      </c>
      <c r="C410" s="7" t="n">
        <v>1</v>
      </c>
      <c r="D410" s="7" t="s">
        <v>568</v>
      </c>
      <c r="E410" s="7" t="n">
        <v>1</v>
      </c>
      <c r="F410" s="7" t="n">
        <v>2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  <c r="M410" s="7" t="n">
        <v>0</v>
      </c>
      <c r="N410" s="7" t="n">
        <v>0</v>
      </c>
      <c r="O410" s="7" t="n">
        <v>0</v>
      </c>
      <c r="P410" s="7" t="n">
        <v>0</v>
      </c>
      <c r="Q410" s="8" t="n">
        <f aca="false">IF(F410=0,0,H410/F410)</f>
        <v>0</v>
      </c>
      <c r="R410" s="8" t="n">
        <f aca="false">IF(F410+O410=0,0,(H410+O410)/(F410+O410))</f>
        <v>0</v>
      </c>
      <c r="S410" s="8" t="n">
        <f aca="false">IF(F410=0,0,M410/F410)</f>
        <v>0</v>
      </c>
      <c r="T410" s="8" t="n">
        <f aca="false">S410+R410</f>
        <v>0</v>
      </c>
      <c r="U410" s="8" t="n">
        <f aca="false">S410-Q410</f>
        <v>0</v>
      </c>
    </row>
    <row r="411" customFormat="false" ht="14.25" hidden="false" customHeight="true" outlineLevel="0" collapsed="false">
      <c r="A411" s="6" t="s">
        <v>442</v>
      </c>
      <c r="B411" s="6" t="s">
        <v>166</v>
      </c>
      <c r="C411" s="7" t="n">
        <v>1</v>
      </c>
      <c r="D411" s="7" t="s">
        <v>568</v>
      </c>
      <c r="E411" s="7" t="n">
        <v>1</v>
      </c>
      <c r="F411" s="7" t="n">
        <v>2</v>
      </c>
      <c r="G411" s="7" t="n">
        <v>0</v>
      </c>
      <c r="H411" s="7" t="n">
        <v>0</v>
      </c>
      <c r="I411" s="7" t="n">
        <v>0</v>
      </c>
      <c r="J411" s="7" t="n">
        <v>0</v>
      </c>
      <c r="K411" s="7" t="n">
        <v>0</v>
      </c>
      <c r="L411" s="7" t="n">
        <v>0</v>
      </c>
      <c r="M411" s="7" t="n">
        <v>0</v>
      </c>
      <c r="N411" s="7" t="n">
        <v>0</v>
      </c>
      <c r="O411" s="7" t="n">
        <v>0</v>
      </c>
      <c r="P411" s="7" t="n">
        <v>0</v>
      </c>
      <c r="Q411" s="8" t="n">
        <f aca="false">IF(F411=0,0,H411/F411)</f>
        <v>0</v>
      </c>
      <c r="R411" s="8" t="n">
        <f aca="false">IF(F411+O411=0,0,(H411+O411)/(F411+O411))</f>
        <v>0</v>
      </c>
      <c r="S411" s="8" t="n">
        <f aca="false">IF(F411=0,0,M411/F411)</f>
        <v>0</v>
      </c>
      <c r="T411" s="8" t="n">
        <f aca="false">S411+R411</f>
        <v>0</v>
      </c>
      <c r="U411" s="8" t="n">
        <f aca="false">S411-Q411</f>
        <v>0</v>
      </c>
    </row>
    <row r="412" customFormat="false" ht="14.25" hidden="false" customHeight="true" outlineLevel="0" collapsed="false">
      <c r="A412" s="6" t="s">
        <v>447</v>
      </c>
      <c r="B412" s="6" t="s">
        <v>192</v>
      </c>
      <c r="C412" s="7" t="n">
        <v>2</v>
      </c>
      <c r="D412" s="7" t="s">
        <v>574</v>
      </c>
      <c r="E412" s="7" t="n">
        <v>7</v>
      </c>
      <c r="F412" s="7" t="n">
        <v>19</v>
      </c>
      <c r="G412" s="7" t="n">
        <v>1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0</v>
      </c>
      <c r="M412" s="7" t="n">
        <v>0</v>
      </c>
      <c r="N412" s="7" t="n">
        <v>1</v>
      </c>
      <c r="O412" s="7" t="n">
        <v>0</v>
      </c>
      <c r="P412" s="7" t="n">
        <v>3</v>
      </c>
      <c r="Q412" s="8" t="n">
        <f aca="false">IF(F412=0,0,H412/F412)</f>
        <v>0</v>
      </c>
      <c r="R412" s="8" t="n">
        <f aca="false">IF(F412+O412=0,0,(H412+O412)/(F412+O412))</f>
        <v>0</v>
      </c>
      <c r="S412" s="8" t="n">
        <f aca="false">IF(F412=0,0,M412/F412)</f>
        <v>0</v>
      </c>
      <c r="T412" s="8" t="n">
        <f aca="false">S412+R412</f>
        <v>0</v>
      </c>
      <c r="U412" s="8" t="n">
        <f aca="false">S412-Q412</f>
        <v>0</v>
      </c>
    </row>
    <row r="413" customFormat="false" ht="14.25" hidden="false" customHeight="true" outlineLevel="0" collapsed="false">
      <c r="A413" s="6" t="s">
        <v>384</v>
      </c>
      <c r="B413" s="6" t="s">
        <v>97</v>
      </c>
      <c r="C413" s="7" t="n">
        <v>1</v>
      </c>
      <c r="D413" s="7" t="s">
        <v>601</v>
      </c>
      <c r="E413" s="7" t="n">
        <v>1</v>
      </c>
      <c r="F413" s="7" t="n">
        <v>2</v>
      </c>
      <c r="G413" s="7" t="n">
        <v>0</v>
      </c>
      <c r="H413" s="7" t="n">
        <v>0</v>
      </c>
      <c r="I413" s="7" t="n">
        <v>0</v>
      </c>
      <c r="J413" s="7" t="n">
        <v>0</v>
      </c>
      <c r="K413" s="7" t="n">
        <v>0</v>
      </c>
      <c r="L413" s="7" t="n">
        <v>0</v>
      </c>
      <c r="M413" s="7" t="n">
        <v>0</v>
      </c>
      <c r="N413" s="7" t="n">
        <v>0</v>
      </c>
      <c r="O413" s="7" t="n">
        <v>0</v>
      </c>
      <c r="P413" s="7" t="n">
        <v>0</v>
      </c>
      <c r="Q413" s="8" t="n">
        <f aca="false">IF(F413=0,0,H413/F413)</f>
        <v>0</v>
      </c>
      <c r="R413" s="8" t="n">
        <f aca="false">IF(F413+O413=0,0,(H413+O413)/(F413+O413))</f>
        <v>0</v>
      </c>
      <c r="S413" s="8" t="n">
        <f aca="false">IF(F413=0,0,M413/F413)</f>
        <v>0</v>
      </c>
      <c r="T413" s="8" t="n">
        <f aca="false">S413+R413</f>
        <v>0</v>
      </c>
      <c r="U413" s="8" t="n">
        <f aca="false">S413-Q413</f>
        <v>0</v>
      </c>
    </row>
    <row r="414" customFormat="false" ht="14.25" hidden="false" customHeight="true" outlineLevel="0" collapsed="false">
      <c r="A414" s="6" t="s">
        <v>383</v>
      </c>
      <c r="B414" s="6" t="s">
        <v>97</v>
      </c>
      <c r="C414" s="7" t="n">
        <v>1</v>
      </c>
      <c r="D414" s="7" t="s">
        <v>601</v>
      </c>
      <c r="E414" s="7" t="n">
        <v>1</v>
      </c>
      <c r="F414" s="7" t="n">
        <v>2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0</v>
      </c>
      <c r="M414" s="7" t="n">
        <v>0</v>
      </c>
      <c r="N414" s="7" t="n">
        <v>0</v>
      </c>
      <c r="O414" s="7" t="n">
        <v>0</v>
      </c>
      <c r="P414" s="7" t="n">
        <v>1</v>
      </c>
      <c r="Q414" s="8" t="n">
        <f aca="false">IF(F414=0,0,H414/F414)</f>
        <v>0</v>
      </c>
      <c r="R414" s="8" t="n">
        <f aca="false">IF(F414+O414=0,0,(H414+O414)/(F414+O414))</f>
        <v>0</v>
      </c>
      <c r="S414" s="8" t="n">
        <f aca="false">IF(F414=0,0,M414/F414)</f>
        <v>0</v>
      </c>
      <c r="T414" s="8" t="n">
        <f aca="false">S414+R414</f>
        <v>0</v>
      </c>
      <c r="U414" s="8" t="n">
        <f aca="false">S414-Q414</f>
        <v>0</v>
      </c>
    </row>
    <row r="415" customFormat="false" ht="14.25" hidden="false" customHeight="true" outlineLevel="0" collapsed="false">
      <c r="A415" s="6" t="s">
        <v>394</v>
      </c>
      <c r="B415" s="6" t="s">
        <v>147</v>
      </c>
      <c r="C415" s="7" t="n">
        <v>1</v>
      </c>
      <c r="D415" s="7" t="s">
        <v>601</v>
      </c>
      <c r="E415" s="7" t="n">
        <v>1</v>
      </c>
      <c r="F415" s="7" t="n">
        <v>2</v>
      </c>
      <c r="G415" s="7" t="n">
        <v>0</v>
      </c>
      <c r="H415" s="7" t="n">
        <v>0</v>
      </c>
      <c r="I415" s="7" t="n">
        <v>0</v>
      </c>
      <c r="J415" s="7" t="n">
        <v>0</v>
      </c>
      <c r="K415" s="7" t="n">
        <v>0</v>
      </c>
      <c r="L415" s="7" t="n">
        <v>0</v>
      </c>
      <c r="M415" s="7" t="n">
        <v>0</v>
      </c>
      <c r="N415" s="7" t="n">
        <v>0</v>
      </c>
      <c r="O415" s="7" t="n">
        <v>0</v>
      </c>
      <c r="P415" s="7" t="n">
        <v>0</v>
      </c>
      <c r="Q415" s="8" t="n">
        <f aca="false">IF(F415=0,0,H415/F415)</f>
        <v>0</v>
      </c>
      <c r="R415" s="8" t="n">
        <f aca="false">IF(F415+O415=0,0,(H415+O415)/(F415+O415))</f>
        <v>0</v>
      </c>
      <c r="S415" s="8" t="n">
        <f aca="false">IF(F415=0,0,M415/F415)</f>
        <v>0</v>
      </c>
      <c r="T415" s="8" t="n">
        <f aca="false">S415+R415</f>
        <v>0</v>
      </c>
      <c r="U415" s="8" t="n">
        <f aca="false">S415-Q415</f>
        <v>0</v>
      </c>
    </row>
    <row r="416" customFormat="false" ht="14.25" hidden="false" customHeight="true" outlineLevel="0" collapsed="false">
      <c r="A416" s="6" t="s">
        <v>387</v>
      </c>
      <c r="B416" s="6" t="s">
        <v>121</v>
      </c>
      <c r="C416" s="7" t="n">
        <v>1</v>
      </c>
      <c r="D416" s="7" t="s">
        <v>601</v>
      </c>
      <c r="E416" s="7" t="n">
        <v>1</v>
      </c>
      <c r="F416" s="7" t="n">
        <v>2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7" t="n">
        <v>0</v>
      </c>
      <c r="N416" s="7" t="n">
        <v>0</v>
      </c>
      <c r="O416" s="7" t="n">
        <v>0</v>
      </c>
      <c r="P416" s="7" t="n">
        <v>0</v>
      </c>
      <c r="Q416" s="8" t="n">
        <f aca="false">IF(F416=0,0,H416/F416)</f>
        <v>0</v>
      </c>
      <c r="R416" s="8" t="n">
        <f aca="false">IF(F416+O416=0,0,(H416+O416)/(F416+O416))</f>
        <v>0</v>
      </c>
      <c r="S416" s="8" t="n">
        <f aca="false">IF(F416=0,0,M416/F416)</f>
        <v>0</v>
      </c>
      <c r="T416" s="8" t="n">
        <f aca="false">S416+R416</f>
        <v>0</v>
      </c>
      <c r="U416" s="8" t="n">
        <f aca="false">S416-Q416</f>
        <v>0</v>
      </c>
    </row>
    <row r="417" customFormat="false" ht="14.25" hidden="false" customHeight="true" outlineLevel="0" collapsed="false">
      <c r="A417" s="6" t="s">
        <v>402</v>
      </c>
      <c r="B417" s="6" t="s">
        <v>192</v>
      </c>
      <c r="C417" s="7" t="n">
        <v>2</v>
      </c>
      <c r="D417" s="7" t="s">
        <v>602</v>
      </c>
      <c r="E417" s="7" t="n">
        <v>2</v>
      </c>
      <c r="F417" s="7" t="n">
        <v>2</v>
      </c>
      <c r="G417" s="7" t="n">
        <v>0</v>
      </c>
      <c r="H417" s="7" t="n">
        <v>0</v>
      </c>
      <c r="I417" s="7" t="n">
        <v>0</v>
      </c>
      <c r="J417" s="7" t="n">
        <v>0</v>
      </c>
      <c r="K417" s="7" t="n">
        <v>0</v>
      </c>
      <c r="L417" s="7" t="n">
        <v>0</v>
      </c>
      <c r="M417" s="7" t="n">
        <v>0</v>
      </c>
      <c r="N417" s="7" t="n">
        <v>0</v>
      </c>
      <c r="O417" s="7" t="n">
        <v>0</v>
      </c>
      <c r="P417" s="7" t="n">
        <v>2</v>
      </c>
      <c r="Q417" s="8" t="n">
        <f aca="false">IF(F417=0,0,H417/F417)</f>
        <v>0</v>
      </c>
      <c r="R417" s="8" t="n">
        <f aca="false">IF(F417+O417=0,0,(H417+O417)/(F417+O417))</f>
        <v>0</v>
      </c>
      <c r="S417" s="8" t="n">
        <f aca="false">IF(F417=0,0,M417/F417)</f>
        <v>0</v>
      </c>
      <c r="T417" s="8" t="n">
        <f aca="false">S417+R417</f>
        <v>0</v>
      </c>
      <c r="U417" s="8" t="n">
        <f aca="false">S417-Q417</f>
        <v>0</v>
      </c>
    </row>
    <row r="418" customFormat="false" ht="14.25" hidden="false" customHeight="true" outlineLevel="0" collapsed="false">
      <c r="A418" s="6" t="s">
        <v>409</v>
      </c>
      <c r="B418" s="6" t="s">
        <v>212</v>
      </c>
      <c r="C418" s="7" t="n">
        <v>1</v>
      </c>
      <c r="D418" s="7" t="s">
        <v>601</v>
      </c>
      <c r="E418" s="7" t="n">
        <v>1</v>
      </c>
      <c r="F418" s="7" t="n">
        <v>2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7" t="n">
        <v>0</v>
      </c>
      <c r="N418" s="7" t="n">
        <v>0</v>
      </c>
      <c r="O418" s="7" t="n">
        <v>0</v>
      </c>
      <c r="P418" s="7" t="n">
        <v>1</v>
      </c>
      <c r="Q418" s="8" t="n">
        <f aca="false">IF(F418=0,0,H418/F418)</f>
        <v>0</v>
      </c>
      <c r="R418" s="8" t="n">
        <f aca="false">IF(F418+O418=0,0,(H418+O418)/(F418+O418))</f>
        <v>0</v>
      </c>
      <c r="S418" s="8" t="n">
        <f aca="false">IF(F418=0,0,M418/F418)</f>
        <v>0</v>
      </c>
      <c r="T418" s="8" t="n">
        <f aca="false">S418+R418</f>
        <v>0</v>
      </c>
      <c r="U418" s="8" t="n">
        <f aca="false">S418-Q418</f>
        <v>0</v>
      </c>
    </row>
    <row r="419" customFormat="false" ht="14.25" hidden="false" customHeight="true" outlineLevel="0" collapsed="false">
      <c r="A419" s="6" t="s">
        <v>377</v>
      </c>
      <c r="B419" s="6" t="s">
        <v>71</v>
      </c>
      <c r="C419" s="7" t="n">
        <v>1</v>
      </c>
      <c r="D419" s="7" t="s">
        <v>601</v>
      </c>
      <c r="E419" s="7" t="n">
        <v>1</v>
      </c>
      <c r="F419" s="7" t="n">
        <v>2</v>
      </c>
      <c r="G419" s="7" t="n">
        <v>0</v>
      </c>
      <c r="H419" s="7" t="n">
        <v>0</v>
      </c>
      <c r="I419" s="7" t="n">
        <v>0</v>
      </c>
      <c r="J419" s="7" t="n">
        <v>0</v>
      </c>
      <c r="K419" s="7" t="n">
        <v>0</v>
      </c>
      <c r="L419" s="7" t="n">
        <v>0</v>
      </c>
      <c r="M419" s="7" t="n">
        <v>0</v>
      </c>
      <c r="N419" s="7" t="n">
        <v>0</v>
      </c>
      <c r="O419" s="7" t="n">
        <v>0</v>
      </c>
      <c r="P419" s="7" t="n">
        <v>0</v>
      </c>
      <c r="Q419" s="8" t="n">
        <f aca="false">IF(F419=0,0,H419/F419)</f>
        <v>0</v>
      </c>
      <c r="R419" s="8" t="n">
        <f aca="false">IF(F419+O419=0,0,(H419+O419)/(F419+O419))</f>
        <v>0</v>
      </c>
      <c r="S419" s="8" t="n">
        <f aca="false">IF(F419=0,0,M419/F419)</f>
        <v>0</v>
      </c>
      <c r="T419" s="8" t="n">
        <f aca="false">S419+R419</f>
        <v>0</v>
      </c>
      <c r="U419" s="8" t="n">
        <f aca="false">S419-Q419</f>
        <v>0</v>
      </c>
    </row>
    <row r="420" customFormat="false" ht="14.25" hidden="false" customHeight="true" outlineLevel="0" collapsed="false">
      <c r="A420" s="6" t="s">
        <v>405</v>
      </c>
      <c r="B420" s="6" t="s">
        <v>192</v>
      </c>
      <c r="C420" s="7" t="n">
        <v>1</v>
      </c>
      <c r="D420" s="7" t="s">
        <v>601</v>
      </c>
      <c r="E420" s="7" t="n">
        <v>1</v>
      </c>
      <c r="F420" s="7" t="n">
        <v>2</v>
      </c>
      <c r="G420" s="7" t="n">
        <v>0</v>
      </c>
      <c r="H420" s="7" t="n">
        <v>0</v>
      </c>
      <c r="I420" s="7" t="n">
        <v>0</v>
      </c>
      <c r="J420" s="7" t="n">
        <v>0</v>
      </c>
      <c r="K420" s="7" t="n">
        <v>0</v>
      </c>
      <c r="L420" s="7" t="n">
        <v>0</v>
      </c>
      <c r="M420" s="7" t="n">
        <v>0</v>
      </c>
      <c r="N420" s="7" t="n">
        <v>0</v>
      </c>
      <c r="O420" s="7" t="n">
        <v>0</v>
      </c>
      <c r="P420" s="7" t="n">
        <v>0</v>
      </c>
      <c r="Q420" s="8" t="n">
        <f aca="false">IF(F420=0,0,H420/F420)</f>
        <v>0</v>
      </c>
      <c r="R420" s="8" t="n">
        <f aca="false">IF(F420+O420=0,0,(H420+O420)/(F420+O420))</f>
        <v>0</v>
      </c>
      <c r="S420" s="8" t="n">
        <f aca="false">IF(F420=0,0,M420/F420)</f>
        <v>0</v>
      </c>
      <c r="T420" s="8" t="n">
        <f aca="false">S420+R420</f>
        <v>0</v>
      </c>
      <c r="U420" s="8" t="n">
        <f aca="false">S420-Q420</f>
        <v>0</v>
      </c>
    </row>
    <row r="421" customFormat="false" ht="14.25" hidden="false" customHeight="true" outlineLevel="0" collapsed="false">
      <c r="A421" s="6" t="s">
        <v>374</v>
      </c>
      <c r="B421" s="6" t="s">
        <v>71</v>
      </c>
      <c r="C421" s="7" t="n">
        <v>1</v>
      </c>
      <c r="D421" s="7" t="s">
        <v>601</v>
      </c>
      <c r="E421" s="7" t="n">
        <v>1</v>
      </c>
      <c r="F421" s="7" t="n">
        <v>2</v>
      </c>
      <c r="G421" s="7" t="n">
        <v>0</v>
      </c>
      <c r="H421" s="7" t="n">
        <v>0</v>
      </c>
      <c r="I421" s="7" t="n">
        <v>0</v>
      </c>
      <c r="J421" s="7" t="n">
        <v>0</v>
      </c>
      <c r="K421" s="7" t="n">
        <v>0</v>
      </c>
      <c r="L421" s="7" t="n">
        <v>0</v>
      </c>
      <c r="M421" s="7" t="n">
        <v>0</v>
      </c>
      <c r="N421" s="7" t="n">
        <v>0</v>
      </c>
      <c r="O421" s="7" t="n">
        <v>1</v>
      </c>
      <c r="P421" s="7" t="n">
        <v>1</v>
      </c>
      <c r="Q421" s="8" t="n">
        <f aca="false">IF(F421=0,0,H421/F421)</f>
        <v>0</v>
      </c>
      <c r="R421" s="8" t="n">
        <f aca="false">IF(F421+O421=0,0,(H421+O421)/(F421+O421))</f>
        <v>0.333333333333333</v>
      </c>
      <c r="S421" s="8" t="n">
        <f aca="false">IF(F421=0,0,M421/F421)</f>
        <v>0</v>
      </c>
      <c r="T421" s="8" t="n">
        <f aca="false">S421+R421</f>
        <v>0.333333333333333</v>
      </c>
      <c r="U421" s="8" t="n">
        <f aca="false">S421-Q421</f>
        <v>0</v>
      </c>
    </row>
    <row r="422" customFormat="false" ht="14.25" hidden="false" customHeight="true" outlineLevel="0" collapsed="false">
      <c r="A422" s="6" t="s">
        <v>351</v>
      </c>
      <c r="B422" s="6" t="s">
        <v>166</v>
      </c>
      <c r="C422" s="7" t="n">
        <v>2</v>
      </c>
      <c r="D422" s="7" t="s">
        <v>595</v>
      </c>
      <c r="E422" s="7" t="n">
        <v>2</v>
      </c>
      <c r="F422" s="7" t="n">
        <v>2</v>
      </c>
      <c r="G422" s="7" t="n">
        <v>2</v>
      </c>
      <c r="H422" s="7" t="n">
        <v>0</v>
      </c>
      <c r="I422" s="7" t="n">
        <v>0</v>
      </c>
      <c r="J422" s="7" t="n">
        <v>0</v>
      </c>
      <c r="K422" s="7" t="n">
        <v>0</v>
      </c>
      <c r="L422" s="7" t="n">
        <v>0</v>
      </c>
      <c r="M422" s="7" t="n">
        <v>0</v>
      </c>
      <c r="N422" s="7" t="n">
        <v>0</v>
      </c>
      <c r="O422" s="7" t="n">
        <v>3</v>
      </c>
      <c r="P422" s="7" t="n">
        <v>0</v>
      </c>
      <c r="Q422" s="8" t="n">
        <f aca="false">IF(F422=0,0,H422/F422)</f>
        <v>0</v>
      </c>
      <c r="R422" s="8" t="n">
        <f aca="false">IF(F422+O422=0,0,(H422+O422)/(F422+O422))</f>
        <v>0.6</v>
      </c>
      <c r="S422" s="8" t="n">
        <f aca="false">IF(F422=0,0,M422/F422)</f>
        <v>0</v>
      </c>
      <c r="T422" s="8" t="n">
        <f aca="false">S422+R422</f>
        <v>0.6</v>
      </c>
      <c r="U422" s="8" t="n">
        <f aca="false">S422-Q422</f>
        <v>0</v>
      </c>
    </row>
    <row r="423" customFormat="false" ht="14.25" hidden="false" customHeight="true" outlineLevel="0" collapsed="false">
      <c r="A423" s="6" t="s">
        <v>332</v>
      </c>
      <c r="B423" s="6" t="s">
        <v>97</v>
      </c>
      <c r="C423" s="7" t="n">
        <v>1</v>
      </c>
      <c r="D423" s="7" t="s">
        <v>570</v>
      </c>
      <c r="E423" s="7" t="n">
        <v>1</v>
      </c>
      <c r="F423" s="7" t="n">
        <v>2</v>
      </c>
      <c r="G423" s="7" t="n">
        <v>0</v>
      </c>
      <c r="H423" s="7" t="n">
        <v>0</v>
      </c>
      <c r="I423" s="7" t="n">
        <v>0</v>
      </c>
      <c r="J423" s="7" t="n">
        <v>0</v>
      </c>
      <c r="K423" s="7" t="n">
        <v>0</v>
      </c>
      <c r="L423" s="7" t="n">
        <v>0</v>
      </c>
      <c r="M423" s="7" t="n">
        <v>0</v>
      </c>
      <c r="N423" s="7" t="n">
        <v>0</v>
      </c>
      <c r="O423" s="7" t="n">
        <v>0</v>
      </c>
      <c r="P423" s="7" t="n">
        <v>0</v>
      </c>
      <c r="Q423" s="8" t="n">
        <f aca="false">IF(F423=0,0,H423/F423)</f>
        <v>0</v>
      </c>
      <c r="R423" s="8" t="n">
        <f aca="false">IF(F423+O423=0,0,(H423+O423)/(F423+O423))</f>
        <v>0</v>
      </c>
      <c r="S423" s="8" t="n">
        <f aca="false">IF(F423=0,0,M423/F423)</f>
        <v>0</v>
      </c>
      <c r="T423" s="8" t="n">
        <f aca="false">S423+R423</f>
        <v>0</v>
      </c>
      <c r="U423" s="8" t="n">
        <f aca="false">S423-Q423</f>
        <v>0</v>
      </c>
    </row>
    <row r="424" customFormat="false" ht="14.25" hidden="false" customHeight="true" outlineLevel="0" collapsed="false">
      <c r="A424" s="6" t="s">
        <v>346</v>
      </c>
      <c r="B424" s="6" t="s">
        <v>147</v>
      </c>
      <c r="C424" s="7" t="n">
        <v>1</v>
      </c>
      <c r="D424" s="7" t="s">
        <v>570</v>
      </c>
      <c r="E424" s="7" t="n">
        <v>1</v>
      </c>
      <c r="F424" s="7" t="n">
        <v>2</v>
      </c>
      <c r="G424" s="7" t="n">
        <v>0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7" t="n">
        <v>0</v>
      </c>
      <c r="N424" s="7" t="n">
        <v>0</v>
      </c>
      <c r="O424" s="7" t="n">
        <v>0</v>
      </c>
      <c r="P424" s="7" t="n">
        <v>0</v>
      </c>
      <c r="Q424" s="8" t="n">
        <f aca="false">IF(F424=0,0,H424/F424)</f>
        <v>0</v>
      </c>
      <c r="R424" s="8" t="n">
        <f aca="false">IF(F424+O424=0,0,(H424+O424)/(F424+O424))</f>
        <v>0</v>
      </c>
      <c r="S424" s="8" t="n">
        <f aca="false">IF(F424=0,0,M424/F424)</f>
        <v>0</v>
      </c>
      <c r="T424" s="8" t="n">
        <f aca="false">S424+R424</f>
        <v>0</v>
      </c>
      <c r="U424" s="8" t="n">
        <f aca="false">S424-Q424</f>
        <v>0</v>
      </c>
    </row>
    <row r="425" customFormat="false" ht="14.25" hidden="false" customHeight="true" outlineLevel="0" collapsed="false">
      <c r="A425" s="6" t="s">
        <v>317</v>
      </c>
      <c r="B425" s="6" t="s">
        <v>50</v>
      </c>
      <c r="C425" s="7" t="n">
        <v>1</v>
      </c>
      <c r="D425" s="7" t="s">
        <v>570</v>
      </c>
      <c r="E425" s="7" t="n">
        <v>1</v>
      </c>
      <c r="F425" s="7" t="n">
        <v>2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0</v>
      </c>
      <c r="L425" s="7" t="n">
        <v>0</v>
      </c>
      <c r="M425" s="7" t="n">
        <v>0</v>
      </c>
      <c r="N425" s="7" t="n">
        <v>0</v>
      </c>
      <c r="O425" s="7" t="n">
        <v>1</v>
      </c>
      <c r="P425" s="7" t="n">
        <v>0</v>
      </c>
      <c r="Q425" s="8" t="n">
        <f aca="false">IF(F425=0,0,H425/F425)</f>
        <v>0</v>
      </c>
      <c r="R425" s="8" t="n">
        <f aca="false">IF(F425+O425=0,0,(H425+O425)/(F425+O425))</f>
        <v>0.333333333333333</v>
      </c>
      <c r="S425" s="8" t="n">
        <f aca="false">IF(F425=0,0,M425/F425)</f>
        <v>0</v>
      </c>
      <c r="T425" s="8" t="n">
        <f aca="false">S425+R425</f>
        <v>0.333333333333333</v>
      </c>
      <c r="U425" s="8" t="n">
        <f aca="false">S425-Q425</f>
        <v>0</v>
      </c>
    </row>
    <row r="426" customFormat="false" ht="14.25" hidden="false" customHeight="true" outlineLevel="0" collapsed="false">
      <c r="A426" s="6" t="s">
        <v>337</v>
      </c>
      <c r="B426" s="6" t="s">
        <v>121</v>
      </c>
      <c r="C426" s="7" t="n">
        <v>1</v>
      </c>
      <c r="D426" s="7" t="s">
        <v>570</v>
      </c>
      <c r="E426" s="7" t="n">
        <v>1</v>
      </c>
      <c r="F426" s="7" t="n">
        <v>2</v>
      </c>
      <c r="G426" s="7" t="n">
        <v>1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7" t="n">
        <v>0</v>
      </c>
      <c r="N426" s="7" t="n">
        <v>0</v>
      </c>
      <c r="O426" s="7" t="n">
        <v>1</v>
      </c>
      <c r="P426" s="7" t="n">
        <v>1</v>
      </c>
      <c r="Q426" s="8" t="n">
        <f aca="false">IF(F426=0,0,H426/F426)</f>
        <v>0</v>
      </c>
      <c r="R426" s="8" t="n">
        <f aca="false">IF(F426+O426=0,0,(H426+O426)/(F426+O426))</f>
        <v>0.333333333333333</v>
      </c>
      <c r="S426" s="8" t="n">
        <f aca="false">IF(F426=0,0,M426/F426)</f>
        <v>0</v>
      </c>
      <c r="T426" s="8" t="n">
        <f aca="false">S426+R426</f>
        <v>0.333333333333333</v>
      </c>
      <c r="U426" s="8" t="n">
        <f aca="false">S426-Q426</f>
        <v>0</v>
      </c>
    </row>
    <row r="427" customFormat="false" ht="14.25" hidden="false" customHeight="true" outlineLevel="0" collapsed="false">
      <c r="A427" s="6" t="s">
        <v>354</v>
      </c>
      <c r="B427" s="6" t="s">
        <v>166</v>
      </c>
      <c r="C427" s="7" t="n">
        <v>1</v>
      </c>
      <c r="D427" s="7" t="s">
        <v>570</v>
      </c>
      <c r="E427" s="7" t="n">
        <v>1</v>
      </c>
      <c r="F427" s="7" t="n">
        <v>2</v>
      </c>
      <c r="G427" s="7" t="n">
        <v>0</v>
      </c>
      <c r="H427" s="7" t="n">
        <v>0</v>
      </c>
      <c r="I427" s="7" t="n">
        <v>0</v>
      </c>
      <c r="J427" s="7" t="n">
        <v>0</v>
      </c>
      <c r="K427" s="7" t="n">
        <v>0</v>
      </c>
      <c r="L427" s="7" t="n">
        <v>0</v>
      </c>
      <c r="M427" s="7" t="n">
        <v>0</v>
      </c>
      <c r="N427" s="7" t="n">
        <v>0</v>
      </c>
      <c r="O427" s="7" t="n">
        <v>0</v>
      </c>
      <c r="P427" s="7" t="n">
        <v>0</v>
      </c>
      <c r="Q427" s="8" t="n">
        <f aca="false">IF(F427=0,0,H427/F427)</f>
        <v>0</v>
      </c>
      <c r="R427" s="8" t="n">
        <f aca="false">IF(F427+O427=0,0,(H427+O427)/(F427+O427))</f>
        <v>0</v>
      </c>
      <c r="S427" s="8" t="n">
        <f aca="false">IF(F427=0,0,M427/F427)</f>
        <v>0</v>
      </c>
      <c r="T427" s="8" t="n">
        <f aca="false">S427+R427</f>
        <v>0</v>
      </c>
      <c r="U427" s="8" t="n">
        <f aca="false">S427-Q427</f>
        <v>0</v>
      </c>
    </row>
    <row r="428" customFormat="false" ht="14.25" hidden="false" customHeight="true" outlineLevel="0" collapsed="false">
      <c r="A428" s="6" t="s">
        <v>356</v>
      </c>
      <c r="B428" s="6" t="s">
        <v>192</v>
      </c>
      <c r="C428" s="7" t="n">
        <v>1</v>
      </c>
      <c r="D428" s="7" t="s">
        <v>570</v>
      </c>
      <c r="E428" s="7" t="n">
        <v>1</v>
      </c>
      <c r="F428" s="7" t="n">
        <v>2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7" t="n">
        <v>0</v>
      </c>
      <c r="N428" s="7" t="n">
        <v>0</v>
      </c>
      <c r="O428" s="7" t="n">
        <v>0</v>
      </c>
      <c r="P428" s="7" t="n">
        <v>0</v>
      </c>
      <c r="Q428" s="8" t="n">
        <f aca="false">IF(F428=0,0,H428/F428)</f>
        <v>0</v>
      </c>
      <c r="R428" s="8" t="n">
        <f aca="false">IF(F428+O428=0,0,(H428+O428)/(F428+O428))</f>
        <v>0</v>
      </c>
      <c r="S428" s="8" t="n">
        <f aca="false">IF(F428=0,0,M428/F428)</f>
        <v>0</v>
      </c>
      <c r="T428" s="8" t="n">
        <f aca="false">S428+R428</f>
        <v>0</v>
      </c>
      <c r="U428" s="8" t="n">
        <f aca="false">S428-Q428</f>
        <v>0</v>
      </c>
    </row>
    <row r="429" customFormat="false" ht="14.25" hidden="false" customHeight="true" outlineLevel="0" collapsed="false">
      <c r="A429" s="6" t="s">
        <v>366</v>
      </c>
      <c r="B429" s="6" t="s">
        <v>212</v>
      </c>
      <c r="C429" s="7" t="n">
        <v>1</v>
      </c>
      <c r="D429" s="7" t="s">
        <v>570</v>
      </c>
      <c r="E429" s="7" t="n">
        <v>1</v>
      </c>
      <c r="F429" s="7" t="n">
        <v>2</v>
      </c>
      <c r="G429" s="7" t="n">
        <v>0</v>
      </c>
      <c r="H429" s="7" t="n">
        <v>0</v>
      </c>
      <c r="I429" s="7" t="n">
        <v>0</v>
      </c>
      <c r="J429" s="7" t="n">
        <v>0</v>
      </c>
      <c r="K429" s="7" t="n">
        <v>0</v>
      </c>
      <c r="L429" s="7" t="n">
        <v>0</v>
      </c>
      <c r="M429" s="7" t="n">
        <v>0</v>
      </c>
      <c r="N429" s="7" t="n">
        <v>0</v>
      </c>
      <c r="O429" s="7" t="n">
        <v>0</v>
      </c>
      <c r="P429" s="7" t="n">
        <v>0</v>
      </c>
      <c r="Q429" s="8" t="n">
        <f aca="false">IF(F429=0,0,H429/F429)</f>
        <v>0</v>
      </c>
      <c r="R429" s="8" t="n">
        <f aca="false">IF(F429+O429=0,0,(H429+O429)/(F429+O429))</f>
        <v>0</v>
      </c>
      <c r="S429" s="8" t="n">
        <f aca="false">IF(F429=0,0,M429/F429)</f>
        <v>0</v>
      </c>
      <c r="T429" s="8" t="n">
        <f aca="false">S429+R429</f>
        <v>0</v>
      </c>
      <c r="U429" s="8" t="n">
        <f aca="false">S429-Q429</f>
        <v>0</v>
      </c>
    </row>
    <row r="430" customFormat="false" ht="14.25" hidden="false" customHeight="true" outlineLevel="0" collapsed="false">
      <c r="A430" s="6" t="s">
        <v>300</v>
      </c>
      <c r="B430" s="6" t="s">
        <v>121</v>
      </c>
      <c r="C430" s="7" t="n">
        <v>1</v>
      </c>
      <c r="D430" s="7" t="s">
        <v>613</v>
      </c>
      <c r="E430" s="7" t="n">
        <v>1</v>
      </c>
      <c r="F430" s="7" t="n">
        <v>2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7" t="n">
        <v>0</v>
      </c>
      <c r="N430" s="7" t="n">
        <v>0</v>
      </c>
      <c r="O430" s="7" t="n">
        <v>0</v>
      </c>
      <c r="P430" s="7" t="n">
        <v>0</v>
      </c>
      <c r="Q430" s="8" t="n">
        <f aca="false">IF(F430=0,0,H430/F430)</f>
        <v>0</v>
      </c>
      <c r="R430" s="8" t="n">
        <f aca="false">IF(F430+O430=0,0,(H430+O430)/(F430+O430))</f>
        <v>0</v>
      </c>
      <c r="S430" s="8" t="n">
        <f aca="false">IF(F430=0,0,M430/F430)</f>
        <v>0</v>
      </c>
      <c r="T430" s="8" t="n">
        <f aca="false">S430+R430</f>
        <v>0</v>
      </c>
      <c r="U430" s="8" t="n">
        <f aca="false">S430-Q430</f>
        <v>0</v>
      </c>
    </row>
    <row r="431" customFormat="false" ht="14.25" hidden="false" customHeight="true" outlineLevel="0" collapsed="false">
      <c r="A431" s="6" t="s">
        <v>296</v>
      </c>
      <c r="B431" s="6" t="s">
        <v>97</v>
      </c>
      <c r="C431" s="7" t="n">
        <v>1</v>
      </c>
      <c r="D431" s="7" t="s">
        <v>613</v>
      </c>
      <c r="E431" s="7" t="n">
        <v>1</v>
      </c>
      <c r="F431" s="7" t="n">
        <v>2</v>
      </c>
      <c r="G431" s="7" t="n">
        <v>0</v>
      </c>
      <c r="H431" s="7" t="n">
        <v>0</v>
      </c>
      <c r="I431" s="7" t="n">
        <v>0</v>
      </c>
      <c r="J431" s="7" t="n">
        <v>0</v>
      </c>
      <c r="K431" s="7" t="n">
        <v>0</v>
      </c>
      <c r="L431" s="7" t="n">
        <v>0</v>
      </c>
      <c r="M431" s="7" t="n">
        <v>0</v>
      </c>
      <c r="N431" s="7" t="n">
        <v>0</v>
      </c>
      <c r="O431" s="7" t="n">
        <v>0</v>
      </c>
      <c r="P431" s="7" t="n">
        <v>0</v>
      </c>
      <c r="Q431" s="8" t="n">
        <f aca="false">IF(F431=0,0,H431/F431)</f>
        <v>0</v>
      </c>
      <c r="R431" s="8" t="n">
        <f aca="false">IF(F431+O431=0,0,(H431+O431)/(F431+O431))</f>
        <v>0</v>
      </c>
      <c r="S431" s="8" t="n">
        <f aca="false">IF(F431=0,0,M431/F431)</f>
        <v>0</v>
      </c>
      <c r="T431" s="8" t="n">
        <f aca="false">S431+R431</f>
        <v>0</v>
      </c>
      <c r="U431" s="8" t="n">
        <f aca="false">S431-Q431</f>
        <v>0</v>
      </c>
    </row>
    <row r="432" customFormat="false" ht="14.25" hidden="false" customHeight="true" outlineLevel="0" collapsed="false">
      <c r="A432" s="6" t="s">
        <v>263</v>
      </c>
      <c r="B432" s="6" t="s">
        <v>97</v>
      </c>
      <c r="C432" s="7" t="n">
        <v>1</v>
      </c>
      <c r="D432" s="7" t="s">
        <v>607</v>
      </c>
      <c r="E432" s="7" t="n">
        <v>1</v>
      </c>
      <c r="F432" s="7" t="n">
        <v>2</v>
      </c>
      <c r="G432" s="7" t="n">
        <v>0</v>
      </c>
      <c r="H432" s="7" t="n">
        <v>0</v>
      </c>
      <c r="I432" s="7" t="n">
        <v>0</v>
      </c>
      <c r="J432" s="7" t="n">
        <v>0</v>
      </c>
      <c r="K432" s="7" t="n">
        <v>0</v>
      </c>
      <c r="L432" s="7" t="n">
        <v>0</v>
      </c>
      <c r="M432" s="7" t="n">
        <v>0</v>
      </c>
      <c r="N432" s="7" t="n">
        <v>0</v>
      </c>
      <c r="O432" s="7" t="n">
        <v>0</v>
      </c>
      <c r="P432" s="7" t="n">
        <v>0</v>
      </c>
      <c r="Q432" s="8" t="n">
        <f aca="false">IF(F432=0,0,H432/F432)</f>
        <v>0</v>
      </c>
      <c r="R432" s="8" t="n">
        <f aca="false">IF(F432+O432=0,0,(H432+O432)/(F432+O432))</f>
        <v>0</v>
      </c>
      <c r="S432" s="8" t="n">
        <f aca="false">IF(F432=0,0,M432/F432)</f>
        <v>0</v>
      </c>
      <c r="T432" s="8" t="n">
        <f aca="false">S432+R432</f>
        <v>0</v>
      </c>
      <c r="U432" s="8" t="n">
        <f aca="false">S432-Q432</f>
        <v>0</v>
      </c>
    </row>
    <row r="433" customFormat="false" ht="14.25" hidden="false" customHeight="true" outlineLevel="0" collapsed="false">
      <c r="A433" s="6" t="s">
        <v>247</v>
      </c>
      <c r="B433" s="6" t="s">
        <v>71</v>
      </c>
      <c r="C433" s="7" t="n">
        <v>1</v>
      </c>
      <c r="D433" s="7" t="s">
        <v>607</v>
      </c>
      <c r="E433" s="7" t="n">
        <v>1</v>
      </c>
      <c r="F433" s="7" t="n">
        <v>2</v>
      </c>
      <c r="G433" s="7" t="n">
        <v>1</v>
      </c>
      <c r="H433" s="7" t="n">
        <v>0</v>
      </c>
      <c r="I433" s="7" t="n">
        <v>0</v>
      </c>
      <c r="J433" s="7" t="n">
        <v>0</v>
      </c>
      <c r="K433" s="7" t="n">
        <v>0</v>
      </c>
      <c r="L433" s="7" t="n">
        <v>0</v>
      </c>
      <c r="M433" s="7" t="n">
        <v>0</v>
      </c>
      <c r="N433" s="7" t="n">
        <v>0</v>
      </c>
      <c r="O433" s="7" t="n">
        <v>1</v>
      </c>
      <c r="P433" s="7" t="n">
        <v>0</v>
      </c>
      <c r="Q433" s="8" t="n">
        <f aca="false">IF(F433=0,0,H433/F433)</f>
        <v>0</v>
      </c>
      <c r="R433" s="8" t="n">
        <f aca="false">IF(F433+O433=0,0,(H433+O433)/(F433+O433))</f>
        <v>0.333333333333333</v>
      </c>
      <c r="S433" s="8" t="n">
        <f aca="false">IF(F433=0,0,M433/F433)</f>
        <v>0</v>
      </c>
      <c r="T433" s="8" t="n">
        <f aca="false">S433+R433</f>
        <v>0.333333333333333</v>
      </c>
      <c r="U433" s="8" t="n">
        <f aca="false">S433-Q433</f>
        <v>0</v>
      </c>
    </row>
    <row r="434" customFormat="false" ht="14.25" hidden="false" customHeight="true" outlineLevel="0" collapsed="false">
      <c r="A434" s="6" t="s">
        <v>259</v>
      </c>
      <c r="B434" s="6" t="s">
        <v>97</v>
      </c>
      <c r="C434" s="7" t="n">
        <v>1</v>
      </c>
      <c r="D434" s="7" t="s">
        <v>607</v>
      </c>
      <c r="E434" s="7" t="n">
        <v>1</v>
      </c>
      <c r="F434" s="7" t="n">
        <v>2</v>
      </c>
      <c r="G434" s="7" t="n">
        <v>0</v>
      </c>
      <c r="H434" s="7" t="n">
        <v>0</v>
      </c>
      <c r="I434" s="7" t="n">
        <v>0</v>
      </c>
      <c r="J434" s="7" t="n">
        <v>0</v>
      </c>
      <c r="K434" s="7" t="n">
        <v>0</v>
      </c>
      <c r="L434" s="7" t="n">
        <v>0</v>
      </c>
      <c r="M434" s="7" t="n">
        <v>0</v>
      </c>
      <c r="N434" s="7" t="n">
        <v>0</v>
      </c>
      <c r="O434" s="7" t="n">
        <v>0</v>
      </c>
      <c r="P434" s="7" t="n">
        <v>2</v>
      </c>
      <c r="Q434" s="8" t="n">
        <f aca="false">IF(F434=0,0,H434/F434)</f>
        <v>0</v>
      </c>
      <c r="R434" s="8" t="n">
        <f aca="false">IF(F434+O434=0,0,(H434+O434)/(F434+O434))</f>
        <v>0</v>
      </c>
      <c r="S434" s="8" t="n">
        <f aca="false">IF(F434=0,0,M434/F434)</f>
        <v>0</v>
      </c>
      <c r="T434" s="8" t="n">
        <f aca="false">S434+R434</f>
        <v>0</v>
      </c>
      <c r="U434" s="8" t="n">
        <f aca="false">S434-Q434</f>
        <v>0</v>
      </c>
    </row>
    <row r="435" customFormat="false" ht="14.25" hidden="false" customHeight="true" outlineLevel="0" collapsed="false">
      <c r="A435" s="6" t="s">
        <v>264</v>
      </c>
      <c r="B435" s="6" t="s">
        <v>97</v>
      </c>
      <c r="C435" s="7" t="n">
        <v>1</v>
      </c>
      <c r="D435" s="7" t="s">
        <v>607</v>
      </c>
      <c r="E435" s="7" t="n">
        <v>1</v>
      </c>
      <c r="F435" s="7" t="n">
        <v>2</v>
      </c>
      <c r="G435" s="7" t="n">
        <v>0</v>
      </c>
      <c r="H435" s="7" t="n">
        <v>0</v>
      </c>
      <c r="I435" s="7" t="n">
        <v>0</v>
      </c>
      <c r="J435" s="7" t="n">
        <v>0</v>
      </c>
      <c r="K435" s="7" t="n">
        <v>0</v>
      </c>
      <c r="L435" s="7" t="n">
        <v>0</v>
      </c>
      <c r="M435" s="7" t="n">
        <v>0</v>
      </c>
      <c r="N435" s="7" t="n">
        <v>0</v>
      </c>
      <c r="O435" s="7" t="n">
        <v>0</v>
      </c>
      <c r="P435" s="7" t="n">
        <v>0</v>
      </c>
      <c r="Q435" s="8" t="n">
        <f aca="false">IF(F435=0,0,H435/F435)</f>
        <v>0</v>
      </c>
      <c r="R435" s="8" t="n">
        <f aca="false">IF(F435+O435=0,0,(H435+O435)/(F435+O435))</f>
        <v>0</v>
      </c>
      <c r="S435" s="8" t="n">
        <f aca="false">IF(F435=0,0,M435/F435)</f>
        <v>0</v>
      </c>
      <c r="T435" s="8" t="n">
        <f aca="false">S435+R435</f>
        <v>0</v>
      </c>
      <c r="U435" s="8" t="n">
        <f aca="false">S435-Q435</f>
        <v>0</v>
      </c>
    </row>
    <row r="436" customFormat="false" ht="14.25" hidden="false" customHeight="true" outlineLevel="0" collapsed="false">
      <c r="A436" s="6" t="s">
        <v>274</v>
      </c>
      <c r="B436" s="6" t="s">
        <v>166</v>
      </c>
      <c r="C436" s="7" t="n">
        <v>1</v>
      </c>
      <c r="D436" s="7" t="s">
        <v>607</v>
      </c>
      <c r="E436" s="7" t="n">
        <v>1</v>
      </c>
      <c r="F436" s="7" t="n">
        <v>2</v>
      </c>
      <c r="G436" s="7" t="n">
        <v>0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0</v>
      </c>
      <c r="M436" s="7" t="n">
        <v>0</v>
      </c>
      <c r="N436" s="7" t="n">
        <v>0</v>
      </c>
      <c r="O436" s="7" t="n">
        <v>0</v>
      </c>
      <c r="P436" s="7" t="n">
        <v>1</v>
      </c>
      <c r="Q436" s="8" t="n">
        <f aca="false">IF(F436=0,0,H436/F436)</f>
        <v>0</v>
      </c>
      <c r="R436" s="8" t="n">
        <f aca="false">IF(F436+O436=0,0,(H436+O436)/(F436+O436))</f>
        <v>0</v>
      </c>
      <c r="S436" s="8" t="n">
        <f aca="false">IF(F436=0,0,M436/F436)</f>
        <v>0</v>
      </c>
      <c r="T436" s="8" t="n">
        <f aca="false">S436+R436</f>
        <v>0</v>
      </c>
      <c r="U436" s="8" t="n">
        <f aca="false">S436-Q436</f>
        <v>0</v>
      </c>
    </row>
    <row r="437" customFormat="false" ht="14.25" hidden="false" customHeight="true" outlineLevel="0" collapsed="false">
      <c r="A437" s="6" t="s">
        <v>112</v>
      </c>
      <c r="B437" s="6" t="s">
        <v>97</v>
      </c>
      <c r="C437" s="7" t="n">
        <v>1</v>
      </c>
      <c r="D437" s="7" t="s">
        <v>555</v>
      </c>
      <c r="E437" s="7" t="n">
        <v>2</v>
      </c>
      <c r="F437" s="7" t="n">
        <v>3</v>
      </c>
      <c r="G437" s="7" t="n">
        <v>0</v>
      </c>
      <c r="H437" s="7" t="n">
        <v>0</v>
      </c>
      <c r="I437" s="7" t="n">
        <v>0</v>
      </c>
      <c r="J437" s="7" t="n">
        <v>0</v>
      </c>
      <c r="K437" s="7" t="n">
        <v>0</v>
      </c>
      <c r="L437" s="7" t="n">
        <v>0</v>
      </c>
      <c r="M437" s="7" t="n">
        <v>0</v>
      </c>
      <c r="N437" s="7" t="n">
        <v>0</v>
      </c>
      <c r="O437" s="7" t="n">
        <v>0</v>
      </c>
      <c r="P437" s="7" t="n">
        <v>0</v>
      </c>
      <c r="Q437" s="8" t="n">
        <f aca="false">IF(F437=0,0,H437/F437)</f>
        <v>0</v>
      </c>
      <c r="R437" s="8" t="n">
        <f aca="false">IF(F437+O437=0,0,(H437+O437)/(F437+O437))</f>
        <v>0</v>
      </c>
      <c r="S437" s="8" t="n">
        <f aca="false">IF(F437=0,0,M437/F437)</f>
        <v>0</v>
      </c>
      <c r="T437" s="8" t="n">
        <f aca="false">S437+R437</f>
        <v>0</v>
      </c>
      <c r="U437" s="8" t="n">
        <f aca="false">S437-Q437</f>
        <v>0</v>
      </c>
    </row>
    <row r="438" customFormat="false" ht="14.25" hidden="false" customHeight="true" outlineLevel="0" collapsed="false">
      <c r="A438" s="6" t="s">
        <v>93</v>
      </c>
      <c r="B438" s="6" t="s">
        <v>71</v>
      </c>
      <c r="C438" s="7" t="n">
        <v>1</v>
      </c>
      <c r="D438" s="7" t="s">
        <v>555</v>
      </c>
      <c r="E438" s="7" t="n">
        <v>1</v>
      </c>
      <c r="F438" s="7" t="n">
        <v>2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  <c r="M438" s="7" t="n">
        <v>0</v>
      </c>
      <c r="N438" s="7" t="n">
        <v>0</v>
      </c>
      <c r="O438" s="7" t="n">
        <v>0</v>
      </c>
      <c r="P438" s="7" t="n">
        <v>1</v>
      </c>
      <c r="Q438" s="8" t="n">
        <f aca="false">IF(F438=0,0,H438/F438)</f>
        <v>0</v>
      </c>
      <c r="R438" s="8" t="n">
        <f aca="false">IF(F438+O438=0,0,(H438+O438)/(F438+O438))</f>
        <v>0</v>
      </c>
      <c r="S438" s="8" t="n">
        <f aca="false">IF(F438=0,0,M438/F438)</f>
        <v>0</v>
      </c>
      <c r="T438" s="8" t="n">
        <f aca="false">S438+R438</f>
        <v>0</v>
      </c>
      <c r="U438" s="8" t="n">
        <f aca="false">S438-Q438</f>
        <v>0</v>
      </c>
    </row>
    <row r="439" customFormat="false" ht="14.25" hidden="false" customHeight="true" outlineLevel="0" collapsed="false">
      <c r="A439" s="6" t="s">
        <v>334</v>
      </c>
      <c r="B439" s="6" t="s">
        <v>192</v>
      </c>
      <c r="C439" s="7" t="n">
        <v>1</v>
      </c>
      <c r="D439" s="7" t="s">
        <v>571</v>
      </c>
      <c r="E439" s="7" t="n">
        <v>1</v>
      </c>
      <c r="F439" s="7" t="n">
        <v>1</v>
      </c>
      <c r="G439" s="7" t="n">
        <v>0</v>
      </c>
      <c r="H439" s="7" t="n">
        <v>0</v>
      </c>
      <c r="I439" s="7" t="n">
        <v>0</v>
      </c>
      <c r="J439" s="7" t="n">
        <v>0</v>
      </c>
      <c r="K439" s="7" t="n">
        <v>0</v>
      </c>
      <c r="L439" s="7" t="n">
        <v>0</v>
      </c>
      <c r="M439" s="7" t="n">
        <v>0</v>
      </c>
      <c r="N439" s="7" t="n">
        <v>0</v>
      </c>
      <c r="O439" s="7" t="n">
        <v>0</v>
      </c>
      <c r="P439" s="7" t="n">
        <v>0</v>
      </c>
      <c r="Q439" s="8" t="n">
        <f aca="false">IF(F439=0,0,H439/F439)</f>
        <v>0</v>
      </c>
      <c r="R439" s="8" t="n">
        <f aca="false">IF(F439+O439=0,0,(H439+O439)/(F439+O439))</f>
        <v>0</v>
      </c>
      <c r="S439" s="8" t="n">
        <f aca="false">IF(F439=0,0,M439/F439)</f>
        <v>0</v>
      </c>
      <c r="T439" s="8" t="n">
        <f aca="false">S439+R439</f>
        <v>0</v>
      </c>
      <c r="U439" s="8" t="n">
        <f aca="false">S439-Q439</f>
        <v>0</v>
      </c>
    </row>
    <row r="440" customFormat="false" ht="14.25" hidden="false" customHeight="true" outlineLevel="0" collapsed="false">
      <c r="A440" s="6" t="s">
        <v>333</v>
      </c>
      <c r="B440" s="6" t="s">
        <v>97</v>
      </c>
      <c r="C440" s="7" t="n">
        <v>1</v>
      </c>
      <c r="D440" s="7" t="s">
        <v>568</v>
      </c>
      <c r="E440" s="7" t="n">
        <v>1</v>
      </c>
      <c r="F440" s="7" t="n">
        <v>1</v>
      </c>
      <c r="G440" s="7" t="n">
        <v>0</v>
      </c>
      <c r="H440" s="7" t="n">
        <v>0</v>
      </c>
      <c r="I440" s="7" t="n">
        <v>0</v>
      </c>
      <c r="J440" s="7" t="n">
        <v>0</v>
      </c>
      <c r="K440" s="7" t="n">
        <v>0</v>
      </c>
      <c r="L440" s="7" t="n">
        <v>0</v>
      </c>
      <c r="M440" s="7" t="n">
        <v>0</v>
      </c>
      <c r="N440" s="7" t="n">
        <v>0</v>
      </c>
      <c r="O440" s="7" t="n">
        <v>0</v>
      </c>
      <c r="P440" s="7" t="n">
        <v>0</v>
      </c>
      <c r="Q440" s="8" t="n">
        <f aca="false">IF(F440=0,0,H440/F440)</f>
        <v>0</v>
      </c>
      <c r="R440" s="8" t="n">
        <f aca="false">IF(F440+O440=0,0,(H440+O440)/(F440+O440))</f>
        <v>0</v>
      </c>
      <c r="S440" s="8" t="n">
        <f aca="false">IF(F440=0,0,M440/F440)</f>
        <v>0</v>
      </c>
      <c r="T440" s="8" t="n">
        <f aca="false">S440+R440</f>
        <v>0</v>
      </c>
      <c r="U440" s="8" t="n">
        <f aca="false">S440-Q440</f>
        <v>0</v>
      </c>
    </row>
    <row r="441" customFormat="false" ht="14.25" hidden="false" customHeight="true" outlineLevel="0" collapsed="false">
      <c r="A441" s="6" t="s">
        <v>434</v>
      </c>
      <c r="B441" s="6" t="s">
        <v>147</v>
      </c>
      <c r="C441" s="7" t="n">
        <v>1</v>
      </c>
      <c r="D441" s="7" t="s">
        <v>568</v>
      </c>
      <c r="E441" s="7" t="n">
        <v>1</v>
      </c>
      <c r="F441" s="7" t="n">
        <v>1</v>
      </c>
      <c r="G441" s="7" t="n">
        <v>1</v>
      </c>
      <c r="H441" s="7" t="n">
        <v>0</v>
      </c>
      <c r="I441" s="7" t="n">
        <v>0</v>
      </c>
      <c r="J441" s="7" t="n">
        <v>0</v>
      </c>
      <c r="K441" s="7" t="n">
        <v>0</v>
      </c>
      <c r="L441" s="7" t="n">
        <v>0</v>
      </c>
      <c r="M441" s="7" t="n">
        <v>0</v>
      </c>
      <c r="N441" s="7" t="n">
        <v>0</v>
      </c>
      <c r="O441" s="7" t="n">
        <v>1</v>
      </c>
      <c r="P441" s="7" t="n">
        <v>0</v>
      </c>
      <c r="Q441" s="8" t="n">
        <f aca="false">IF(F441=0,0,H441/F441)</f>
        <v>0</v>
      </c>
      <c r="R441" s="8" t="n">
        <f aca="false">IF(F441+O441=0,0,(H441+O441)/(F441+O441))</f>
        <v>0.5</v>
      </c>
      <c r="S441" s="8" t="n">
        <f aca="false">IF(F441=0,0,M441/F441)</f>
        <v>0</v>
      </c>
      <c r="T441" s="8" t="n">
        <f aca="false">S441+R441</f>
        <v>0.5</v>
      </c>
      <c r="U441" s="8" t="n">
        <f aca="false">S441-Q441</f>
        <v>0</v>
      </c>
    </row>
    <row r="442" customFormat="false" ht="14.25" hidden="false" customHeight="true" outlineLevel="0" collapsed="false">
      <c r="A442" s="6" t="s">
        <v>120</v>
      </c>
      <c r="B442" s="6" t="s">
        <v>147</v>
      </c>
      <c r="C442" s="7" t="n">
        <v>1</v>
      </c>
      <c r="D442" s="7" t="s">
        <v>568</v>
      </c>
      <c r="E442" s="7" t="n">
        <v>1</v>
      </c>
      <c r="F442" s="7" t="n">
        <v>1</v>
      </c>
      <c r="G442" s="7" t="n">
        <v>0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0</v>
      </c>
      <c r="M442" s="7" t="n">
        <v>0</v>
      </c>
      <c r="N442" s="7" t="n">
        <v>0</v>
      </c>
      <c r="O442" s="7" t="n">
        <v>0</v>
      </c>
      <c r="P442" s="7" t="n">
        <v>0</v>
      </c>
      <c r="Q442" s="8" t="n">
        <f aca="false">IF(F442=0,0,H442/F442)</f>
        <v>0</v>
      </c>
      <c r="R442" s="8" t="n">
        <f aca="false">IF(F442+O442=0,0,(H442+O442)/(F442+O442))</f>
        <v>0</v>
      </c>
      <c r="S442" s="8" t="n">
        <f aca="false">IF(F442=0,0,M442/F442)</f>
        <v>0</v>
      </c>
      <c r="T442" s="8" t="n">
        <f aca="false">S442+R442</f>
        <v>0</v>
      </c>
      <c r="U442" s="8" t="n">
        <f aca="false">S442-Q442</f>
        <v>0</v>
      </c>
    </row>
    <row r="443" customFormat="false" ht="14.25" hidden="false" customHeight="true" outlineLevel="0" collapsed="false">
      <c r="A443" s="6" t="s">
        <v>425</v>
      </c>
      <c r="B443" s="6" t="s">
        <v>192</v>
      </c>
      <c r="C443" s="7" t="n">
        <v>1</v>
      </c>
      <c r="D443" s="7" t="s">
        <v>568</v>
      </c>
      <c r="E443" s="7" t="n">
        <v>1</v>
      </c>
      <c r="F443" s="7" t="n">
        <v>1</v>
      </c>
      <c r="G443" s="7" t="n">
        <v>0</v>
      </c>
      <c r="H443" s="7" t="n">
        <v>0</v>
      </c>
      <c r="I443" s="7" t="n">
        <v>0</v>
      </c>
      <c r="J443" s="7" t="n">
        <v>0</v>
      </c>
      <c r="K443" s="7" t="n">
        <v>0</v>
      </c>
      <c r="L443" s="7" t="n">
        <v>0</v>
      </c>
      <c r="M443" s="7" t="n">
        <v>0</v>
      </c>
      <c r="N443" s="7" t="n">
        <v>0</v>
      </c>
      <c r="O443" s="7" t="n">
        <v>0</v>
      </c>
      <c r="P443" s="7" t="n">
        <v>0</v>
      </c>
      <c r="Q443" s="8" t="n">
        <f aca="false">IF(F443=0,0,H443/F443)</f>
        <v>0</v>
      </c>
      <c r="R443" s="8" t="n">
        <f aca="false">IF(F443+O443=0,0,(H443+O443)/(F443+O443))</f>
        <v>0</v>
      </c>
      <c r="S443" s="8" t="n">
        <f aca="false">IF(F443=0,0,M443/F443)</f>
        <v>0</v>
      </c>
      <c r="T443" s="8" t="n">
        <f aca="false">S443+R443</f>
        <v>0</v>
      </c>
      <c r="U443" s="8" t="n">
        <f aca="false">S443-Q443</f>
        <v>0</v>
      </c>
    </row>
    <row r="444" customFormat="false" ht="14.25" hidden="false" customHeight="true" outlineLevel="0" collapsed="false">
      <c r="A444" s="6" t="s">
        <v>378</v>
      </c>
      <c r="B444" s="6" t="s">
        <v>71</v>
      </c>
      <c r="C444" s="7" t="n">
        <v>1</v>
      </c>
      <c r="D444" s="7" t="s">
        <v>601</v>
      </c>
      <c r="E444" s="7" t="n">
        <v>1</v>
      </c>
      <c r="F444" s="7" t="n">
        <v>1</v>
      </c>
      <c r="G444" s="7" t="n">
        <v>0</v>
      </c>
      <c r="H444" s="7" t="n">
        <v>0</v>
      </c>
      <c r="I444" s="7" t="n">
        <v>0</v>
      </c>
      <c r="J444" s="7" t="n">
        <v>0</v>
      </c>
      <c r="K444" s="7" t="n">
        <v>0</v>
      </c>
      <c r="L444" s="7" t="n">
        <v>0</v>
      </c>
      <c r="M444" s="7" t="n">
        <v>0</v>
      </c>
      <c r="N444" s="7" t="n">
        <v>0</v>
      </c>
      <c r="O444" s="7" t="n">
        <v>0</v>
      </c>
      <c r="P444" s="7" t="n">
        <v>0</v>
      </c>
      <c r="Q444" s="8" t="n">
        <f aca="false">IF(F444=0,0,H444/F444)</f>
        <v>0</v>
      </c>
      <c r="R444" s="8" t="n">
        <f aca="false">IF(F444+O444=0,0,(H444+O444)/(F444+O444))</f>
        <v>0</v>
      </c>
      <c r="S444" s="8" t="n">
        <f aca="false">IF(F444=0,0,M444/F444)</f>
        <v>0</v>
      </c>
      <c r="T444" s="8" t="n">
        <f aca="false">S444+R444</f>
        <v>0</v>
      </c>
      <c r="U444" s="8" t="n">
        <f aca="false">S444-Q444</f>
        <v>0</v>
      </c>
    </row>
    <row r="445" customFormat="false" ht="14.25" hidden="false" customHeight="true" outlineLevel="0" collapsed="false">
      <c r="A445" s="6" t="s">
        <v>388</v>
      </c>
      <c r="B445" s="6" t="s">
        <v>121</v>
      </c>
      <c r="C445" s="7" t="n">
        <v>1</v>
      </c>
      <c r="D445" s="7" t="s">
        <v>601</v>
      </c>
      <c r="E445" s="7" t="n">
        <v>1</v>
      </c>
      <c r="F445" s="7" t="n">
        <v>1</v>
      </c>
      <c r="G445" s="7" t="n">
        <v>0</v>
      </c>
      <c r="H445" s="7" t="n">
        <v>0</v>
      </c>
      <c r="I445" s="7" t="n">
        <v>0</v>
      </c>
      <c r="J445" s="7" t="n">
        <v>0</v>
      </c>
      <c r="K445" s="7" t="n">
        <v>0</v>
      </c>
      <c r="L445" s="7" t="n">
        <v>0</v>
      </c>
      <c r="M445" s="7" t="n">
        <v>0</v>
      </c>
      <c r="N445" s="7" t="n">
        <v>0</v>
      </c>
      <c r="O445" s="7" t="n">
        <v>0</v>
      </c>
      <c r="P445" s="7" t="n">
        <v>0</v>
      </c>
      <c r="Q445" s="8" t="n">
        <f aca="false">IF(F445=0,0,H445/F445)</f>
        <v>0</v>
      </c>
      <c r="R445" s="8" t="n">
        <f aca="false">IF(F445+O445=0,0,(H445+O445)/(F445+O445))</f>
        <v>0</v>
      </c>
      <c r="S445" s="8" t="n">
        <f aca="false">IF(F445=0,0,M445/F445)</f>
        <v>0</v>
      </c>
      <c r="T445" s="8" t="n">
        <f aca="false">S445+R445</f>
        <v>0</v>
      </c>
      <c r="U445" s="8" t="n">
        <f aca="false">S445-Q445</f>
        <v>0</v>
      </c>
    </row>
    <row r="446" customFormat="false" ht="14.25" hidden="false" customHeight="true" outlineLevel="0" collapsed="false">
      <c r="A446" s="6" t="s">
        <v>357</v>
      </c>
      <c r="B446" s="6" t="s">
        <v>192</v>
      </c>
      <c r="C446" s="7" t="n">
        <v>1</v>
      </c>
      <c r="D446" s="7" t="s">
        <v>570</v>
      </c>
      <c r="E446" s="7" t="n">
        <v>1</v>
      </c>
      <c r="F446" s="7" t="n">
        <v>1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7" t="n">
        <v>0</v>
      </c>
      <c r="N446" s="7" t="n">
        <v>0</v>
      </c>
      <c r="O446" s="7" t="n">
        <v>0</v>
      </c>
      <c r="P446" s="7" t="n">
        <v>0</v>
      </c>
      <c r="Q446" s="8" t="n">
        <f aca="false">IF(F446=0,0,H446/F446)</f>
        <v>0</v>
      </c>
      <c r="R446" s="8" t="n">
        <f aca="false">IF(F446+O446=0,0,(H446+O446)/(F446+O446))</f>
        <v>0</v>
      </c>
      <c r="S446" s="8" t="n">
        <f aca="false">IF(F446=0,0,M446/F446)</f>
        <v>0</v>
      </c>
      <c r="T446" s="8" t="n">
        <f aca="false">S446+R446</f>
        <v>0</v>
      </c>
      <c r="U446" s="8" t="n">
        <f aca="false">S446-Q446</f>
        <v>0</v>
      </c>
    </row>
    <row r="447" customFormat="false" ht="14.25" hidden="false" customHeight="true" outlineLevel="0" collapsed="false">
      <c r="A447" s="6" t="s">
        <v>358</v>
      </c>
      <c r="B447" s="6" t="s">
        <v>192</v>
      </c>
      <c r="C447" s="7" t="n">
        <v>1</v>
      </c>
      <c r="D447" s="7" t="s">
        <v>570</v>
      </c>
      <c r="E447" s="7" t="n">
        <v>1</v>
      </c>
      <c r="F447" s="7" t="n">
        <v>1</v>
      </c>
      <c r="G447" s="7" t="n">
        <v>0</v>
      </c>
      <c r="H447" s="7" t="n">
        <v>0</v>
      </c>
      <c r="I447" s="7" t="n">
        <v>0</v>
      </c>
      <c r="J447" s="7" t="n">
        <v>0</v>
      </c>
      <c r="K447" s="7" t="n">
        <v>0</v>
      </c>
      <c r="L447" s="7" t="n">
        <v>0</v>
      </c>
      <c r="M447" s="7" t="n">
        <v>0</v>
      </c>
      <c r="N447" s="7" t="n">
        <v>0</v>
      </c>
      <c r="O447" s="7" t="n">
        <v>0</v>
      </c>
      <c r="P447" s="7" t="n">
        <v>0</v>
      </c>
      <c r="Q447" s="8" t="n">
        <f aca="false">IF(F447=0,0,H447/F447)</f>
        <v>0</v>
      </c>
      <c r="R447" s="8" t="n">
        <f aca="false">IF(F447+O447=0,0,(H447+O447)/(F447+O447))</f>
        <v>0</v>
      </c>
      <c r="S447" s="8" t="n">
        <f aca="false">IF(F447=0,0,M447/F447)</f>
        <v>0</v>
      </c>
      <c r="T447" s="8" t="n">
        <f aca="false">S447+R447</f>
        <v>0</v>
      </c>
      <c r="U447" s="8" t="n">
        <f aca="false">S447-Q447</f>
        <v>0</v>
      </c>
    </row>
    <row r="448" customFormat="false" ht="14.25" hidden="false" customHeight="true" outlineLevel="0" collapsed="false">
      <c r="A448" s="6" t="s">
        <v>321</v>
      </c>
      <c r="B448" s="6" t="s">
        <v>71</v>
      </c>
      <c r="C448" s="7" t="n">
        <v>1</v>
      </c>
      <c r="D448" s="7" t="s">
        <v>570</v>
      </c>
      <c r="E448" s="7" t="n">
        <v>1</v>
      </c>
      <c r="F448" s="7" t="n">
        <v>1</v>
      </c>
      <c r="G448" s="7" t="n">
        <v>0</v>
      </c>
      <c r="H448" s="7" t="n">
        <v>0</v>
      </c>
      <c r="I448" s="7" t="n">
        <v>0</v>
      </c>
      <c r="J448" s="7" t="n">
        <v>0</v>
      </c>
      <c r="K448" s="7" t="n">
        <v>0</v>
      </c>
      <c r="L448" s="7" t="n">
        <v>0</v>
      </c>
      <c r="M448" s="7" t="n">
        <v>0</v>
      </c>
      <c r="N448" s="7" t="n">
        <v>0</v>
      </c>
      <c r="O448" s="7" t="n">
        <v>1</v>
      </c>
      <c r="P448" s="7" t="n">
        <v>1</v>
      </c>
      <c r="Q448" s="8" t="n">
        <f aca="false">IF(F448=0,0,H448/F448)</f>
        <v>0</v>
      </c>
      <c r="R448" s="8" t="n">
        <f aca="false">IF(F448+O448=0,0,(H448+O448)/(F448+O448))</f>
        <v>0.5</v>
      </c>
      <c r="S448" s="8" t="n">
        <f aca="false">IF(F448=0,0,M448/F448)</f>
        <v>0</v>
      </c>
      <c r="T448" s="8" t="n">
        <f aca="false">S448+R448</f>
        <v>0.5</v>
      </c>
      <c r="U448" s="8" t="n">
        <f aca="false">S448-Q448</f>
        <v>0</v>
      </c>
    </row>
    <row r="449" customFormat="false" ht="14.25" hidden="false" customHeight="true" outlineLevel="0" collapsed="false">
      <c r="A449" s="6" t="s">
        <v>350</v>
      </c>
      <c r="B449" s="6" t="s">
        <v>166</v>
      </c>
      <c r="C449" s="7" t="n">
        <v>1</v>
      </c>
      <c r="D449" s="7" t="s">
        <v>570</v>
      </c>
      <c r="E449" s="7" t="n">
        <v>1</v>
      </c>
      <c r="F449" s="7" t="n">
        <v>1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0</v>
      </c>
      <c r="L449" s="7" t="n">
        <v>0</v>
      </c>
      <c r="M449" s="7" t="n">
        <v>0</v>
      </c>
      <c r="N449" s="7" t="n">
        <v>0</v>
      </c>
      <c r="O449" s="7" t="n">
        <v>1</v>
      </c>
      <c r="P449" s="7" t="n">
        <v>0</v>
      </c>
      <c r="Q449" s="8" t="n">
        <f aca="false">IF(F449=0,0,H449/F449)</f>
        <v>0</v>
      </c>
      <c r="R449" s="8" t="n">
        <f aca="false">IF(F449+O449=0,0,(H449+O449)/(F449+O449))</f>
        <v>0.5</v>
      </c>
      <c r="S449" s="8" t="n">
        <f aca="false">IF(F449=0,0,M449/F449)</f>
        <v>0</v>
      </c>
      <c r="T449" s="8" t="n">
        <f aca="false">S449+R449</f>
        <v>0.5</v>
      </c>
      <c r="U449" s="8" t="n">
        <f aca="false">S449-Q449</f>
        <v>0</v>
      </c>
    </row>
    <row r="450" customFormat="false" ht="14.25" hidden="false" customHeight="true" outlineLevel="0" collapsed="false">
      <c r="A450" s="6" t="s">
        <v>272</v>
      </c>
      <c r="B450" s="6" t="s">
        <v>121</v>
      </c>
      <c r="C450" s="7" t="n">
        <v>1</v>
      </c>
      <c r="D450" s="7" t="s">
        <v>607</v>
      </c>
      <c r="E450" s="7" t="n">
        <v>1</v>
      </c>
      <c r="F450" s="7" t="n">
        <v>1</v>
      </c>
      <c r="G450" s="7" t="n">
        <v>0</v>
      </c>
      <c r="H450" s="7" t="n">
        <v>0</v>
      </c>
      <c r="I450" s="7" t="n">
        <v>0</v>
      </c>
      <c r="J450" s="7" t="n">
        <v>0</v>
      </c>
      <c r="K450" s="7" t="n">
        <v>0</v>
      </c>
      <c r="L450" s="7" t="n">
        <v>0</v>
      </c>
      <c r="M450" s="7" t="n">
        <v>0</v>
      </c>
      <c r="N450" s="7" t="n">
        <v>0</v>
      </c>
      <c r="O450" s="7" t="n">
        <v>0</v>
      </c>
      <c r="P450" s="7" t="n">
        <v>0</v>
      </c>
      <c r="Q450" s="8" t="n">
        <f aca="false">IF(F450=0,0,H450/F450)</f>
        <v>0</v>
      </c>
      <c r="R450" s="8" t="n">
        <f aca="false">IF(F450+O450=0,0,(H450+O450)/(F450+O450))</f>
        <v>0</v>
      </c>
      <c r="S450" s="8" t="n">
        <f aca="false">IF(F450=0,0,M450/F450)</f>
        <v>0</v>
      </c>
      <c r="T450" s="8" t="n">
        <f aca="false">S450+R450</f>
        <v>0</v>
      </c>
      <c r="U450" s="8" t="n">
        <f aca="false">S450-Q450</f>
        <v>0</v>
      </c>
    </row>
    <row r="451" customFormat="false" ht="14.25" hidden="false" customHeight="true" outlineLevel="0" collapsed="false">
      <c r="A451" s="6" t="s">
        <v>459</v>
      </c>
      <c r="B451" s="6" t="s">
        <v>50</v>
      </c>
      <c r="C451" s="7" t="n">
        <v>1</v>
      </c>
      <c r="D451" s="7" t="s">
        <v>571</v>
      </c>
      <c r="E451" s="7" t="n">
        <v>1</v>
      </c>
      <c r="F451" s="7" t="n">
        <v>0</v>
      </c>
      <c r="G451" s="7" t="n">
        <v>0</v>
      </c>
      <c r="H451" s="7" t="n">
        <v>0</v>
      </c>
      <c r="I451" s="7" t="n">
        <v>0</v>
      </c>
      <c r="J451" s="7" t="n">
        <v>0</v>
      </c>
      <c r="K451" s="7" t="n">
        <v>0</v>
      </c>
      <c r="L451" s="7" t="n">
        <v>0</v>
      </c>
      <c r="M451" s="7" t="n">
        <v>0</v>
      </c>
      <c r="N451" s="7" t="n">
        <v>0</v>
      </c>
      <c r="O451" s="7" t="n">
        <v>1</v>
      </c>
      <c r="P451" s="7" t="n">
        <v>0</v>
      </c>
      <c r="Q451" s="8" t="n">
        <f aca="false">IF(F451=0,0,H451/F451)</f>
        <v>0</v>
      </c>
      <c r="R451" s="8" t="n">
        <f aca="false">IF(F451+O451=0,0,(H451+O451)/(F451+O451))</f>
        <v>1</v>
      </c>
      <c r="S451" s="8" t="n">
        <f aca="false">IF(F451=0,0,M451/F451)</f>
        <v>0</v>
      </c>
      <c r="T451" s="8" t="n">
        <f aca="false">S451+R451</f>
        <v>1</v>
      </c>
      <c r="U451" s="8" t="n">
        <f aca="false">S451-Q451</f>
        <v>0</v>
      </c>
    </row>
    <row r="452" customFormat="false" ht="14.25" hidden="false" customHeight="true" outlineLevel="0" collapsed="false">
      <c r="A452" s="6" t="s">
        <v>482</v>
      </c>
      <c r="B452" s="6" t="s">
        <v>121</v>
      </c>
      <c r="C452" s="7" t="n">
        <v>1</v>
      </c>
      <c r="D452" s="7" t="s">
        <v>571</v>
      </c>
      <c r="E452" s="7" t="n">
        <v>1</v>
      </c>
      <c r="F452" s="7" t="n">
        <v>0</v>
      </c>
      <c r="G452" s="7" t="n">
        <v>0</v>
      </c>
      <c r="H452" s="7" t="n">
        <v>0</v>
      </c>
      <c r="I452" s="7" t="n">
        <v>0</v>
      </c>
      <c r="J452" s="7" t="n">
        <v>0</v>
      </c>
      <c r="K452" s="7" t="n">
        <v>0</v>
      </c>
      <c r="L452" s="7" t="n">
        <v>0</v>
      </c>
      <c r="M452" s="7" t="n">
        <v>0</v>
      </c>
      <c r="N452" s="7" t="n">
        <v>0</v>
      </c>
      <c r="O452" s="7" t="n">
        <v>0</v>
      </c>
      <c r="P452" s="7" t="n">
        <v>0</v>
      </c>
      <c r="Q452" s="8" t="n">
        <f aca="false">IF(F452=0,0,H452/F452)</f>
        <v>0</v>
      </c>
      <c r="R452" s="8" t="n">
        <f aca="false">IF(F452+O452=0,0,(H452+O452)/(F452+O452))</f>
        <v>0</v>
      </c>
      <c r="S452" s="8" t="n">
        <f aca="false">IF(F452=0,0,M452/F452)</f>
        <v>0</v>
      </c>
      <c r="T452" s="8" t="n">
        <f aca="false">S452+R452</f>
        <v>0</v>
      </c>
      <c r="U452" s="8" t="n">
        <f aca="false">S452-Q452</f>
        <v>0</v>
      </c>
    </row>
    <row r="453" customFormat="false" ht="14.25" hidden="false" customHeight="true" outlineLevel="0" collapsed="false">
      <c r="A453" s="6" t="s">
        <v>498</v>
      </c>
      <c r="B453" s="6" t="s">
        <v>192</v>
      </c>
      <c r="C453" s="7" t="n">
        <v>1</v>
      </c>
      <c r="D453" s="7" t="s">
        <v>571</v>
      </c>
      <c r="E453" s="7" t="n">
        <v>1</v>
      </c>
      <c r="F453" s="7" t="n">
        <v>0</v>
      </c>
      <c r="G453" s="7" t="n">
        <v>0</v>
      </c>
      <c r="H453" s="7" t="n">
        <v>0</v>
      </c>
      <c r="I453" s="7" t="n">
        <v>0</v>
      </c>
      <c r="J453" s="7" t="n">
        <v>0</v>
      </c>
      <c r="K453" s="7" t="n">
        <v>0</v>
      </c>
      <c r="L453" s="7" t="n">
        <v>0</v>
      </c>
      <c r="M453" s="7" t="n">
        <v>0</v>
      </c>
      <c r="N453" s="7" t="n">
        <v>0</v>
      </c>
      <c r="O453" s="7" t="n">
        <v>0</v>
      </c>
      <c r="P453" s="7" t="n">
        <v>0</v>
      </c>
      <c r="Q453" s="8" t="n">
        <f aca="false">IF(F453=0,0,H453/F453)</f>
        <v>0</v>
      </c>
      <c r="R453" s="8" t="n">
        <f aca="false">IF(F453+O453=0,0,(H453+O453)/(F453+O453))</f>
        <v>0</v>
      </c>
      <c r="S453" s="8" t="n">
        <f aca="false">IF(F453=0,0,M453/F453)</f>
        <v>0</v>
      </c>
      <c r="T453" s="8" t="n">
        <f aca="false">S453+R453</f>
        <v>0</v>
      </c>
      <c r="U453" s="8" t="n">
        <f aca="false">S453-Q453</f>
        <v>0</v>
      </c>
    </row>
    <row r="454" customFormat="false" ht="14.25" hidden="false" customHeight="true" outlineLevel="0" collapsed="false">
      <c r="A454" s="6" t="s">
        <v>432</v>
      </c>
      <c r="B454" s="6" t="s">
        <v>121</v>
      </c>
      <c r="C454" s="7" t="n">
        <v>1</v>
      </c>
      <c r="D454" s="7" t="s">
        <v>568</v>
      </c>
      <c r="E454" s="7" t="n">
        <v>1</v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0</v>
      </c>
      <c r="K454" s="7" t="n">
        <v>0</v>
      </c>
      <c r="L454" s="7" t="n">
        <v>0</v>
      </c>
      <c r="M454" s="7" t="n">
        <v>0</v>
      </c>
      <c r="N454" s="7" t="n">
        <v>0</v>
      </c>
      <c r="O454" s="7" t="n">
        <v>0</v>
      </c>
      <c r="P454" s="7" t="n">
        <v>0</v>
      </c>
      <c r="Q454" s="8" t="n">
        <f aca="false">IF(F454=0,0,H454/F454)</f>
        <v>0</v>
      </c>
      <c r="R454" s="8" t="n">
        <f aca="false">IF(F454+O454=0,0,(H454+O454)/(F454+O454))</f>
        <v>0</v>
      </c>
      <c r="S454" s="8" t="n">
        <f aca="false">IF(F454=0,0,M454/F454)</f>
        <v>0</v>
      </c>
      <c r="T454" s="8" t="n">
        <f aca="false">S454+R454</f>
        <v>0</v>
      </c>
      <c r="U454" s="8" t="n">
        <f aca="false">S454-Q454</f>
        <v>0</v>
      </c>
    </row>
    <row r="455" customFormat="false" ht="14.25" hidden="false" customHeight="true" outlineLevel="0" collapsed="false">
      <c r="A455" s="6" t="s">
        <v>164</v>
      </c>
      <c r="B455" s="6" t="s">
        <v>147</v>
      </c>
      <c r="C455" s="7" t="n">
        <v>1</v>
      </c>
      <c r="D455" s="7" t="s">
        <v>555</v>
      </c>
      <c r="E455" s="7" t="n">
        <v>1</v>
      </c>
      <c r="F455" s="7" t="n">
        <v>0</v>
      </c>
      <c r="G455" s="7" t="n">
        <v>1</v>
      </c>
      <c r="H455" s="7" t="n">
        <v>0</v>
      </c>
      <c r="I455" s="7" t="n">
        <v>0</v>
      </c>
      <c r="J455" s="7" t="n">
        <v>0</v>
      </c>
      <c r="K455" s="7" t="n">
        <v>0</v>
      </c>
      <c r="L455" s="7" t="n">
        <v>0</v>
      </c>
      <c r="M455" s="7" t="n">
        <v>0</v>
      </c>
      <c r="N455" s="7" t="n">
        <v>0</v>
      </c>
      <c r="O455" s="7" t="n">
        <v>0</v>
      </c>
      <c r="P455" s="7" t="n">
        <v>0</v>
      </c>
      <c r="Q455" s="8" t="n">
        <f aca="false">IF(F455=0,0,H455/F455)</f>
        <v>0</v>
      </c>
      <c r="R455" s="8" t="n">
        <f aca="false">IF(F455+O455=0,0,(H455+O455)/(F455+O455))</f>
        <v>0</v>
      </c>
      <c r="S455" s="8" t="n">
        <f aca="false">IF(F455=0,0,M455/F455)</f>
        <v>0</v>
      </c>
      <c r="T455" s="8" t="n">
        <f aca="false">S455+R455</f>
        <v>0</v>
      </c>
      <c r="U455" s="8" t="n">
        <f aca="false">S455-Q455</f>
        <v>0</v>
      </c>
    </row>
    <row r="456" customFormat="false" ht="14.25" hidden="false" customHeight="true" outlineLevel="0" collapsed="false">
      <c r="A456" s="6" t="s">
        <v>184</v>
      </c>
      <c r="B456" s="6" t="s">
        <v>166</v>
      </c>
      <c r="C456" s="7" t="n">
        <v>1</v>
      </c>
      <c r="D456" s="7" t="s">
        <v>555</v>
      </c>
      <c r="E456" s="7" t="n">
        <v>1</v>
      </c>
      <c r="F456" s="7" t="n">
        <v>0</v>
      </c>
      <c r="G456" s="7" t="n">
        <v>0</v>
      </c>
      <c r="H456" s="7" t="n">
        <v>0</v>
      </c>
      <c r="I456" s="7" t="n">
        <v>0</v>
      </c>
      <c r="J456" s="7" t="n">
        <v>0</v>
      </c>
      <c r="K456" s="7" t="n">
        <v>0</v>
      </c>
      <c r="L456" s="7" t="n">
        <v>0</v>
      </c>
      <c r="M456" s="7" t="n">
        <v>0</v>
      </c>
      <c r="N456" s="7" t="n">
        <v>0</v>
      </c>
      <c r="O456" s="7" t="n">
        <v>0</v>
      </c>
      <c r="P456" s="7" t="n">
        <v>0</v>
      </c>
      <c r="Q456" s="8" t="n">
        <f aca="false">IF(F456=0,0,H456/F456)</f>
        <v>0</v>
      </c>
      <c r="R456" s="8" t="n">
        <f aca="false">IF(F456+O456=0,0,(H456+O456)/(F456+O456))</f>
        <v>0</v>
      </c>
      <c r="S456" s="8" t="n">
        <f aca="false">IF(F456=0,0,M456/F456)</f>
        <v>0</v>
      </c>
      <c r="T456" s="8" t="n">
        <f aca="false">S456+R456</f>
        <v>0</v>
      </c>
      <c r="U456" s="8" t="n">
        <f aca="false">S456-Q456</f>
        <v>0</v>
      </c>
    </row>
    <row r="457" customFormat="false" ht="14.25" hidden="false" customHeight="true" outlineLevel="0" collapsed="false">
      <c r="A457" s="6" t="s">
        <v>95</v>
      </c>
      <c r="B457" s="6" t="s">
        <v>71</v>
      </c>
      <c r="C457" s="7" t="n">
        <v>1</v>
      </c>
      <c r="D457" s="7" t="s">
        <v>555</v>
      </c>
      <c r="E457" s="7" t="n">
        <v>1</v>
      </c>
      <c r="F457" s="7" t="n">
        <v>4</v>
      </c>
      <c r="G457" s="7" t="n">
        <v>0</v>
      </c>
      <c r="H457" s="7" t="n">
        <v>0</v>
      </c>
      <c r="I457" s="7" t="n">
        <v>0</v>
      </c>
      <c r="J457" s="7" t="n">
        <v>0</v>
      </c>
      <c r="K457" s="7" t="n">
        <v>0</v>
      </c>
      <c r="L457" s="7" t="n">
        <v>0</v>
      </c>
      <c r="M457" s="7" t="n">
        <v>0</v>
      </c>
      <c r="N457" s="7" t="n">
        <v>0</v>
      </c>
      <c r="O457" s="7" t="n">
        <v>0</v>
      </c>
      <c r="P457" s="7" t="n">
        <v>0</v>
      </c>
      <c r="Q457" s="8" t="n">
        <f aca="false">IF(F457=0,0,H457/F457)</f>
        <v>0</v>
      </c>
      <c r="R457" s="8" t="n">
        <f aca="false">IF(F457+O457=0,0,(H457+O457)/(F457+O457))</f>
        <v>0</v>
      </c>
      <c r="S457" s="8" t="n">
        <f aca="false">IF(F457=0,0,M457/F457)</f>
        <v>0</v>
      </c>
      <c r="T457" s="8" t="n">
        <f aca="false">S457+R457</f>
        <v>0</v>
      </c>
      <c r="U457" s="8" t="n">
        <f aca="false">S457-Q457</f>
        <v>0</v>
      </c>
    </row>
    <row r="458" customFormat="false" ht="14.25" hidden="false" customHeight="true" outlineLevel="0" collapsed="false">
      <c r="A458" s="6" t="s">
        <v>186</v>
      </c>
      <c r="B458" s="6" t="s">
        <v>166</v>
      </c>
      <c r="C458" s="7" t="n">
        <v>1</v>
      </c>
      <c r="D458" s="7" t="s">
        <v>555</v>
      </c>
      <c r="E458" s="7" t="n">
        <v>1</v>
      </c>
      <c r="F458" s="7" t="n">
        <v>1</v>
      </c>
      <c r="G458" s="7" t="n">
        <v>0</v>
      </c>
      <c r="H458" s="7" t="n">
        <v>0</v>
      </c>
      <c r="I458" s="7" t="n">
        <v>0</v>
      </c>
      <c r="J458" s="7" t="n">
        <v>0</v>
      </c>
      <c r="K458" s="7" t="n">
        <v>0</v>
      </c>
      <c r="L458" s="7" t="n">
        <v>0</v>
      </c>
      <c r="M458" s="7" t="n">
        <v>0</v>
      </c>
      <c r="N458" s="7" t="n">
        <v>0</v>
      </c>
      <c r="O458" s="7" t="n">
        <v>0</v>
      </c>
      <c r="P458" s="7" t="n">
        <v>0</v>
      </c>
      <c r="Q458" s="8" t="n">
        <f aca="false">IF(F458=0,0,H458/F458)</f>
        <v>0</v>
      </c>
      <c r="R458" s="8" t="n">
        <f aca="false">IF(F458+O458=0,0,(H458+O458)/(F458+O458))</f>
        <v>0</v>
      </c>
      <c r="S458" s="8" t="n">
        <f aca="false">IF(F458=0,0,M458/F458)</f>
        <v>0</v>
      </c>
      <c r="T458" s="8" t="n">
        <f aca="false">S458+R458</f>
        <v>0</v>
      </c>
      <c r="U458" s="8" t="n">
        <f aca="false">S458-Q458</f>
        <v>0</v>
      </c>
    </row>
    <row r="459" customFormat="false" ht="14.25" hidden="false" customHeight="true" outlineLevel="0" collapsed="false">
      <c r="A459" s="6" t="s">
        <v>114</v>
      </c>
      <c r="B459" s="6" t="s">
        <v>97</v>
      </c>
      <c r="C459" s="7" t="n">
        <v>1</v>
      </c>
      <c r="D459" s="7" t="s">
        <v>555</v>
      </c>
      <c r="E459" s="7" t="n">
        <v>1</v>
      </c>
      <c r="F459" s="7" t="n">
        <v>3</v>
      </c>
      <c r="G459" s="7" t="n">
        <v>0</v>
      </c>
      <c r="H459" s="7" t="n">
        <v>0</v>
      </c>
      <c r="I459" s="7" t="n">
        <v>0</v>
      </c>
      <c r="J459" s="7" t="n">
        <v>0</v>
      </c>
      <c r="K459" s="7" t="n">
        <v>0</v>
      </c>
      <c r="L459" s="7" t="n">
        <v>0</v>
      </c>
      <c r="M459" s="7" t="n">
        <v>0</v>
      </c>
      <c r="N459" s="7" t="n">
        <v>0</v>
      </c>
      <c r="O459" s="7" t="n">
        <v>0</v>
      </c>
      <c r="P459" s="7" t="n">
        <v>1</v>
      </c>
      <c r="Q459" s="8" t="n">
        <f aca="false">IF(F459=0,0,H459/F459)</f>
        <v>0</v>
      </c>
      <c r="R459" s="8" t="n">
        <f aca="false">IF(F459+O459=0,0,(H459+O459)/(F459+O459))</f>
        <v>0</v>
      </c>
      <c r="S459" s="8" t="n">
        <f aca="false">IF(F459=0,0,M459/F459)</f>
        <v>0</v>
      </c>
      <c r="T459" s="8" t="n">
        <f aca="false">S459+R459</f>
        <v>0</v>
      </c>
      <c r="U459" s="8" t="n">
        <f aca="false">S459-Q459</f>
        <v>0</v>
      </c>
    </row>
    <row r="460" customFormat="false" ht="14.25" hidden="false" customHeight="true" outlineLevel="0" collapsed="false">
      <c r="A460" s="6" t="s">
        <v>230</v>
      </c>
      <c r="B460" s="6" t="s">
        <v>212</v>
      </c>
      <c r="C460" s="7" t="n">
        <v>1</v>
      </c>
      <c r="D460" s="7" t="s">
        <v>555</v>
      </c>
      <c r="E460" s="7" t="n">
        <v>1</v>
      </c>
      <c r="F460" s="7" t="n">
        <v>2</v>
      </c>
      <c r="G460" s="7" t="n">
        <v>0</v>
      </c>
      <c r="H460" s="7" t="n">
        <v>0</v>
      </c>
      <c r="I460" s="7" t="n">
        <v>0</v>
      </c>
      <c r="J460" s="7" t="n">
        <v>0</v>
      </c>
      <c r="K460" s="7" t="n">
        <v>0</v>
      </c>
      <c r="L460" s="7" t="n">
        <v>0</v>
      </c>
      <c r="M460" s="7" t="n">
        <v>0</v>
      </c>
      <c r="N460" s="7" t="n">
        <v>0</v>
      </c>
      <c r="O460" s="7" t="n">
        <v>0</v>
      </c>
      <c r="P460" s="7" t="n">
        <v>1</v>
      </c>
      <c r="Q460" s="8" t="n">
        <f aca="false">IF(F460=0,0,H460/F460)</f>
        <v>0</v>
      </c>
      <c r="R460" s="8" t="n">
        <f aca="false">IF(F460+O460=0,0,(H460+O460)/(F460+O460))</f>
        <v>0</v>
      </c>
      <c r="S460" s="8" t="n">
        <f aca="false">IF(F460=0,0,M460/F460)</f>
        <v>0</v>
      </c>
      <c r="T460" s="8" t="n">
        <f aca="false">S460+R460</f>
        <v>0</v>
      </c>
      <c r="U460" s="8" t="n">
        <f aca="false">S460-Q460</f>
        <v>0</v>
      </c>
    </row>
    <row r="461" customFormat="false" ht="14.25" hidden="false" customHeight="true" outlineLevel="0" collapsed="false">
      <c r="A461" s="6" t="s">
        <v>506</v>
      </c>
      <c r="B461" s="6" t="s">
        <v>50</v>
      </c>
      <c r="C461" s="7" t="n">
        <v>1</v>
      </c>
      <c r="D461" s="7" t="s">
        <v>573</v>
      </c>
      <c r="E461" s="7" t="n">
        <v>1</v>
      </c>
      <c r="F461" s="7" t="n">
        <v>2</v>
      </c>
      <c r="G461" s="7" t="n">
        <v>0</v>
      </c>
      <c r="H461" s="7" t="n">
        <v>0</v>
      </c>
      <c r="I461" s="7" t="n">
        <v>0</v>
      </c>
      <c r="J461" s="7" t="n">
        <v>0</v>
      </c>
      <c r="K461" s="7" t="n">
        <v>0</v>
      </c>
      <c r="L461" s="7" t="n">
        <v>0</v>
      </c>
      <c r="M461" s="7" t="n">
        <v>0</v>
      </c>
      <c r="N461" s="7" t="n">
        <v>1</v>
      </c>
      <c r="O461" s="7" t="n">
        <v>0</v>
      </c>
      <c r="P461" s="7" t="n">
        <v>0</v>
      </c>
      <c r="Q461" s="8" t="n">
        <f aca="false">IF(F461=0,0,H461/F461)</f>
        <v>0</v>
      </c>
      <c r="R461" s="8" t="n">
        <f aca="false">IF(F461+O461=0,0,(H461+O461)/(F461+O461))</f>
        <v>0</v>
      </c>
      <c r="S461" s="8" t="n">
        <f aca="false">IF(F461=0,0,M461/F461)</f>
        <v>0</v>
      </c>
      <c r="T461" s="8" t="n">
        <f aca="false">S461+R461</f>
        <v>0</v>
      </c>
      <c r="U461" s="8" t="n">
        <f aca="false">S461-Q461</f>
        <v>0</v>
      </c>
    </row>
    <row r="462" customFormat="false" ht="14.25" hidden="false" customHeight="true" outlineLevel="0" collapsed="false">
      <c r="A462" s="6" t="s">
        <v>509</v>
      </c>
      <c r="B462" s="6" t="s">
        <v>50</v>
      </c>
      <c r="C462" s="7" t="n">
        <v>1</v>
      </c>
      <c r="D462" s="7" t="s">
        <v>573</v>
      </c>
      <c r="E462" s="7" t="n">
        <v>1</v>
      </c>
      <c r="F462" s="7" t="n">
        <v>3</v>
      </c>
      <c r="G462" s="7" t="n">
        <v>0</v>
      </c>
      <c r="H462" s="7" t="n">
        <v>0</v>
      </c>
      <c r="I462" s="7" t="n">
        <v>0</v>
      </c>
      <c r="J462" s="7" t="n">
        <v>0</v>
      </c>
      <c r="K462" s="7" t="n">
        <v>0</v>
      </c>
      <c r="L462" s="7" t="n">
        <v>0</v>
      </c>
      <c r="M462" s="7" t="n">
        <v>0</v>
      </c>
      <c r="N462" s="7" t="n">
        <v>1</v>
      </c>
      <c r="O462" s="7" t="n">
        <v>0</v>
      </c>
      <c r="P462" s="7" t="n">
        <v>0</v>
      </c>
      <c r="Q462" s="8" t="n">
        <f aca="false">IF(F462=0,0,H462/F462)</f>
        <v>0</v>
      </c>
      <c r="R462" s="8" t="n">
        <f aca="false">IF(F462+O462=0,0,(H462+O462)/(F462+O462))</f>
        <v>0</v>
      </c>
      <c r="S462" s="8" t="n">
        <f aca="false">IF(F462=0,0,M462/F462)</f>
        <v>0</v>
      </c>
      <c r="T462" s="8" t="n">
        <f aca="false">S462+R462</f>
        <v>0</v>
      </c>
      <c r="U462" s="8" t="n">
        <f aca="false">S462-Q462</f>
        <v>0</v>
      </c>
    </row>
    <row r="463" customFormat="false" ht="14.25" hidden="false" customHeight="true" outlineLevel="0" collapsed="false">
      <c r="A463" s="6" t="s">
        <v>507</v>
      </c>
      <c r="B463" s="6" t="s">
        <v>50</v>
      </c>
      <c r="C463" s="7" t="n">
        <v>1</v>
      </c>
      <c r="D463" s="7" t="s">
        <v>573</v>
      </c>
      <c r="E463" s="7" t="n">
        <v>2</v>
      </c>
      <c r="F463" s="7" t="n">
        <v>2</v>
      </c>
      <c r="G463" s="7" t="n">
        <v>1</v>
      </c>
      <c r="H463" s="7" t="n">
        <v>0</v>
      </c>
      <c r="I463" s="7" t="n">
        <v>0</v>
      </c>
      <c r="J463" s="7" t="n">
        <v>0</v>
      </c>
      <c r="K463" s="7" t="n">
        <v>0</v>
      </c>
      <c r="L463" s="7" t="n">
        <v>0</v>
      </c>
      <c r="M463" s="7" t="n">
        <v>0</v>
      </c>
      <c r="N463" s="7" t="n">
        <v>0</v>
      </c>
      <c r="O463" s="7" t="n">
        <v>2</v>
      </c>
      <c r="P463" s="7" t="n">
        <v>1</v>
      </c>
      <c r="Q463" s="8" t="n">
        <f aca="false">IF(F463=0,0,H463/F463)</f>
        <v>0</v>
      </c>
      <c r="R463" s="8" t="n">
        <f aca="false">IF(F463+O463=0,0,(H463+O463)/(F463+O463))</f>
        <v>0.5</v>
      </c>
      <c r="S463" s="8" t="n">
        <f aca="false">IF(F463=0,0,M463/F463)</f>
        <v>0</v>
      </c>
      <c r="T463" s="8" t="n">
        <f aca="false">S463+R463</f>
        <v>0.5</v>
      </c>
      <c r="U463" s="8" t="n">
        <f aca="false">S463-Q463</f>
        <v>0</v>
      </c>
    </row>
    <row r="464" customFormat="false" ht="14.25" hidden="false" customHeight="true" outlineLevel="0" collapsed="false">
      <c r="A464" s="6" t="s">
        <v>508</v>
      </c>
      <c r="B464" s="6" t="s">
        <v>50</v>
      </c>
      <c r="C464" s="7" t="n">
        <v>1</v>
      </c>
      <c r="D464" s="7" t="s">
        <v>573</v>
      </c>
      <c r="E464" s="7" t="n">
        <v>1</v>
      </c>
      <c r="F464" s="7" t="n">
        <v>2</v>
      </c>
      <c r="G464" s="7" t="n">
        <v>0</v>
      </c>
      <c r="H464" s="7" t="n">
        <v>0</v>
      </c>
      <c r="I464" s="7" t="n">
        <v>0</v>
      </c>
      <c r="J464" s="7" t="n">
        <v>0</v>
      </c>
      <c r="K464" s="7" t="n">
        <v>0</v>
      </c>
      <c r="L464" s="7" t="n">
        <v>0</v>
      </c>
      <c r="M464" s="7" t="n">
        <v>0</v>
      </c>
      <c r="N464" s="7" t="n">
        <v>0</v>
      </c>
      <c r="O464" s="7" t="n">
        <v>0</v>
      </c>
      <c r="P464" s="7" t="n">
        <v>0</v>
      </c>
      <c r="Q464" s="8" t="n">
        <f aca="false">IF(F464=0,0,H464/F464)</f>
        <v>0</v>
      </c>
      <c r="R464" s="8" t="n">
        <f aca="false">IF(F464+O464=0,0,(H464+O464)/(F464+O464))</f>
        <v>0</v>
      </c>
      <c r="S464" s="8" t="n">
        <f aca="false">IF(F464=0,0,M464/F464)</f>
        <v>0</v>
      </c>
      <c r="T464" s="8" t="n">
        <f aca="false">S464+R464</f>
        <v>0</v>
      </c>
      <c r="U464" s="8" t="n">
        <f aca="false">S464-Q464</f>
        <v>0</v>
      </c>
    </row>
    <row r="465" customFormat="false" ht="14.25" hidden="false" customHeight="true" outlineLevel="0" collapsed="false">
      <c r="A465" s="6" t="s">
        <v>510</v>
      </c>
      <c r="B465" s="6" t="s">
        <v>71</v>
      </c>
      <c r="C465" s="7" t="n">
        <v>1</v>
      </c>
      <c r="D465" s="7" t="s">
        <v>573</v>
      </c>
      <c r="E465" s="7" t="n">
        <v>1</v>
      </c>
      <c r="F465" s="7" t="n">
        <v>3</v>
      </c>
      <c r="G465" s="7" t="n">
        <v>0</v>
      </c>
      <c r="H465" s="7" t="n">
        <v>0</v>
      </c>
      <c r="I465" s="7" t="n">
        <v>0</v>
      </c>
      <c r="J465" s="7" t="n">
        <v>0</v>
      </c>
      <c r="K465" s="7" t="n">
        <v>0</v>
      </c>
      <c r="L465" s="7" t="n">
        <v>0</v>
      </c>
      <c r="M465" s="7" t="n">
        <v>0</v>
      </c>
      <c r="N465" s="7" t="n">
        <v>0</v>
      </c>
      <c r="O465" s="7" t="n">
        <v>0</v>
      </c>
      <c r="P465" s="7" t="n">
        <v>0</v>
      </c>
      <c r="Q465" s="8" t="n">
        <f aca="false">IF(F465=0,0,H465/F465)</f>
        <v>0</v>
      </c>
      <c r="R465" s="8" t="n">
        <f aca="false">IF(F465+O465=0,0,(H465+O465)/(F465+O465))</f>
        <v>0</v>
      </c>
      <c r="S465" s="8" t="n">
        <f aca="false">IF(F465=0,0,M465/F465)</f>
        <v>0</v>
      </c>
      <c r="T465" s="8" t="n">
        <f aca="false">S465+R465</f>
        <v>0</v>
      </c>
      <c r="U465" s="8" t="n">
        <f aca="false">S465-Q465</f>
        <v>0</v>
      </c>
    </row>
    <row r="466" customFormat="false" ht="14.25" hidden="false" customHeight="true" outlineLevel="0" collapsed="false">
      <c r="A466" s="6" t="s">
        <v>512</v>
      </c>
      <c r="B466" s="6" t="s">
        <v>97</v>
      </c>
      <c r="C466" s="7" t="n">
        <v>1</v>
      </c>
      <c r="D466" s="7" t="s">
        <v>573</v>
      </c>
      <c r="E466" s="7" t="n">
        <v>2</v>
      </c>
      <c r="F466" s="7" t="n">
        <v>5</v>
      </c>
      <c r="G466" s="7" t="n">
        <v>0</v>
      </c>
      <c r="H466" s="7" t="n">
        <v>0</v>
      </c>
      <c r="I466" s="7" t="n">
        <v>0</v>
      </c>
      <c r="J466" s="7" t="n">
        <v>0</v>
      </c>
      <c r="K466" s="7" t="n">
        <v>0</v>
      </c>
      <c r="L466" s="7" t="n">
        <v>0</v>
      </c>
      <c r="M466" s="7" t="n">
        <v>0</v>
      </c>
      <c r="N466" s="7" t="n">
        <v>0</v>
      </c>
      <c r="O466" s="7" t="n">
        <v>0</v>
      </c>
      <c r="P466" s="7" t="n">
        <v>0</v>
      </c>
      <c r="Q466" s="8" t="n">
        <f aca="false">IF(F466=0,0,H466/F466)</f>
        <v>0</v>
      </c>
      <c r="R466" s="8" t="n">
        <f aca="false">IF(F466+O466=0,0,(H466+O466)/(F466+O466))</f>
        <v>0</v>
      </c>
      <c r="S466" s="8" t="n">
        <f aca="false">IF(F466=0,0,M466/F466)</f>
        <v>0</v>
      </c>
      <c r="T466" s="8" t="n">
        <f aca="false">S466+R466</f>
        <v>0</v>
      </c>
      <c r="U466" s="8" t="n">
        <f aca="false">S466-Q466</f>
        <v>0</v>
      </c>
    </row>
    <row r="467" customFormat="false" ht="14.25" hidden="false" customHeight="true" outlineLevel="0" collapsed="false">
      <c r="A467" s="6" t="s">
        <v>513</v>
      </c>
      <c r="B467" s="6" t="s">
        <v>97</v>
      </c>
      <c r="C467" s="7" t="n">
        <v>1</v>
      </c>
      <c r="D467" s="7" t="s">
        <v>573</v>
      </c>
      <c r="E467" s="7" t="n">
        <v>2</v>
      </c>
      <c r="F467" s="7" t="n">
        <v>6</v>
      </c>
      <c r="G467" s="7" t="n">
        <v>0</v>
      </c>
      <c r="H467" s="7" t="n">
        <v>0</v>
      </c>
      <c r="I467" s="7" t="n">
        <v>0</v>
      </c>
      <c r="J467" s="7" t="n">
        <v>0</v>
      </c>
      <c r="K467" s="7" t="n">
        <v>0</v>
      </c>
      <c r="L467" s="7" t="n">
        <v>0</v>
      </c>
      <c r="M467" s="7" t="n">
        <v>0</v>
      </c>
      <c r="N467" s="7" t="n">
        <v>0</v>
      </c>
      <c r="O467" s="7" t="n">
        <v>0</v>
      </c>
      <c r="P467" s="7" t="n">
        <v>0</v>
      </c>
      <c r="Q467" s="8" t="n">
        <f aca="false">IF(F467=0,0,H467/F467)</f>
        <v>0</v>
      </c>
      <c r="R467" s="8" t="n">
        <f aca="false">IF(F467+O467=0,0,(H467+O467)/(F467+O467))</f>
        <v>0</v>
      </c>
      <c r="S467" s="8" t="n">
        <f aca="false">IF(F467=0,0,M467/F467)</f>
        <v>0</v>
      </c>
      <c r="T467" s="8" t="n">
        <f aca="false">S467+R467</f>
        <v>0</v>
      </c>
      <c r="U467" s="8" t="n">
        <f aca="false">S467-Q467</f>
        <v>0</v>
      </c>
    </row>
    <row r="468" customFormat="false" ht="14.25" hidden="false" customHeight="true" outlineLevel="0" collapsed="false">
      <c r="A468" s="6" t="s">
        <v>516</v>
      </c>
      <c r="B468" s="6" t="s">
        <v>121</v>
      </c>
      <c r="C468" s="7" t="n">
        <v>1</v>
      </c>
      <c r="D468" s="7" t="s">
        <v>573</v>
      </c>
      <c r="E468" s="7" t="n">
        <v>1</v>
      </c>
      <c r="F468" s="7" t="n">
        <v>0</v>
      </c>
      <c r="G468" s="7" t="n">
        <v>0</v>
      </c>
      <c r="H468" s="7" t="n">
        <v>0</v>
      </c>
      <c r="I468" s="7" t="n">
        <v>0</v>
      </c>
      <c r="J468" s="7" t="n">
        <v>0</v>
      </c>
      <c r="K468" s="7" t="n">
        <v>0</v>
      </c>
      <c r="L468" s="7" t="n">
        <v>0</v>
      </c>
      <c r="M468" s="7" t="n">
        <v>0</v>
      </c>
      <c r="N468" s="7" t="n">
        <v>0</v>
      </c>
      <c r="O468" s="7" t="n">
        <v>0</v>
      </c>
      <c r="P468" s="7" t="n">
        <v>0</v>
      </c>
      <c r="Q468" s="8" t="n">
        <f aca="false">IF(F468=0,0,H468/F468)</f>
        <v>0</v>
      </c>
      <c r="R468" s="8" t="n">
        <f aca="false">IF(F468+O468=0,0,(H468+O468)/(F468+O468))</f>
        <v>0</v>
      </c>
      <c r="S468" s="8" t="n">
        <f aca="false">IF(F468=0,0,M468/F468)</f>
        <v>0</v>
      </c>
      <c r="T468" s="8" t="n">
        <f aca="false">S468+R468</f>
        <v>0</v>
      </c>
      <c r="U468" s="8" t="n">
        <f aca="false">S468-Q468</f>
        <v>0</v>
      </c>
    </row>
    <row r="469" customFormat="false" ht="14.25" hidden="false" customHeight="true" outlineLevel="0" collapsed="false">
      <c r="A469" s="6" t="s">
        <v>515</v>
      </c>
      <c r="B469" s="6" t="s">
        <v>121</v>
      </c>
      <c r="C469" s="7" t="n">
        <v>1</v>
      </c>
      <c r="D469" s="7" t="s">
        <v>573</v>
      </c>
      <c r="E469" s="7" t="n">
        <v>2</v>
      </c>
      <c r="F469" s="7" t="n">
        <v>4</v>
      </c>
      <c r="G469" s="7" t="n">
        <v>0</v>
      </c>
      <c r="H469" s="7" t="n">
        <v>0</v>
      </c>
      <c r="I469" s="7" t="n">
        <v>0</v>
      </c>
      <c r="J469" s="7" t="n">
        <v>0</v>
      </c>
      <c r="K469" s="7" t="n">
        <v>0</v>
      </c>
      <c r="L469" s="7" t="n">
        <v>0</v>
      </c>
      <c r="M469" s="7" t="n">
        <v>0</v>
      </c>
      <c r="N469" s="7" t="n">
        <v>1</v>
      </c>
      <c r="O469" s="7" t="n">
        <v>0</v>
      </c>
      <c r="P469" s="7" t="n">
        <v>0</v>
      </c>
      <c r="Q469" s="8" t="n">
        <f aca="false">IF(F469=0,0,H469/F469)</f>
        <v>0</v>
      </c>
      <c r="R469" s="8" t="n">
        <f aca="false">IF(F469+O469=0,0,(H469+O469)/(F469+O469))</f>
        <v>0</v>
      </c>
      <c r="S469" s="8" t="n">
        <f aca="false">IF(F469=0,0,M469/F469)</f>
        <v>0</v>
      </c>
      <c r="T469" s="8" t="n">
        <f aca="false">S469+R469</f>
        <v>0</v>
      </c>
      <c r="U469" s="8" t="n">
        <f aca="false">S469-Q469</f>
        <v>0</v>
      </c>
    </row>
    <row r="470" customFormat="false" ht="14.25" hidden="false" customHeight="true" outlineLevel="0" collapsed="false">
      <c r="A470" s="6" t="s">
        <v>517</v>
      </c>
      <c r="B470" s="6" t="s">
        <v>121</v>
      </c>
      <c r="C470" s="7" t="n">
        <v>1</v>
      </c>
      <c r="D470" s="7" t="s">
        <v>573</v>
      </c>
      <c r="E470" s="7" t="n">
        <v>1</v>
      </c>
      <c r="F470" s="7" t="n">
        <v>2</v>
      </c>
      <c r="G470" s="7" t="n">
        <v>0</v>
      </c>
      <c r="H470" s="7" t="n">
        <v>0</v>
      </c>
      <c r="I470" s="7" t="n">
        <v>0</v>
      </c>
      <c r="J470" s="7" t="n">
        <v>0</v>
      </c>
      <c r="K470" s="7" t="n">
        <v>0</v>
      </c>
      <c r="L470" s="7" t="n">
        <v>0</v>
      </c>
      <c r="M470" s="7" t="n">
        <v>0</v>
      </c>
      <c r="N470" s="7" t="n">
        <v>0</v>
      </c>
      <c r="O470" s="7" t="n">
        <v>0</v>
      </c>
      <c r="P470" s="7" t="n">
        <v>0</v>
      </c>
      <c r="Q470" s="8" t="n">
        <f aca="false">IF(F470=0,0,H470/F470)</f>
        <v>0</v>
      </c>
      <c r="R470" s="8" t="n">
        <f aca="false">IF(F470+O470=0,0,(H470+O470)/(F470+O470))</f>
        <v>0</v>
      </c>
      <c r="S470" s="8" t="n">
        <f aca="false">IF(F470=0,0,M470/F470)</f>
        <v>0</v>
      </c>
      <c r="T470" s="8" t="n">
        <f aca="false">S470+R470</f>
        <v>0</v>
      </c>
      <c r="U470" s="8" t="n">
        <f aca="false">S470-Q470</f>
        <v>0</v>
      </c>
    </row>
    <row r="471" customFormat="false" ht="14.25" hidden="false" customHeight="true" outlineLevel="0" collapsed="false">
      <c r="A471" s="6" t="s">
        <v>518</v>
      </c>
      <c r="B471" s="6" t="s">
        <v>147</v>
      </c>
      <c r="C471" s="7" t="n">
        <v>1</v>
      </c>
      <c r="D471" s="7" t="s">
        <v>573</v>
      </c>
      <c r="E471" s="7" t="n">
        <v>1</v>
      </c>
      <c r="F471" s="7" t="n">
        <v>2</v>
      </c>
      <c r="G471" s="7" t="n">
        <v>0</v>
      </c>
      <c r="H471" s="7" t="n">
        <v>0</v>
      </c>
      <c r="I471" s="7" t="n">
        <v>0</v>
      </c>
      <c r="J471" s="7" t="n">
        <v>0</v>
      </c>
      <c r="K471" s="7" t="n">
        <v>0</v>
      </c>
      <c r="L471" s="7" t="n">
        <v>0</v>
      </c>
      <c r="M471" s="7" t="n">
        <v>0</v>
      </c>
      <c r="N471" s="7" t="n">
        <v>0</v>
      </c>
      <c r="O471" s="7" t="n">
        <v>0</v>
      </c>
      <c r="P471" s="7" t="n">
        <v>0</v>
      </c>
      <c r="Q471" s="8" t="n">
        <f aca="false">IF(F471=0,0,H471/F471)</f>
        <v>0</v>
      </c>
      <c r="R471" s="8" t="n">
        <f aca="false">IF(F471+O471=0,0,(H471+O471)/(F471+O471))</f>
        <v>0</v>
      </c>
      <c r="S471" s="8" t="n">
        <f aca="false">IF(F471=0,0,M471/F471)</f>
        <v>0</v>
      </c>
      <c r="T471" s="8" t="n">
        <f aca="false">S471+R471</f>
        <v>0</v>
      </c>
      <c r="U471" s="8" t="n">
        <f aca="false">S471-Q471</f>
        <v>0</v>
      </c>
    </row>
    <row r="472" customFormat="false" ht="14.25" hidden="false" customHeight="true" outlineLevel="0" collapsed="false">
      <c r="A472" s="6" t="s">
        <v>519</v>
      </c>
      <c r="B472" s="6" t="s">
        <v>166</v>
      </c>
      <c r="C472" s="7" t="n">
        <v>1</v>
      </c>
      <c r="D472" s="7" t="s">
        <v>573</v>
      </c>
      <c r="E472" s="7" t="n">
        <v>1</v>
      </c>
      <c r="F472" s="7" t="n">
        <v>2</v>
      </c>
      <c r="G472" s="7" t="n">
        <v>0</v>
      </c>
      <c r="H472" s="7" t="n">
        <v>0</v>
      </c>
      <c r="I472" s="7" t="n">
        <v>0</v>
      </c>
      <c r="J472" s="7" t="n">
        <v>0</v>
      </c>
      <c r="K472" s="7" t="n">
        <v>0</v>
      </c>
      <c r="L472" s="7" t="n">
        <v>0</v>
      </c>
      <c r="M472" s="7" t="n">
        <v>0</v>
      </c>
      <c r="N472" s="7" t="n">
        <v>0</v>
      </c>
      <c r="O472" s="7" t="n">
        <v>0</v>
      </c>
      <c r="P472" s="7" t="n">
        <v>0</v>
      </c>
      <c r="Q472" s="8" t="n">
        <f aca="false">IF(F472=0,0,H472/F472)</f>
        <v>0</v>
      </c>
      <c r="R472" s="8" t="n">
        <f aca="false">IF(F472+O472=0,0,(H472+O472)/(F472+O472))</f>
        <v>0</v>
      </c>
      <c r="S472" s="8" t="n">
        <f aca="false">IF(F472=0,0,M472/F472)</f>
        <v>0</v>
      </c>
      <c r="T472" s="8" t="n">
        <f aca="false">S472+R472</f>
        <v>0</v>
      </c>
      <c r="U472" s="8" t="n">
        <f aca="false">S472-Q472</f>
        <v>0</v>
      </c>
    </row>
    <row r="473" customFormat="false" ht="14.25" hidden="false" customHeight="true" outlineLevel="0" collapsed="false">
      <c r="A473" s="6" t="s">
        <v>520</v>
      </c>
      <c r="B473" s="6" t="s">
        <v>166</v>
      </c>
      <c r="C473" s="7" t="n">
        <v>1</v>
      </c>
      <c r="D473" s="7" t="s">
        <v>573</v>
      </c>
      <c r="E473" s="7" t="n">
        <v>2</v>
      </c>
      <c r="F473" s="7" t="n">
        <v>5</v>
      </c>
      <c r="G473" s="7" t="n">
        <v>0</v>
      </c>
      <c r="H473" s="7" t="n">
        <v>0</v>
      </c>
      <c r="I473" s="7" t="n">
        <v>0</v>
      </c>
      <c r="J473" s="7" t="n">
        <v>0</v>
      </c>
      <c r="K473" s="7" t="n">
        <v>0</v>
      </c>
      <c r="L473" s="7" t="n">
        <v>0</v>
      </c>
      <c r="M473" s="7" t="n">
        <v>0</v>
      </c>
      <c r="N473" s="7" t="n">
        <v>0</v>
      </c>
      <c r="O473" s="7" t="n">
        <v>0</v>
      </c>
      <c r="P473" s="7" t="n">
        <v>0</v>
      </c>
      <c r="Q473" s="8" t="n">
        <f aca="false">IF(F473=0,0,H473/F473)</f>
        <v>0</v>
      </c>
      <c r="R473" s="8" t="n">
        <f aca="false">IF(F473+O473=0,0,(H473+O473)/(F473+O473))</f>
        <v>0</v>
      </c>
      <c r="S473" s="8" t="n">
        <f aca="false">IF(F473=0,0,M473/F473)</f>
        <v>0</v>
      </c>
      <c r="T473" s="8" t="n">
        <f aca="false">S473+R473</f>
        <v>0</v>
      </c>
      <c r="U473" s="8" t="n">
        <f aca="false">S473-Q473</f>
        <v>0</v>
      </c>
    </row>
    <row r="474" customFormat="false" ht="14.25" hidden="false" customHeight="true" outlineLevel="0" collapsed="false">
      <c r="A474" s="6" t="s">
        <v>522</v>
      </c>
      <c r="B474" s="6" t="s">
        <v>192</v>
      </c>
      <c r="C474" s="7" t="n">
        <v>1</v>
      </c>
      <c r="D474" s="7" t="s">
        <v>573</v>
      </c>
      <c r="E474" s="7" t="n">
        <v>1</v>
      </c>
      <c r="F474" s="7" t="n">
        <v>1</v>
      </c>
      <c r="G474" s="7" t="n">
        <v>0</v>
      </c>
      <c r="H474" s="7" t="n">
        <v>0</v>
      </c>
      <c r="I474" s="7" t="n">
        <v>0</v>
      </c>
      <c r="J474" s="7" t="n">
        <v>0</v>
      </c>
      <c r="K474" s="7" t="n">
        <v>0</v>
      </c>
      <c r="L474" s="7" t="n">
        <v>0</v>
      </c>
      <c r="M474" s="7" t="n">
        <v>0</v>
      </c>
      <c r="N474" s="7" t="n">
        <v>0</v>
      </c>
      <c r="O474" s="7" t="n">
        <v>0</v>
      </c>
      <c r="P474" s="7" t="n">
        <v>0</v>
      </c>
      <c r="Q474" s="8" t="n">
        <f aca="false">IF(F474=0,0,H474/F474)</f>
        <v>0</v>
      </c>
      <c r="R474" s="8" t="n">
        <f aca="false">IF(F474+O474=0,0,(H474+O474)/(F474+O474))</f>
        <v>0</v>
      </c>
      <c r="S474" s="8" t="n">
        <f aca="false">IF(F474=0,0,M474/F474)</f>
        <v>0</v>
      </c>
      <c r="T474" s="8" t="n">
        <f aca="false">S474+R474</f>
        <v>0</v>
      </c>
      <c r="U474" s="8" t="n">
        <f aca="false">S474-Q474</f>
        <v>0</v>
      </c>
    </row>
    <row r="475" customFormat="false" ht="14.25" hidden="false" customHeight="true" outlineLevel="0" collapsed="false">
      <c r="A475" s="6" t="s">
        <v>523</v>
      </c>
      <c r="B475" s="6" t="s">
        <v>192</v>
      </c>
      <c r="C475" s="7" t="n">
        <v>1</v>
      </c>
      <c r="D475" s="7" t="s">
        <v>573</v>
      </c>
      <c r="E475" s="7" t="n">
        <v>1</v>
      </c>
      <c r="F475" s="7" t="n">
        <v>2</v>
      </c>
      <c r="G475" s="7" t="n">
        <v>0</v>
      </c>
      <c r="H475" s="7" t="n">
        <v>0</v>
      </c>
      <c r="I475" s="7" t="n">
        <v>0</v>
      </c>
      <c r="J475" s="7" t="n">
        <v>0</v>
      </c>
      <c r="K475" s="7" t="n">
        <v>0</v>
      </c>
      <c r="L475" s="7" t="n">
        <v>0</v>
      </c>
      <c r="M475" s="7" t="n">
        <v>0</v>
      </c>
      <c r="N475" s="7" t="n">
        <v>0</v>
      </c>
      <c r="O475" s="7" t="n">
        <v>0</v>
      </c>
      <c r="P475" s="7" t="n">
        <v>0</v>
      </c>
      <c r="Q475" s="8" t="n">
        <f aca="false">IF(F475=0,0,H475/F475)</f>
        <v>0</v>
      </c>
      <c r="R475" s="8" t="n">
        <f aca="false">IF(F475+O475=0,0,(H475+O475)/(F475+O475))</f>
        <v>0</v>
      </c>
      <c r="S475" s="8" t="n">
        <f aca="false">IF(F475=0,0,M475/F475)</f>
        <v>0</v>
      </c>
      <c r="T475" s="8" t="n">
        <f aca="false">S475+R475</f>
        <v>0</v>
      </c>
      <c r="U475" s="8" t="n">
        <f aca="false">S475-Q475</f>
        <v>0</v>
      </c>
    </row>
    <row r="476" customFormat="false" ht="14.25" hidden="false" customHeight="true" outlineLevel="0" collapsed="false">
      <c r="A476" s="6" t="s">
        <v>528</v>
      </c>
      <c r="B476" s="6" t="s">
        <v>212</v>
      </c>
      <c r="C476" s="7" t="n">
        <v>1</v>
      </c>
      <c r="D476" s="7" t="s">
        <v>573</v>
      </c>
      <c r="E476" s="7" t="n">
        <v>1</v>
      </c>
      <c r="F476" s="7" t="n">
        <v>0</v>
      </c>
      <c r="G476" s="7" t="n">
        <v>0</v>
      </c>
      <c r="H476" s="7" t="n">
        <v>0</v>
      </c>
      <c r="I476" s="7" t="n">
        <v>0</v>
      </c>
      <c r="J476" s="7" t="n">
        <v>0</v>
      </c>
      <c r="K476" s="7" t="n">
        <v>0</v>
      </c>
      <c r="L476" s="7" t="n">
        <v>0</v>
      </c>
      <c r="M476" s="7" t="n">
        <v>0</v>
      </c>
      <c r="N476" s="7" t="n">
        <v>0</v>
      </c>
      <c r="O476" s="7" t="n">
        <v>0</v>
      </c>
      <c r="P476" s="7" t="n">
        <v>0</v>
      </c>
      <c r="Q476" s="8" t="n">
        <f aca="false">IF(F476=0,0,H476/F476)</f>
        <v>0</v>
      </c>
      <c r="R476" s="8" t="n">
        <f aca="false">IF(F476+O476=0,0,(H476+O476)/(F476+O476))</f>
        <v>0</v>
      </c>
      <c r="S476" s="8" t="n">
        <f aca="false">IF(F476=0,0,M476/F476)</f>
        <v>0</v>
      </c>
      <c r="T476" s="8" t="n">
        <f aca="false">S476+R476</f>
        <v>0</v>
      </c>
      <c r="U476" s="8" t="n">
        <f aca="false">S476-Q476</f>
        <v>0</v>
      </c>
    </row>
    <row r="477" customFormat="false" ht="14.25" hidden="false" customHeight="true" outlineLevel="0" collapsed="false">
      <c r="A477" s="6" t="s">
        <v>529</v>
      </c>
      <c r="B477" s="6" t="s">
        <v>212</v>
      </c>
      <c r="C477" s="7" t="n">
        <v>1</v>
      </c>
      <c r="D477" s="7" t="s">
        <v>573</v>
      </c>
      <c r="E477" s="7" t="n">
        <v>1</v>
      </c>
      <c r="F477" s="7" t="n">
        <v>1</v>
      </c>
      <c r="G477" s="7" t="n">
        <v>0</v>
      </c>
      <c r="H477" s="7" t="n">
        <v>0</v>
      </c>
      <c r="I477" s="7" t="n">
        <v>0</v>
      </c>
      <c r="J477" s="7" t="n">
        <v>0</v>
      </c>
      <c r="K477" s="7" t="n">
        <v>0</v>
      </c>
      <c r="L477" s="7" t="n">
        <v>0</v>
      </c>
      <c r="M477" s="7" t="n">
        <v>0</v>
      </c>
      <c r="N477" s="7" t="n">
        <v>0</v>
      </c>
      <c r="O477" s="7" t="n">
        <v>0</v>
      </c>
      <c r="P477" s="7" t="n">
        <v>0</v>
      </c>
      <c r="Q477" s="8" t="n">
        <f aca="false">IF(F477=0,0,H477/F477)</f>
        <v>0</v>
      </c>
      <c r="R477" s="8" t="n">
        <f aca="false">IF(F477+O477=0,0,(H477+O477)/(F477+O477))</f>
        <v>0</v>
      </c>
      <c r="S477" s="8" t="n">
        <f aca="false">IF(F477=0,0,M477/F477)</f>
        <v>0</v>
      </c>
      <c r="T477" s="8" t="n">
        <f aca="false">S477+R477</f>
        <v>0</v>
      </c>
      <c r="U477" s="8" t="n">
        <f aca="false">S477-Q477</f>
        <v>0</v>
      </c>
    </row>
    <row r="478" customFormat="false" ht="14.25" hidden="false" customHeight="true" outlineLevel="0" collapsed="false">
      <c r="A478" s="6" t="s">
        <v>105</v>
      </c>
      <c r="B478" s="6" t="s">
        <v>97</v>
      </c>
      <c r="C478" s="7" t="n">
        <v>1</v>
      </c>
      <c r="D478" s="9" t="n">
        <v>2026</v>
      </c>
      <c r="E478" s="7" t="n">
        <v>12</v>
      </c>
      <c r="F478" s="7" t="n">
        <v>34</v>
      </c>
      <c r="G478" s="7" t="n">
        <v>2</v>
      </c>
      <c r="H478" s="7" t="n">
        <v>7</v>
      </c>
      <c r="I478" s="7" t="n">
        <v>0</v>
      </c>
      <c r="J478" s="7" t="n">
        <v>0</v>
      </c>
      <c r="K478" s="7" t="n">
        <v>0</v>
      </c>
      <c r="L478" s="7" t="n">
        <v>0</v>
      </c>
      <c r="M478" s="7" t="n">
        <v>7</v>
      </c>
      <c r="N478" s="7" t="n">
        <v>1</v>
      </c>
      <c r="O478" s="7" t="n">
        <v>2</v>
      </c>
      <c r="P478" s="7" t="n">
        <v>2</v>
      </c>
      <c r="Q478" s="8" t="n">
        <f aca="false">IF(F478=0,0,H478/F478)</f>
        <v>0.205882352941176</v>
      </c>
      <c r="R478" s="8" t="n">
        <f aca="false">IF(F478+O478=0,0,(H478+O478)/(F478+O478))</f>
        <v>0.25</v>
      </c>
      <c r="S478" s="8" t="n">
        <f aca="false">IF(F478=0,0,M478/F478)</f>
        <v>0.205882352941176</v>
      </c>
      <c r="T478" s="8" t="n">
        <f aca="false">S478+R478</f>
        <v>0.455882352941176</v>
      </c>
      <c r="U478" s="8" t="n">
        <f aca="false">S478-Q478</f>
        <v>0</v>
      </c>
    </row>
    <row r="479" customFormat="false" ht="14.25" hidden="false" customHeight="true" outlineLevel="0" collapsed="false">
      <c r="A479" s="6" t="s">
        <v>209</v>
      </c>
      <c r="B479" s="6" t="s">
        <v>192</v>
      </c>
      <c r="C479" s="7" t="n">
        <v>1</v>
      </c>
      <c r="D479" s="9" t="s">
        <v>555</v>
      </c>
      <c r="E479" s="7" t="n">
        <v>1</v>
      </c>
      <c r="F479" s="7" t="n">
        <v>1</v>
      </c>
      <c r="G479" s="7" t="n">
        <v>0</v>
      </c>
      <c r="H479" s="7" t="n">
        <v>1</v>
      </c>
      <c r="I479" s="7" t="n">
        <v>0</v>
      </c>
      <c r="J479" s="7" t="n">
        <v>0</v>
      </c>
      <c r="K479" s="7" t="n">
        <v>0</v>
      </c>
      <c r="L479" s="7" t="n">
        <v>0</v>
      </c>
      <c r="M479" s="7" t="n">
        <v>1</v>
      </c>
      <c r="N479" s="7" t="n">
        <v>0</v>
      </c>
      <c r="O479" s="7" t="n">
        <v>0</v>
      </c>
      <c r="P479" s="7" t="n">
        <v>0</v>
      </c>
      <c r="Q479" s="8" t="n">
        <f aca="false">IF(F479=0,0,H479/F479)</f>
        <v>1</v>
      </c>
      <c r="R479" s="8" t="n">
        <f aca="false">IF(F479+O479=0,0,(H479+O479)/(F479+O479))</f>
        <v>1</v>
      </c>
      <c r="S479" s="8" t="n">
        <f aca="false">IF(F479=0,0,M479/F479)</f>
        <v>1</v>
      </c>
      <c r="T479" s="8" t="n">
        <f aca="false">S479+R479</f>
        <v>2</v>
      </c>
      <c r="U479" s="8" t="n">
        <f aca="false">S479-Q479</f>
        <v>0</v>
      </c>
    </row>
    <row r="480" customFormat="false" ht="14.25" hidden="false" customHeight="true" outlineLevel="0" collapsed="false">
      <c r="A480" s="6" t="s">
        <v>115</v>
      </c>
      <c r="B480" s="6" t="s">
        <v>97</v>
      </c>
      <c r="C480" s="7" t="n">
        <v>1</v>
      </c>
      <c r="D480" s="9" t="s">
        <v>555</v>
      </c>
      <c r="E480" s="7" t="n">
        <v>2</v>
      </c>
      <c r="F480" s="7" t="n">
        <v>5</v>
      </c>
      <c r="G480" s="7" t="n">
        <v>0</v>
      </c>
      <c r="H480" s="7" t="n">
        <v>2</v>
      </c>
      <c r="I480" s="7" t="n">
        <v>0</v>
      </c>
      <c r="J480" s="7" t="n">
        <v>0</v>
      </c>
      <c r="K480" s="7" t="n">
        <v>0</v>
      </c>
      <c r="L480" s="7" t="n">
        <v>0</v>
      </c>
      <c r="M480" s="7" t="n">
        <v>2</v>
      </c>
      <c r="N480" s="7" t="n">
        <v>0</v>
      </c>
      <c r="O480" s="7" t="n">
        <v>0</v>
      </c>
      <c r="P480" s="7" t="n">
        <v>2</v>
      </c>
      <c r="Q480" s="8" t="n">
        <f aca="false">IF(F480=0,0,H480/F480)</f>
        <v>0.4</v>
      </c>
      <c r="R480" s="8" t="n">
        <f aca="false">IF(F480+O480=0,0,(H480+O480)/(F480+O480))</f>
        <v>0.4</v>
      </c>
      <c r="S480" s="8" t="n">
        <f aca="false">IF(F480=0,0,M480/F480)</f>
        <v>0.4</v>
      </c>
      <c r="T480" s="8" t="n">
        <f aca="false">S480+R480</f>
        <v>0.8</v>
      </c>
      <c r="U480" s="8" t="n">
        <f aca="false">S480-Q480</f>
        <v>0</v>
      </c>
    </row>
    <row r="481" customFormat="false" ht="14.25" hidden="false" customHeight="true" outlineLevel="0" collapsed="false">
      <c r="A481" s="6" t="s">
        <v>116</v>
      </c>
      <c r="B481" s="6" t="s">
        <v>97</v>
      </c>
      <c r="C481" s="7" t="n">
        <v>1</v>
      </c>
      <c r="D481" s="9" t="s">
        <v>555</v>
      </c>
      <c r="E481" s="7" t="n">
        <v>1</v>
      </c>
      <c r="F481" s="7" t="n">
        <v>1</v>
      </c>
      <c r="G481" s="7" t="n">
        <v>0</v>
      </c>
      <c r="H481" s="7" t="n">
        <v>0</v>
      </c>
      <c r="I481" s="7" t="n">
        <v>0</v>
      </c>
      <c r="J481" s="7" t="n">
        <v>0</v>
      </c>
      <c r="K481" s="7" t="n">
        <v>0</v>
      </c>
      <c r="L481" s="7" t="n">
        <v>0</v>
      </c>
      <c r="M481" s="7" t="n">
        <v>0</v>
      </c>
      <c r="N481" s="7" t="n">
        <v>0</v>
      </c>
      <c r="O481" s="7" t="n">
        <v>0</v>
      </c>
      <c r="P481" s="7" t="n">
        <v>0</v>
      </c>
      <c r="Q481" s="8" t="n">
        <f aca="false">IF(F481=0,0,H481/F481)</f>
        <v>0</v>
      </c>
      <c r="R481" s="8" t="n">
        <f aca="false">IF(F481+O481=0,0,(H481+O481)/(F481+O481))</f>
        <v>0</v>
      </c>
      <c r="S481" s="8" t="n">
        <f aca="false">IF(F481=0,0,M481/F481)</f>
        <v>0</v>
      </c>
      <c r="T481" s="8" t="n">
        <f aca="false">S481+R481</f>
        <v>0</v>
      </c>
      <c r="U481" s="8" t="n">
        <f aca="false">S481-Q481</f>
        <v>0</v>
      </c>
    </row>
    <row r="482" customFormat="false" ht="14.25" hidden="false" customHeight="true" outlineLevel="0" collapsed="false">
      <c r="A482" s="6" t="s">
        <v>118</v>
      </c>
      <c r="B482" s="6" t="s">
        <v>97</v>
      </c>
      <c r="C482" s="7" t="n">
        <v>1</v>
      </c>
      <c r="D482" s="9" t="s">
        <v>555</v>
      </c>
      <c r="E482" s="7" t="n">
        <v>1</v>
      </c>
      <c r="F482" s="7" t="n">
        <v>3</v>
      </c>
      <c r="G482" s="7" t="n">
        <v>0</v>
      </c>
      <c r="H482" s="7" t="n">
        <v>0</v>
      </c>
      <c r="I482" s="7" t="n">
        <v>0</v>
      </c>
      <c r="J482" s="7" t="n">
        <v>0</v>
      </c>
      <c r="K482" s="7" t="n">
        <v>0</v>
      </c>
      <c r="L482" s="7" t="n">
        <v>0</v>
      </c>
      <c r="M482" s="7" t="n">
        <v>0</v>
      </c>
      <c r="N482" s="7" t="n">
        <v>0</v>
      </c>
      <c r="O482" s="7" t="n">
        <v>0</v>
      </c>
      <c r="P482" s="7" t="n">
        <v>1</v>
      </c>
      <c r="Q482" s="8" t="n">
        <f aca="false">IF(F482=0,0,H482/F482)</f>
        <v>0</v>
      </c>
      <c r="R482" s="8" t="n">
        <f aca="false">IF(F482+O482=0,0,(H482+O482)/(F482+O482))</f>
        <v>0</v>
      </c>
      <c r="S482" s="8" t="n">
        <f aca="false">IF(F482=0,0,M482/F482)</f>
        <v>0</v>
      </c>
      <c r="T482" s="8" t="n">
        <f aca="false">S482+R482</f>
        <v>0</v>
      </c>
      <c r="U482" s="8" t="n">
        <f aca="false">S482-Q482</f>
        <v>0</v>
      </c>
    </row>
    <row r="483" customFormat="false" ht="14.25" hidden="false" customHeight="true" outlineLevel="0" collapsed="false">
      <c r="A483" s="6" t="s">
        <v>119</v>
      </c>
      <c r="B483" s="6" t="s">
        <v>97</v>
      </c>
      <c r="C483" s="7" t="n">
        <v>1</v>
      </c>
      <c r="D483" s="9" t="s">
        <v>555</v>
      </c>
      <c r="E483" s="7" t="n">
        <v>1</v>
      </c>
      <c r="F483" s="7" t="n">
        <v>1</v>
      </c>
      <c r="G483" s="7" t="n">
        <v>0</v>
      </c>
      <c r="H483" s="7" t="n">
        <v>0</v>
      </c>
      <c r="I483" s="7" t="n">
        <v>0</v>
      </c>
      <c r="J483" s="7" t="n">
        <v>0</v>
      </c>
      <c r="K483" s="7" t="n">
        <v>0</v>
      </c>
      <c r="L483" s="7" t="n">
        <v>0</v>
      </c>
      <c r="M483" s="7" t="n">
        <v>0</v>
      </c>
      <c r="N483" s="7" t="n">
        <v>0</v>
      </c>
      <c r="O483" s="7" t="n">
        <v>1</v>
      </c>
      <c r="P483" s="7" t="n">
        <v>0</v>
      </c>
      <c r="Q483" s="8" t="n">
        <f aca="false">IF(F483=0,0,H483/F483)</f>
        <v>0</v>
      </c>
      <c r="R483" s="8" t="n">
        <f aca="false">IF(F483+O483=0,0,(H483+O483)/(F483+O483))</f>
        <v>0.5</v>
      </c>
      <c r="S483" s="8" t="n">
        <f aca="false">IF(F483=0,0,M483/F483)</f>
        <v>0</v>
      </c>
      <c r="T483" s="8" t="n">
        <f aca="false">S483+R483</f>
        <v>0.5</v>
      </c>
      <c r="U483" s="8" t="n">
        <f aca="false">S483-Q483</f>
        <v>0</v>
      </c>
    </row>
    <row r="484" customFormat="false" ht="14.25" hidden="false" customHeight="true" outlineLevel="0" collapsed="false">
      <c r="A484" s="6" t="s">
        <v>189</v>
      </c>
      <c r="B484" s="6" t="s">
        <v>166</v>
      </c>
      <c r="C484" s="7" t="n">
        <v>3</v>
      </c>
      <c r="D484" s="9" t="s">
        <v>580</v>
      </c>
      <c r="E484" s="7" t="n">
        <v>9</v>
      </c>
      <c r="F484" s="7" t="n">
        <v>16</v>
      </c>
      <c r="G484" s="7" t="n">
        <v>2</v>
      </c>
      <c r="H484" s="7" t="n">
        <v>2</v>
      </c>
      <c r="I484" s="7" t="n">
        <v>0</v>
      </c>
      <c r="J484" s="7" t="n">
        <v>0</v>
      </c>
      <c r="K484" s="7" t="n">
        <v>0</v>
      </c>
      <c r="L484" s="7" t="n">
        <v>0</v>
      </c>
      <c r="M484" s="7" t="n">
        <v>2</v>
      </c>
      <c r="N484" s="7" t="n">
        <v>0</v>
      </c>
      <c r="O484" s="7" t="n">
        <v>0</v>
      </c>
      <c r="P484" s="7" t="n">
        <v>0</v>
      </c>
      <c r="Q484" s="8" t="n">
        <f aca="false">IF(F484=0,0,H484/F484)</f>
        <v>0.125</v>
      </c>
      <c r="R484" s="8" t="n">
        <f aca="false">IF(F484+O484=0,0,(H484+O484)/(F484+O484))</f>
        <v>0.125</v>
      </c>
      <c r="S484" s="8" t="n">
        <f aca="false">IF(F484=0,0,M484/F484)</f>
        <v>0.125</v>
      </c>
      <c r="T484" s="8" t="n">
        <f aca="false">S484+R484</f>
        <v>0.25</v>
      </c>
      <c r="U484" s="8" t="n">
        <f aca="false">S484-Q484</f>
        <v>0</v>
      </c>
    </row>
    <row r="485" customFormat="false" ht="14.25" hidden="false" customHeight="true" outlineLevel="0" collapsed="false">
      <c r="A485" s="1" t="s">
        <v>234</v>
      </c>
      <c r="B485" s="1" t="s">
        <v>212</v>
      </c>
      <c r="C485" s="1" t="n">
        <v>1</v>
      </c>
      <c r="D485" s="1" t="s">
        <v>555</v>
      </c>
      <c r="E485" s="1" t="n">
        <v>1</v>
      </c>
      <c r="F485" s="1" t="n">
        <v>1</v>
      </c>
      <c r="G485" s="1" t="n">
        <v>1</v>
      </c>
      <c r="H485" s="1" t="n">
        <v>1</v>
      </c>
      <c r="I485" s="1" t="n">
        <v>0</v>
      </c>
      <c r="J485" s="1" t="n">
        <v>0</v>
      </c>
      <c r="K485" s="1" t="n">
        <v>0</v>
      </c>
      <c r="L485" s="1" t="n">
        <v>0</v>
      </c>
      <c r="M485" s="1" t="n">
        <v>1</v>
      </c>
      <c r="N485" s="1" t="n">
        <v>0</v>
      </c>
      <c r="O485" s="1" t="n">
        <v>1</v>
      </c>
      <c r="P485" s="1" t="n">
        <v>0</v>
      </c>
      <c r="Q485" s="1" t="n">
        <f aca="false">IF(F485=0,0,H485/F485)</f>
        <v>1</v>
      </c>
      <c r="R485" s="1" t="n">
        <f aca="false">IF(F485+O485=0,0,(H485+O485)/(F485+O485))</f>
        <v>1</v>
      </c>
      <c r="S485" s="1" t="n">
        <f aca="false">IF(F485=0,0,M485/F485)</f>
        <v>1</v>
      </c>
      <c r="T485" s="1" t="n">
        <f aca="false">S485+R485</f>
        <v>2</v>
      </c>
      <c r="U485" s="1" t="n">
        <f aca="false">S485-Q485</f>
        <v>0</v>
      </c>
    </row>
    <row r="486" customFormat="false" ht="14.25" hidden="false" customHeight="true" outlineLevel="0" collapsed="false">
      <c r="A486" s="6" t="s">
        <v>210</v>
      </c>
      <c r="B486" s="6" t="s">
        <v>192</v>
      </c>
      <c r="C486" s="7" t="n">
        <v>1</v>
      </c>
      <c r="D486" s="9" t="s">
        <v>555</v>
      </c>
      <c r="E486" s="7" t="n">
        <v>1</v>
      </c>
      <c r="F486" s="7" t="n">
        <v>2</v>
      </c>
      <c r="G486" s="7" t="n">
        <v>0</v>
      </c>
      <c r="H486" s="7" t="n">
        <v>0</v>
      </c>
      <c r="I486" s="7" t="n">
        <v>0</v>
      </c>
      <c r="J486" s="7" t="n">
        <v>0</v>
      </c>
      <c r="K486" s="7" t="n">
        <v>0</v>
      </c>
      <c r="L486" s="7" t="n">
        <v>0</v>
      </c>
      <c r="M486" s="7" t="n">
        <v>0</v>
      </c>
      <c r="N486" s="7" t="n">
        <v>0</v>
      </c>
      <c r="O486" s="7" t="n">
        <v>0</v>
      </c>
      <c r="P486" s="7" t="n">
        <v>0</v>
      </c>
      <c r="Q486" s="8" t="n">
        <f aca="false">IF(F486=0,0,H486/F486)</f>
        <v>0</v>
      </c>
      <c r="R486" s="8" t="n">
        <f aca="false">IF(F486+O486=0,0,(H486+O486)/(F486+O486))</f>
        <v>0</v>
      </c>
      <c r="S486" s="8" t="n">
        <f aca="false">IF(F486=0,0,M486/F486)</f>
        <v>0</v>
      </c>
      <c r="T486" s="8" t="n">
        <f aca="false">S486+R486</f>
        <v>0</v>
      </c>
      <c r="U486" s="8" t="n">
        <f aca="false">S486-Q486</f>
        <v>0</v>
      </c>
    </row>
    <row r="487" customFormat="false" ht="14.25" hidden="false" customHeight="true" outlineLevel="0" collapsed="false">
      <c r="A487" s="6" t="s">
        <v>96</v>
      </c>
      <c r="B487" s="6" t="s">
        <v>71</v>
      </c>
      <c r="C487" s="7" t="n">
        <v>1</v>
      </c>
      <c r="D487" s="9" t="s">
        <v>555</v>
      </c>
      <c r="E487" s="7" t="n">
        <v>1</v>
      </c>
      <c r="F487" s="7" t="n">
        <v>2</v>
      </c>
      <c r="G487" s="7" t="n">
        <v>1</v>
      </c>
      <c r="H487" s="7" t="n">
        <v>1</v>
      </c>
      <c r="I487" s="7" t="n">
        <v>0</v>
      </c>
      <c r="J487" s="7" t="n">
        <v>0</v>
      </c>
      <c r="K487" s="7" t="n">
        <v>0</v>
      </c>
      <c r="L487" s="7" t="n">
        <v>0</v>
      </c>
      <c r="M487" s="7" t="n">
        <v>1</v>
      </c>
      <c r="N487" s="7" t="n">
        <v>0</v>
      </c>
      <c r="O487" s="7" t="n">
        <v>0</v>
      </c>
      <c r="P487" s="7" t="n">
        <v>0</v>
      </c>
      <c r="Q487" s="8" t="n">
        <f aca="false">IF(F487=0,0,H487/F487)</f>
        <v>0.5</v>
      </c>
      <c r="R487" s="8" t="n">
        <f aca="false">IF(F487+O487=0,0,(H487+O487)/(F487+O487))</f>
        <v>0.5</v>
      </c>
      <c r="S487" s="8" t="n">
        <f aca="false">IF(F487=0,0,M487/F487)</f>
        <v>0.5</v>
      </c>
      <c r="T487" s="8" t="n">
        <f aca="false">S487+R487</f>
        <v>1</v>
      </c>
      <c r="U487" s="8" t="n">
        <f aca="false">S487-Q487</f>
        <v>0</v>
      </c>
    </row>
    <row r="488" customFormat="false" ht="14.25" hidden="false" customHeight="true" outlineLevel="0" collapsed="false">
      <c r="A488" s="6" t="s">
        <v>235</v>
      </c>
      <c r="B488" s="6" t="s">
        <v>212</v>
      </c>
      <c r="C488" s="7" t="n">
        <v>1</v>
      </c>
      <c r="D488" s="9" t="s">
        <v>555</v>
      </c>
      <c r="E488" s="7" t="n">
        <v>1</v>
      </c>
      <c r="F488" s="7" t="n">
        <v>2</v>
      </c>
      <c r="G488" s="7" t="n">
        <v>0</v>
      </c>
      <c r="H488" s="7" t="n">
        <v>0</v>
      </c>
      <c r="I488" s="7" t="n">
        <v>0</v>
      </c>
      <c r="J488" s="7" t="n">
        <v>0</v>
      </c>
      <c r="K488" s="7" t="n">
        <v>0</v>
      </c>
      <c r="L488" s="7" t="n">
        <v>0</v>
      </c>
      <c r="M488" s="7" t="n">
        <v>0</v>
      </c>
      <c r="N488" s="7" t="n">
        <v>0</v>
      </c>
      <c r="O488" s="7" t="n">
        <v>0</v>
      </c>
      <c r="P488" s="7" t="n">
        <v>0</v>
      </c>
      <c r="Q488" s="8" t="n">
        <f aca="false">IF(F488=0,0,H488/F488)</f>
        <v>0</v>
      </c>
      <c r="R488" s="8" t="n">
        <f aca="false">IF(F488+O488=0,0,(H488+O488)/(F488+O488))</f>
        <v>0</v>
      </c>
      <c r="S488" s="8" t="n">
        <f aca="false">IF(F488=0,0,M488/F488)</f>
        <v>0</v>
      </c>
      <c r="T488" s="8" t="n">
        <f aca="false">S488+R488</f>
        <v>0</v>
      </c>
      <c r="U488" s="8" t="n">
        <f aca="false">S488-Q488</f>
        <v>0</v>
      </c>
    </row>
    <row r="489" customFormat="false" ht="14.25" hidden="false" customHeight="true" outlineLevel="0" collapsed="false">
      <c r="A489" s="6" t="s">
        <v>236</v>
      </c>
      <c r="B489" s="6" t="s">
        <v>212</v>
      </c>
      <c r="C489" s="7" t="n">
        <v>1</v>
      </c>
      <c r="D489" s="9" t="s">
        <v>555</v>
      </c>
      <c r="E489" s="7" t="n">
        <v>1</v>
      </c>
      <c r="F489" s="7" t="n">
        <v>1</v>
      </c>
      <c r="G489" s="7" t="n">
        <v>0</v>
      </c>
      <c r="H489" s="7" t="n">
        <v>1</v>
      </c>
      <c r="I489" s="7" t="n">
        <v>0</v>
      </c>
      <c r="J489" s="7" t="n">
        <v>0</v>
      </c>
      <c r="K489" s="7" t="n">
        <v>0</v>
      </c>
      <c r="L489" s="7" t="n">
        <v>0</v>
      </c>
      <c r="M489" s="7" t="n">
        <v>1</v>
      </c>
      <c r="N489" s="7" t="n">
        <v>2</v>
      </c>
      <c r="O489" s="7" t="n">
        <v>0</v>
      </c>
      <c r="P489" s="7" t="n">
        <v>0</v>
      </c>
      <c r="Q489" s="8" t="n">
        <f aca="false">IF(F489=0,0,H489/F489)</f>
        <v>1</v>
      </c>
      <c r="R489" s="8" t="n">
        <f aca="false">IF(F489+O489=0,0,(H489+O489)/(F489+O489))</f>
        <v>1</v>
      </c>
      <c r="S489" s="8" t="n">
        <f aca="false">IF(F489=0,0,M489/F489)</f>
        <v>1</v>
      </c>
      <c r="T489" s="8" t="n">
        <f aca="false">S489+R489</f>
        <v>2</v>
      </c>
      <c r="U489" s="8" t="n">
        <f aca="false">S489-Q489</f>
        <v>0</v>
      </c>
    </row>
    <row r="490" customFormat="false" ht="14.25" hidden="false" customHeight="true" outlineLevel="0" collapsed="false">
      <c r="A490" s="6" t="s">
        <v>190</v>
      </c>
      <c r="B490" s="6" t="s">
        <v>166</v>
      </c>
      <c r="C490" s="7" t="n">
        <v>1</v>
      </c>
      <c r="D490" s="9" t="s">
        <v>555</v>
      </c>
      <c r="E490" s="7" t="n">
        <v>1</v>
      </c>
      <c r="F490" s="7" t="n">
        <v>2</v>
      </c>
      <c r="G490" s="7" t="n">
        <v>0</v>
      </c>
      <c r="H490" s="7" t="n">
        <v>0</v>
      </c>
      <c r="I490" s="7" t="n">
        <v>0</v>
      </c>
      <c r="J490" s="7" t="n">
        <v>0</v>
      </c>
      <c r="K490" s="7" t="n">
        <v>0</v>
      </c>
      <c r="L490" s="7" t="n">
        <v>0</v>
      </c>
      <c r="M490" s="7" t="n">
        <v>0</v>
      </c>
      <c r="N490" s="7" t="n">
        <v>0</v>
      </c>
      <c r="O490" s="7" t="n">
        <v>0</v>
      </c>
      <c r="P490" s="7" t="n">
        <v>0</v>
      </c>
      <c r="Q490" s="8" t="n">
        <f aca="false">IF(F490=0,0,H490/F490)</f>
        <v>0</v>
      </c>
      <c r="R490" s="8" t="n">
        <f aca="false">IF(F490+O490=0,0,(H490+O490)/(F490+O490))</f>
        <v>0</v>
      </c>
      <c r="S490" s="8" t="n">
        <f aca="false">IF(F490=0,0,M490/F490)</f>
        <v>0</v>
      </c>
      <c r="T490" s="8" t="n">
        <f aca="false">S490+R490</f>
        <v>0</v>
      </c>
      <c r="U490" s="8" t="n">
        <f aca="false">S490-Q490</f>
        <v>0</v>
      </c>
    </row>
    <row r="491" customFormat="false" ht="14.25" hidden="false" customHeight="true" outlineLevel="0" collapsed="false"/>
  </sheetData>
  <autoFilter ref="A1:U480">
    <sortState ref="A2:U480">
      <sortCondition ref="A2:A480" descending="1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5"/>
    <col collapsed="false" customWidth="true" hidden="false" outlineLevel="0" max="4" min="4" style="1" width="6"/>
    <col collapsed="false" customWidth="true" hidden="false" outlineLevel="0" max="5" min="5" style="1" width="7"/>
    <col collapsed="false" customWidth="true" hidden="false" outlineLevel="0" max="13" min="6" style="1" width="6"/>
    <col collapsed="false" customWidth="true" hidden="false" outlineLevel="0" max="14" min="14" style="1" width="7"/>
    <col collapsed="false" customWidth="true" hidden="false" outlineLevel="0" max="16" min="15" style="1" width="6"/>
    <col collapsed="false" customWidth="true" hidden="false" outlineLevel="0" max="17" min="17" style="1" width="7"/>
  </cols>
  <sheetData>
    <row r="1" customFormat="false" ht="14.25" hidden="false" customHeight="true" outlineLevel="0" collapsed="false">
      <c r="A1" s="5" t="s">
        <v>30</v>
      </c>
      <c r="B1" s="5" t="s">
        <v>31</v>
      </c>
      <c r="C1" s="5" t="s">
        <v>641</v>
      </c>
      <c r="D1" s="5" t="s">
        <v>33</v>
      </c>
      <c r="E1" s="5" t="s">
        <v>642</v>
      </c>
      <c r="F1" s="5" t="s">
        <v>643</v>
      </c>
      <c r="G1" s="5" t="s">
        <v>644</v>
      </c>
      <c r="H1" s="5" t="s">
        <v>36</v>
      </c>
      <c r="I1" s="5" t="s">
        <v>35</v>
      </c>
      <c r="J1" s="5" t="s">
        <v>645</v>
      </c>
      <c r="K1" s="5" t="s">
        <v>43</v>
      </c>
      <c r="L1" s="5" t="s">
        <v>44</v>
      </c>
      <c r="M1" s="5" t="s">
        <v>39</v>
      </c>
      <c r="N1" s="5" t="s">
        <v>646</v>
      </c>
      <c r="O1" s="5" t="s">
        <v>647</v>
      </c>
      <c r="P1" s="5" t="s">
        <v>648</v>
      </c>
      <c r="Q1" s="5" t="s">
        <v>649</v>
      </c>
    </row>
    <row r="2" customFormat="false" ht="14.25" hidden="false" customHeight="true" outlineLevel="0" collapsed="false">
      <c r="A2" s="6" t="n">
        <v>2019</v>
      </c>
      <c r="B2" s="6" t="s">
        <v>50</v>
      </c>
      <c r="C2" s="6" t="s">
        <v>66</v>
      </c>
      <c r="D2" s="7" t="n">
        <v>8</v>
      </c>
      <c r="E2" s="11" t="n">
        <v>52.2</v>
      </c>
      <c r="F2" s="7" t="n">
        <v>4</v>
      </c>
      <c r="G2" s="7" t="n">
        <v>3</v>
      </c>
      <c r="H2" s="7" t="n">
        <v>63</v>
      </c>
      <c r="I2" s="7" t="n">
        <v>38</v>
      </c>
      <c r="J2" s="7" t="n">
        <v>29</v>
      </c>
      <c r="K2" s="7" t="n">
        <v>32</v>
      </c>
      <c r="L2" s="7" t="n">
        <v>6</v>
      </c>
      <c r="M2" s="7" t="n">
        <v>7</v>
      </c>
      <c r="N2" s="12" t="n">
        <v>3.85</v>
      </c>
      <c r="O2" s="12" t="n">
        <v>1.8</v>
      </c>
      <c r="P2" s="12" t="n">
        <v>0.8</v>
      </c>
      <c r="Q2" s="12" t="n">
        <v>4.25</v>
      </c>
    </row>
    <row r="3" customFormat="false" ht="14.25" hidden="false" customHeight="true" outlineLevel="0" collapsed="false">
      <c r="A3" s="6" t="n">
        <v>2019</v>
      </c>
      <c r="B3" s="6" t="s">
        <v>50</v>
      </c>
      <c r="C3" s="6" t="s">
        <v>64</v>
      </c>
      <c r="D3" s="7" t="n">
        <v>2</v>
      </c>
      <c r="E3" s="11" t="n">
        <v>14</v>
      </c>
      <c r="F3" s="7" t="n">
        <v>2</v>
      </c>
      <c r="G3" s="7" t="n">
        <v>0</v>
      </c>
      <c r="H3" s="7" t="n">
        <v>11</v>
      </c>
      <c r="I3" s="7" t="n">
        <v>5</v>
      </c>
      <c r="J3" s="7" t="n">
        <v>4</v>
      </c>
      <c r="K3" s="7" t="n">
        <v>1</v>
      </c>
      <c r="L3" s="7" t="n">
        <v>2</v>
      </c>
      <c r="M3" s="7" t="n">
        <v>2</v>
      </c>
      <c r="N3" s="12" t="n">
        <f aca="false">IF(E3=0,0,J3*7/E3)</f>
        <v>2</v>
      </c>
      <c r="O3" s="12" t="n">
        <f aca="false">IF(E3=0,0,(H3+K3)/E3)</f>
        <v>0.857142857142857</v>
      </c>
      <c r="P3" s="12" t="n">
        <f aca="false">IF(E3=0,0,L3*7/E3)</f>
        <v>1</v>
      </c>
      <c r="Q3" s="12" t="n">
        <f aca="false">IF(E3=0,0,K3*7/E3)</f>
        <v>0.5</v>
      </c>
    </row>
    <row r="4" customFormat="false" ht="14.25" hidden="false" customHeight="true" outlineLevel="0" collapsed="false">
      <c r="A4" s="6" t="n">
        <v>2019</v>
      </c>
      <c r="B4" s="6" t="s">
        <v>50</v>
      </c>
      <c r="C4" s="6" t="s">
        <v>52</v>
      </c>
      <c r="D4" s="7" t="n">
        <v>5</v>
      </c>
      <c r="E4" s="11" t="n">
        <v>27.1</v>
      </c>
      <c r="F4" s="7" t="n">
        <v>1</v>
      </c>
      <c r="G4" s="7" t="n">
        <v>4</v>
      </c>
      <c r="H4" s="7" t="n">
        <v>44</v>
      </c>
      <c r="I4" s="7" t="n">
        <v>38</v>
      </c>
      <c r="J4" s="7" t="n">
        <v>31</v>
      </c>
      <c r="K4" s="7" t="n">
        <v>18</v>
      </c>
      <c r="L4" s="7" t="n">
        <v>5</v>
      </c>
      <c r="M4" s="7" t="n">
        <v>9</v>
      </c>
      <c r="N4" s="12" t="n">
        <v>7.94</v>
      </c>
      <c r="O4" s="12" t="n">
        <v>2.27</v>
      </c>
      <c r="P4" s="12" t="n">
        <v>1.28</v>
      </c>
      <c r="Q4" s="12" t="n">
        <v>4.61</v>
      </c>
    </row>
    <row r="5" customFormat="false" ht="14.25" hidden="false" customHeight="true" outlineLevel="0" collapsed="false">
      <c r="A5" s="6" t="n">
        <v>2019</v>
      </c>
      <c r="B5" s="6" t="s">
        <v>71</v>
      </c>
      <c r="C5" s="6" t="s">
        <v>79</v>
      </c>
      <c r="D5" s="7" t="n">
        <v>13</v>
      </c>
      <c r="E5" s="11" t="n">
        <v>87.1</v>
      </c>
      <c r="F5" s="7" t="n">
        <v>10</v>
      </c>
      <c r="G5" s="7" t="n">
        <v>3</v>
      </c>
      <c r="H5" s="7" t="n">
        <v>110</v>
      </c>
      <c r="I5" s="7" t="n">
        <v>70</v>
      </c>
      <c r="J5" s="7" t="n">
        <v>60</v>
      </c>
      <c r="K5" s="7" t="n">
        <v>58</v>
      </c>
      <c r="L5" s="7" t="n">
        <v>19</v>
      </c>
      <c r="M5" s="7" t="n">
        <v>18</v>
      </c>
      <c r="N5" s="12" t="n">
        <v>4.81</v>
      </c>
      <c r="O5" s="12" t="n">
        <v>1.92</v>
      </c>
      <c r="P5" s="12" t="n">
        <v>1.52</v>
      </c>
      <c r="Q5" s="12" t="n">
        <v>4.65</v>
      </c>
    </row>
    <row r="6" customFormat="false" ht="14.25" hidden="false" customHeight="true" outlineLevel="0" collapsed="false">
      <c r="A6" s="6" t="n">
        <v>2019</v>
      </c>
      <c r="B6" s="6" t="s">
        <v>71</v>
      </c>
      <c r="C6" s="6" t="s">
        <v>86</v>
      </c>
      <c r="D6" s="7" t="n">
        <v>1</v>
      </c>
      <c r="E6" s="11" t="n">
        <v>1</v>
      </c>
      <c r="F6" s="7" t="n">
        <v>0</v>
      </c>
      <c r="G6" s="7" t="n">
        <v>0</v>
      </c>
      <c r="H6" s="7" t="n">
        <v>3</v>
      </c>
      <c r="I6" s="7" t="n">
        <v>1</v>
      </c>
      <c r="J6" s="7" t="n">
        <v>1</v>
      </c>
      <c r="K6" s="7" t="n">
        <v>1</v>
      </c>
      <c r="L6" s="7" t="n">
        <v>0</v>
      </c>
      <c r="M6" s="7" t="n">
        <v>0</v>
      </c>
      <c r="N6" s="12" t="n">
        <f aca="false">IF(E6=0,0,J6*7/E6)</f>
        <v>7</v>
      </c>
      <c r="O6" s="12" t="n">
        <f aca="false">IF(E6=0,0,(H6+K6)/E6)</f>
        <v>4</v>
      </c>
      <c r="P6" s="12" t="n">
        <f aca="false">IF(E6=0,0,L6*7/E6)</f>
        <v>0</v>
      </c>
      <c r="Q6" s="12" t="n">
        <f aca="false">IF(E6=0,0,K6*7/E6)</f>
        <v>7</v>
      </c>
    </row>
    <row r="7" customFormat="false" ht="14.25" hidden="false" customHeight="true" outlineLevel="0" collapsed="false">
      <c r="A7" s="6" t="n">
        <v>2019</v>
      </c>
      <c r="B7" s="6" t="s">
        <v>71</v>
      </c>
      <c r="C7" s="6" t="s">
        <v>85</v>
      </c>
      <c r="D7" s="7" t="n">
        <v>1</v>
      </c>
      <c r="E7" s="11" t="n">
        <v>1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12" t="n">
        <f aca="false">IF(E7=0,0,J7*7/E7)</f>
        <v>0</v>
      </c>
      <c r="O7" s="12" t="n">
        <f aca="false">IF(E7=0,0,(H7+K7)/E7)</f>
        <v>0</v>
      </c>
      <c r="P7" s="12" t="n">
        <f aca="false">IF(E7=0,0,L7*7/E7)</f>
        <v>0</v>
      </c>
      <c r="Q7" s="12" t="n">
        <f aca="false">IF(E7=0,0,K7*7/E7)</f>
        <v>0</v>
      </c>
    </row>
    <row r="8" customFormat="false" ht="14.25" hidden="false" customHeight="true" outlineLevel="0" collapsed="false">
      <c r="A8" s="6" t="n">
        <v>2019</v>
      </c>
      <c r="B8" s="6" t="s">
        <v>97</v>
      </c>
      <c r="C8" s="6" t="s">
        <v>178</v>
      </c>
      <c r="D8" s="7" t="n">
        <v>12</v>
      </c>
      <c r="E8" s="11" t="n">
        <v>82.2</v>
      </c>
      <c r="F8" s="7" t="n">
        <v>7</v>
      </c>
      <c r="G8" s="7" t="n">
        <v>5</v>
      </c>
      <c r="H8" s="7" t="n">
        <v>87</v>
      </c>
      <c r="I8" s="7" t="n">
        <v>55</v>
      </c>
      <c r="J8" s="7" t="n">
        <v>42</v>
      </c>
      <c r="K8" s="7" t="n">
        <v>40</v>
      </c>
      <c r="L8" s="7" t="n">
        <v>22</v>
      </c>
      <c r="M8" s="7" t="n">
        <v>11</v>
      </c>
      <c r="N8" s="12" t="n">
        <v>3.56</v>
      </c>
      <c r="O8" s="12" t="n">
        <v>1.54</v>
      </c>
      <c r="P8" s="12" t="n">
        <v>1.86</v>
      </c>
      <c r="Q8" s="12" t="n">
        <v>3.39</v>
      </c>
    </row>
    <row r="9" customFormat="false" ht="14.25" hidden="false" customHeight="true" outlineLevel="0" collapsed="false">
      <c r="A9" s="6" t="n">
        <v>2019</v>
      </c>
      <c r="B9" s="6" t="s">
        <v>97</v>
      </c>
      <c r="C9" s="6" t="s">
        <v>325</v>
      </c>
      <c r="D9" s="7" t="n">
        <v>1</v>
      </c>
      <c r="E9" s="11" t="n">
        <v>7</v>
      </c>
      <c r="F9" s="7" t="n">
        <v>0</v>
      </c>
      <c r="G9" s="7" t="n">
        <v>1</v>
      </c>
      <c r="H9" s="7" t="n">
        <v>10</v>
      </c>
      <c r="I9" s="7" t="n">
        <v>10</v>
      </c>
      <c r="J9" s="7" t="n">
        <v>10</v>
      </c>
      <c r="K9" s="7" t="n">
        <v>7</v>
      </c>
      <c r="L9" s="7" t="n">
        <v>1</v>
      </c>
      <c r="M9" s="7" t="n">
        <v>2</v>
      </c>
      <c r="N9" s="12" t="n">
        <f aca="false">IF(E9=0,0,J9*7/E9)</f>
        <v>10</v>
      </c>
      <c r="O9" s="12" t="n">
        <f aca="false">IF(E9=0,0,(H9+K9)/E9)</f>
        <v>2.42857142857143</v>
      </c>
      <c r="P9" s="12" t="n">
        <f aca="false">IF(E9=0,0,L9*7/E9)</f>
        <v>1</v>
      </c>
      <c r="Q9" s="12" t="n">
        <f aca="false">IF(E9=0,0,K9*7/E9)</f>
        <v>7</v>
      </c>
    </row>
    <row r="10" customFormat="false" ht="14.25" hidden="false" customHeight="true" outlineLevel="0" collapsed="false">
      <c r="A10" s="6" t="n">
        <v>2019</v>
      </c>
      <c r="B10" s="6" t="s">
        <v>121</v>
      </c>
      <c r="C10" s="6" t="s">
        <v>122</v>
      </c>
      <c r="D10" s="7" t="n">
        <v>5</v>
      </c>
      <c r="E10" s="11" t="n">
        <v>35.2</v>
      </c>
      <c r="F10" s="7" t="n">
        <v>3</v>
      </c>
      <c r="G10" s="7" t="n">
        <v>2</v>
      </c>
      <c r="H10" s="7" t="n">
        <v>45</v>
      </c>
      <c r="I10" s="7" t="n">
        <v>26</v>
      </c>
      <c r="J10" s="7" t="n">
        <v>24</v>
      </c>
      <c r="K10" s="7" t="n">
        <v>12</v>
      </c>
      <c r="L10" s="7" t="n">
        <v>5</v>
      </c>
      <c r="M10" s="7" t="n">
        <v>9</v>
      </c>
      <c r="N10" s="12" t="n">
        <v>4.71</v>
      </c>
      <c r="O10" s="12" t="n">
        <v>1.6</v>
      </c>
      <c r="P10" s="12" t="n">
        <v>0.98</v>
      </c>
      <c r="Q10" s="12" t="n">
        <v>2.36</v>
      </c>
    </row>
    <row r="11" customFormat="false" ht="14.25" hidden="false" customHeight="true" outlineLevel="0" collapsed="false">
      <c r="A11" s="6" t="n">
        <v>2019</v>
      </c>
      <c r="B11" s="6" t="s">
        <v>121</v>
      </c>
      <c r="C11" s="6" t="s">
        <v>132</v>
      </c>
      <c r="D11" s="7" t="n">
        <v>3</v>
      </c>
      <c r="E11" s="11" t="n">
        <v>19</v>
      </c>
      <c r="F11" s="7" t="n">
        <v>2</v>
      </c>
      <c r="G11" s="7" t="n">
        <v>1</v>
      </c>
      <c r="H11" s="7" t="n">
        <v>20</v>
      </c>
      <c r="I11" s="7" t="n">
        <v>16</v>
      </c>
      <c r="J11" s="7" t="n">
        <v>10</v>
      </c>
      <c r="K11" s="7" t="n">
        <v>8</v>
      </c>
      <c r="L11" s="7" t="n">
        <v>1</v>
      </c>
      <c r="M11" s="7" t="n">
        <v>5</v>
      </c>
      <c r="N11" s="12" t="n">
        <f aca="false">IF(E11=0,0,J11*7/E11)</f>
        <v>3.68421052631579</v>
      </c>
      <c r="O11" s="12" t="n">
        <f aca="false">IF(E11=0,0,(H11+K11)/E11)</f>
        <v>1.47368421052632</v>
      </c>
      <c r="P11" s="12" t="n">
        <f aca="false">IF(E11=0,0,L11*7/E11)</f>
        <v>0.368421052631579</v>
      </c>
      <c r="Q11" s="12" t="n">
        <f aca="false">IF(E11=0,0,K11*7/E11)</f>
        <v>2.94736842105263</v>
      </c>
    </row>
    <row r="12" customFormat="false" ht="14.25" hidden="false" customHeight="true" outlineLevel="0" collapsed="false">
      <c r="A12" s="6" t="n">
        <v>2019</v>
      </c>
      <c r="B12" s="6" t="s">
        <v>121</v>
      </c>
      <c r="C12" s="6" t="s">
        <v>133</v>
      </c>
      <c r="D12" s="7" t="n">
        <v>1</v>
      </c>
      <c r="E12" s="11" t="n">
        <v>7</v>
      </c>
      <c r="F12" s="7" t="n">
        <v>1</v>
      </c>
      <c r="G12" s="7" t="n">
        <v>0</v>
      </c>
      <c r="H12" s="7" t="n">
        <v>6</v>
      </c>
      <c r="I12" s="7" t="n">
        <v>2</v>
      </c>
      <c r="J12" s="7" t="n">
        <v>2</v>
      </c>
      <c r="K12" s="7" t="n">
        <v>2</v>
      </c>
      <c r="L12" s="7" t="n">
        <v>0</v>
      </c>
      <c r="M12" s="7" t="n">
        <v>0</v>
      </c>
      <c r="N12" s="12" t="n">
        <f aca="false">IF(E12=0,0,J12*7/E12)</f>
        <v>2</v>
      </c>
      <c r="O12" s="12" t="n">
        <f aca="false">IF(E12=0,0,(H12+K12)/E12)</f>
        <v>1.14285714285714</v>
      </c>
      <c r="P12" s="12" t="n">
        <f aca="false">IF(E12=0,0,L12*7/E12)</f>
        <v>0</v>
      </c>
      <c r="Q12" s="12" t="n">
        <f aca="false">IF(E12=0,0,K12*7/E12)</f>
        <v>2</v>
      </c>
    </row>
    <row r="13" customFormat="false" ht="14.25" hidden="false" customHeight="true" outlineLevel="0" collapsed="false">
      <c r="A13" s="6" t="n">
        <v>2019</v>
      </c>
      <c r="B13" s="6" t="s">
        <v>121</v>
      </c>
      <c r="C13" s="6" t="s">
        <v>144</v>
      </c>
      <c r="D13" s="7" t="n">
        <v>3</v>
      </c>
      <c r="E13" s="11" t="n">
        <v>15</v>
      </c>
      <c r="F13" s="7" t="n">
        <v>1</v>
      </c>
      <c r="G13" s="7" t="n">
        <v>1</v>
      </c>
      <c r="H13" s="7" t="n">
        <v>19</v>
      </c>
      <c r="I13" s="7" t="n">
        <v>14</v>
      </c>
      <c r="J13" s="7" t="n">
        <v>10</v>
      </c>
      <c r="K13" s="7" t="n">
        <v>2</v>
      </c>
      <c r="L13" s="7" t="n">
        <v>1</v>
      </c>
      <c r="M13" s="7" t="n">
        <v>3</v>
      </c>
      <c r="N13" s="12" t="n">
        <f aca="false">IF(E13=0,0,J13*7/E13)</f>
        <v>4.66666666666667</v>
      </c>
      <c r="O13" s="12" t="n">
        <f aca="false">IF(E13=0,0,(H13+K13)/E13)</f>
        <v>1.4</v>
      </c>
      <c r="P13" s="12" t="n">
        <f aca="false">IF(E13=0,0,L13*7/E13)</f>
        <v>0.466666666666667</v>
      </c>
      <c r="Q13" s="12" t="n">
        <f aca="false">IF(E13=0,0,K13*7/E13)</f>
        <v>0.933333333333333</v>
      </c>
    </row>
    <row r="14" customFormat="false" ht="14.25" hidden="false" customHeight="true" outlineLevel="0" collapsed="false">
      <c r="A14" s="6" t="n">
        <v>2019</v>
      </c>
      <c r="B14" s="6" t="s">
        <v>147</v>
      </c>
      <c r="C14" s="6" t="s">
        <v>154</v>
      </c>
      <c r="D14" s="7" t="n">
        <v>13</v>
      </c>
      <c r="E14" s="11" t="n">
        <v>90.1</v>
      </c>
      <c r="F14" s="7" t="n">
        <v>10</v>
      </c>
      <c r="G14" s="7" t="n">
        <v>3</v>
      </c>
      <c r="H14" s="7" t="n">
        <v>91</v>
      </c>
      <c r="I14" s="7" t="n">
        <v>55</v>
      </c>
      <c r="J14" s="7" t="n">
        <v>31</v>
      </c>
      <c r="K14" s="7" t="n">
        <v>50</v>
      </c>
      <c r="L14" s="7" t="n">
        <v>41</v>
      </c>
      <c r="M14" s="7" t="n">
        <v>12</v>
      </c>
      <c r="N14" s="12" t="n">
        <v>2.4</v>
      </c>
      <c r="O14" s="12" t="n">
        <v>1.56</v>
      </c>
      <c r="P14" s="12" t="n">
        <v>3.18</v>
      </c>
      <c r="Q14" s="12" t="n">
        <v>3.87</v>
      </c>
    </row>
    <row r="15" customFormat="false" ht="14.25" hidden="false" customHeight="true" outlineLevel="0" collapsed="false">
      <c r="A15" s="6" t="n">
        <v>2019</v>
      </c>
      <c r="B15" s="6" t="s">
        <v>147</v>
      </c>
      <c r="C15" s="6" t="s">
        <v>150</v>
      </c>
      <c r="D15" s="7" t="n">
        <v>1</v>
      </c>
      <c r="E15" s="11" t="n">
        <v>1</v>
      </c>
      <c r="F15" s="7" t="n">
        <v>0</v>
      </c>
      <c r="G15" s="7" t="n">
        <v>0</v>
      </c>
      <c r="H15" s="7" t="n">
        <v>1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12" t="n">
        <f aca="false">IF(E15=0,0,J15*7/E15)</f>
        <v>0</v>
      </c>
      <c r="O15" s="12" t="n">
        <f aca="false">IF(E15=0,0,(H15+K15)/E15)</f>
        <v>1</v>
      </c>
      <c r="P15" s="12" t="n">
        <f aca="false">IF(E15=0,0,L15*7/E15)</f>
        <v>0</v>
      </c>
      <c r="Q15" s="12" t="n">
        <f aca="false">IF(E15=0,0,K15*7/E15)</f>
        <v>0</v>
      </c>
    </row>
    <row r="16" customFormat="false" ht="14.25" hidden="false" customHeight="true" outlineLevel="0" collapsed="false">
      <c r="A16" s="6" t="n">
        <v>2019</v>
      </c>
      <c r="B16" s="6" t="s">
        <v>166</v>
      </c>
      <c r="C16" s="6" t="s">
        <v>173</v>
      </c>
      <c r="D16" s="7" t="n">
        <v>12</v>
      </c>
      <c r="E16" s="11" t="n">
        <v>82.2</v>
      </c>
      <c r="F16" s="7" t="n">
        <v>4</v>
      </c>
      <c r="G16" s="7" t="n">
        <v>8</v>
      </c>
      <c r="H16" s="7" t="n">
        <v>122</v>
      </c>
      <c r="I16" s="7" t="n">
        <v>75</v>
      </c>
      <c r="J16" s="7" t="n">
        <v>54</v>
      </c>
      <c r="K16" s="7" t="n">
        <v>40</v>
      </c>
      <c r="L16" s="7" t="n">
        <v>15</v>
      </c>
      <c r="M16" s="7" t="n">
        <v>11</v>
      </c>
      <c r="N16" s="12" t="n">
        <v>4.57</v>
      </c>
      <c r="O16" s="12" t="n">
        <v>1.96</v>
      </c>
      <c r="P16" s="12" t="n">
        <v>1.27</v>
      </c>
      <c r="Q16" s="12" t="n">
        <v>3.39</v>
      </c>
    </row>
    <row r="17" customFormat="false" ht="14.25" hidden="false" customHeight="true" outlineLevel="0" collapsed="false">
      <c r="A17" s="6" t="n">
        <v>2019</v>
      </c>
      <c r="B17" s="6" t="s">
        <v>166</v>
      </c>
      <c r="C17" s="6" t="s">
        <v>175</v>
      </c>
      <c r="D17" s="7" t="n">
        <v>1</v>
      </c>
      <c r="E17" s="11" t="n">
        <v>6</v>
      </c>
      <c r="F17" s="7" t="n">
        <v>0</v>
      </c>
      <c r="G17" s="7" t="n">
        <v>1</v>
      </c>
      <c r="H17" s="7" t="n">
        <v>7</v>
      </c>
      <c r="I17" s="7" t="n">
        <v>6</v>
      </c>
      <c r="J17" s="7" t="n">
        <v>4</v>
      </c>
      <c r="K17" s="7" t="n">
        <v>5</v>
      </c>
      <c r="L17" s="7" t="n">
        <v>0</v>
      </c>
      <c r="M17" s="7" t="n">
        <v>1</v>
      </c>
      <c r="N17" s="12" t="n">
        <f aca="false">IF(E17=0,0,J17*7/E17)</f>
        <v>4.66666666666667</v>
      </c>
      <c r="O17" s="12" t="n">
        <f aca="false">IF(E17=0,0,(H17+K17)/E17)</f>
        <v>2</v>
      </c>
      <c r="P17" s="12" t="n">
        <f aca="false">IF(E17=0,0,L17*7/E17)</f>
        <v>0</v>
      </c>
      <c r="Q17" s="12" t="n">
        <f aca="false">IF(E17=0,0,K17*7/E17)</f>
        <v>5.83333333333333</v>
      </c>
    </row>
    <row r="18" customFormat="false" ht="14.25" hidden="false" customHeight="true" outlineLevel="0" collapsed="false">
      <c r="A18" s="6" t="n">
        <v>2019</v>
      </c>
      <c r="B18" s="6" t="s">
        <v>192</v>
      </c>
      <c r="C18" s="6" t="s">
        <v>198</v>
      </c>
      <c r="D18" s="7" t="n">
        <v>9</v>
      </c>
      <c r="E18" s="11" t="n">
        <v>60</v>
      </c>
      <c r="F18" s="7" t="n">
        <v>3</v>
      </c>
      <c r="G18" s="7" t="n">
        <v>6</v>
      </c>
      <c r="H18" s="7" t="n">
        <v>71</v>
      </c>
      <c r="I18" s="7" t="n">
        <v>46</v>
      </c>
      <c r="J18" s="7" t="n">
        <v>32</v>
      </c>
      <c r="K18" s="7" t="n">
        <v>26</v>
      </c>
      <c r="L18" s="7" t="n">
        <v>14</v>
      </c>
      <c r="M18" s="7" t="n">
        <v>11</v>
      </c>
      <c r="N18" s="12" t="n">
        <f aca="false">IF(E18=0,0,J18*7/E18)</f>
        <v>3.73333333333333</v>
      </c>
      <c r="O18" s="12" t="n">
        <f aca="false">IF(E18=0,0,(H18+K18)/E18)</f>
        <v>1.61666666666667</v>
      </c>
      <c r="P18" s="12" t="n">
        <f aca="false">IF(E18=0,0,L18*7/E18)</f>
        <v>1.63333333333333</v>
      </c>
      <c r="Q18" s="12" t="n">
        <f aca="false">IF(E18=0,0,K18*7/E18)</f>
        <v>3.03333333333333</v>
      </c>
    </row>
    <row r="19" customFormat="false" ht="14.25" hidden="false" customHeight="true" outlineLevel="0" collapsed="false">
      <c r="A19" s="6" t="n">
        <v>2019</v>
      </c>
      <c r="B19" s="6" t="s">
        <v>192</v>
      </c>
      <c r="C19" s="6" t="s">
        <v>311</v>
      </c>
      <c r="D19" s="7" t="n">
        <v>1</v>
      </c>
      <c r="E19" s="11" t="n">
        <v>6</v>
      </c>
      <c r="F19" s="7" t="n">
        <v>0</v>
      </c>
      <c r="G19" s="7" t="n">
        <v>1</v>
      </c>
      <c r="H19" s="7" t="n">
        <v>11</v>
      </c>
      <c r="I19" s="7" t="n">
        <v>9</v>
      </c>
      <c r="J19" s="7" t="n">
        <v>9</v>
      </c>
      <c r="K19" s="7" t="n">
        <v>6</v>
      </c>
      <c r="L19" s="7" t="n">
        <v>0</v>
      </c>
      <c r="M19" s="7" t="n">
        <v>2</v>
      </c>
      <c r="N19" s="12" t="n">
        <f aca="false">IF(E19=0,0,J19*7/E19)</f>
        <v>10.5</v>
      </c>
      <c r="O19" s="12" t="n">
        <f aca="false">IF(E19=0,0,(H19+K19)/E19)</f>
        <v>2.83333333333333</v>
      </c>
      <c r="P19" s="12" t="n">
        <f aca="false">IF(E19=0,0,L19*7/E19)</f>
        <v>0</v>
      </c>
      <c r="Q19" s="12" t="n">
        <f aca="false">IF(E19=0,0,K19*7/E19)</f>
        <v>7</v>
      </c>
    </row>
    <row r="20" customFormat="false" ht="14.25" hidden="false" customHeight="true" outlineLevel="0" collapsed="false">
      <c r="A20" s="6" t="n">
        <v>2019</v>
      </c>
      <c r="B20" s="6" t="s">
        <v>192</v>
      </c>
      <c r="C20" s="6" t="s">
        <v>196</v>
      </c>
      <c r="D20" s="7" t="n">
        <v>1</v>
      </c>
      <c r="E20" s="11" t="n">
        <v>1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1</v>
      </c>
      <c r="L20" s="7" t="n">
        <v>0</v>
      </c>
      <c r="M20" s="7" t="n">
        <v>0</v>
      </c>
      <c r="N20" s="12" t="n">
        <f aca="false">IF(E20=0,0,J20*7/E20)</f>
        <v>0</v>
      </c>
      <c r="O20" s="12" t="n">
        <f aca="false">IF(E20=0,0,(H20+K20)/E20)</f>
        <v>1</v>
      </c>
      <c r="P20" s="12" t="n">
        <f aca="false">IF(E20=0,0,L20*7/E20)</f>
        <v>0</v>
      </c>
      <c r="Q20" s="12" t="n">
        <f aca="false">IF(E20=0,0,K20*7/E20)</f>
        <v>7</v>
      </c>
    </row>
    <row r="21" customFormat="false" ht="14.25" hidden="false" customHeight="true" outlineLevel="0" collapsed="false">
      <c r="A21" s="6" t="n">
        <v>2019</v>
      </c>
      <c r="B21" s="6" t="s">
        <v>192</v>
      </c>
      <c r="C21" s="6" t="s">
        <v>195</v>
      </c>
      <c r="D21" s="7" t="n">
        <v>1</v>
      </c>
      <c r="E21" s="11" t="n">
        <v>6</v>
      </c>
      <c r="F21" s="7" t="n">
        <v>0</v>
      </c>
      <c r="G21" s="7" t="n">
        <v>1</v>
      </c>
      <c r="H21" s="7" t="n">
        <v>8</v>
      </c>
      <c r="I21" s="7" t="n">
        <v>6</v>
      </c>
      <c r="J21" s="7" t="n">
        <v>4</v>
      </c>
      <c r="K21" s="7" t="n">
        <v>1</v>
      </c>
      <c r="L21" s="7" t="n">
        <v>1</v>
      </c>
      <c r="M21" s="7" t="n">
        <v>1</v>
      </c>
      <c r="N21" s="12" t="n">
        <f aca="false">IF(E21=0,0,J21*7/E21)</f>
        <v>4.66666666666667</v>
      </c>
      <c r="O21" s="12" t="n">
        <f aca="false">IF(E21=0,0,(H21+K21)/E21)</f>
        <v>1.5</v>
      </c>
      <c r="P21" s="12" t="n">
        <f aca="false">IF(E21=0,0,L21*7/E21)</f>
        <v>1.16666666666667</v>
      </c>
      <c r="Q21" s="12" t="n">
        <f aca="false">IF(E21=0,0,K21*7/E21)</f>
        <v>1.16666666666667</v>
      </c>
    </row>
    <row r="22" customFormat="false" ht="14.25" hidden="false" customHeight="true" outlineLevel="0" collapsed="false">
      <c r="A22" s="6" t="n">
        <v>2019</v>
      </c>
      <c r="B22" s="6" t="s">
        <v>212</v>
      </c>
      <c r="C22" s="6" t="s">
        <v>85</v>
      </c>
      <c r="D22" s="7" t="n">
        <v>8</v>
      </c>
      <c r="E22" s="11" t="n">
        <v>51.2</v>
      </c>
      <c r="F22" s="7" t="n">
        <v>1</v>
      </c>
      <c r="G22" s="7" t="n">
        <v>7</v>
      </c>
      <c r="H22" s="7" t="n">
        <v>82</v>
      </c>
      <c r="I22" s="7" t="n">
        <v>78</v>
      </c>
      <c r="J22" s="7" t="n">
        <v>58</v>
      </c>
      <c r="K22" s="7" t="n">
        <v>63</v>
      </c>
      <c r="L22" s="7" t="n">
        <v>13</v>
      </c>
      <c r="M22" s="7" t="n">
        <v>14</v>
      </c>
      <c r="N22" s="12" t="n">
        <v>7.86</v>
      </c>
      <c r="O22" s="12" t="n">
        <v>2.81</v>
      </c>
      <c r="P22" s="12" t="n">
        <v>1.76</v>
      </c>
      <c r="Q22" s="12" t="n">
        <v>8.54</v>
      </c>
    </row>
    <row r="23" customFormat="false" ht="14.25" hidden="false" customHeight="true" outlineLevel="0" collapsed="false">
      <c r="A23" s="6" t="n">
        <v>2019</v>
      </c>
      <c r="B23" s="6" t="s">
        <v>212</v>
      </c>
      <c r="C23" s="6" t="s">
        <v>219</v>
      </c>
      <c r="D23" s="7" t="n">
        <v>1</v>
      </c>
      <c r="E23" s="11" t="n">
        <v>1</v>
      </c>
      <c r="F23" s="7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3</v>
      </c>
      <c r="L23" s="7" t="n">
        <v>0</v>
      </c>
      <c r="M23" s="7" t="n">
        <v>0</v>
      </c>
      <c r="N23" s="12" t="n">
        <f aca="false">IF(E23=0,0,J23*7/E23)</f>
        <v>0</v>
      </c>
      <c r="O23" s="12" t="n">
        <f aca="false">IF(E23=0,0,(H23+K23)/E23)</f>
        <v>3</v>
      </c>
      <c r="P23" s="12" t="n">
        <f aca="false">IF(E23=0,0,L23*7/E23)</f>
        <v>0</v>
      </c>
      <c r="Q23" s="12" t="n">
        <f aca="false">IF(E23=0,0,K23*7/E23)</f>
        <v>21</v>
      </c>
    </row>
    <row r="24" customFormat="false" ht="14.25" hidden="false" customHeight="true" outlineLevel="0" collapsed="false">
      <c r="A24" s="6" t="n">
        <v>2019</v>
      </c>
      <c r="B24" s="6" t="s">
        <v>212</v>
      </c>
      <c r="C24" s="6" t="s">
        <v>213</v>
      </c>
      <c r="D24" s="7" t="n">
        <v>1</v>
      </c>
      <c r="E24" s="11" t="n">
        <v>4.1</v>
      </c>
      <c r="F24" s="7" t="n">
        <v>0</v>
      </c>
      <c r="G24" s="7" t="n">
        <v>1</v>
      </c>
      <c r="H24" s="7" t="n">
        <v>5</v>
      </c>
      <c r="I24" s="7" t="n">
        <v>9</v>
      </c>
      <c r="J24" s="7" t="n">
        <v>5</v>
      </c>
      <c r="K24" s="7" t="n">
        <v>11</v>
      </c>
      <c r="L24" s="7" t="n">
        <v>1</v>
      </c>
      <c r="M24" s="7" t="n">
        <v>0</v>
      </c>
      <c r="N24" s="12" t="n">
        <v>8.08</v>
      </c>
      <c r="O24" s="12" t="n">
        <v>3.69</v>
      </c>
      <c r="P24" s="12" t="n">
        <v>1.62</v>
      </c>
      <c r="Q24" s="12" t="n">
        <v>17.77</v>
      </c>
    </row>
    <row r="25" customFormat="false" ht="14.25" hidden="false" customHeight="true" outlineLevel="0" collapsed="false">
      <c r="A25" s="6" t="n">
        <v>2019</v>
      </c>
      <c r="B25" s="6" t="s">
        <v>212</v>
      </c>
      <c r="C25" s="6" t="s">
        <v>214</v>
      </c>
      <c r="D25" s="7" t="n">
        <v>3</v>
      </c>
      <c r="E25" s="11" t="n">
        <v>3</v>
      </c>
      <c r="F25" s="7" t="n">
        <v>0</v>
      </c>
      <c r="G25" s="7" t="n">
        <v>0</v>
      </c>
      <c r="H25" s="7" t="n">
        <v>6</v>
      </c>
      <c r="I25" s="7" t="n">
        <v>3</v>
      </c>
      <c r="J25" s="7" t="n">
        <v>3</v>
      </c>
      <c r="K25" s="7" t="n">
        <v>2</v>
      </c>
      <c r="L25" s="7" t="n">
        <v>0</v>
      </c>
      <c r="M25" s="7" t="n">
        <v>1</v>
      </c>
      <c r="N25" s="12" t="n">
        <f aca="false">IF(E25=0,0,J25*7/E25)</f>
        <v>7</v>
      </c>
      <c r="O25" s="12" t="n">
        <f aca="false">IF(E25=0,0,(H25+K25)/E25)</f>
        <v>2.66666666666667</v>
      </c>
      <c r="P25" s="12" t="n">
        <f aca="false">IF(E25=0,0,L25*7/E25)</f>
        <v>0</v>
      </c>
      <c r="Q25" s="12" t="n">
        <f aca="false">IF(E25=0,0,K25*7/E25)</f>
        <v>4.66666666666667</v>
      </c>
    </row>
    <row r="26" customFormat="false" ht="14.25" hidden="false" customHeight="true" outlineLevel="0" collapsed="false">
      <c r="A26" s="6" t="n">
        <v>2019</v>
      </c>
      <c r="B26" s="6" t="s">
        <v>212</v>
      </c>
      <c r="C26" s="6" t="s">
        <v>460</v>
      </c>
      <c r="D26" s="7" t="n">
        <v>1</v>
      </c>
      <c r="E26" s="11" t="n">
        <v>6</v>
      </c>
      <c r="F26" s="7" t="n">
        <v>0</v>
      </c>
      <c r="G26" s="7" t="n">
        <v>1</v>
      </c>
      <c r="H26" s="7" t="n">
        <v>6</v>
      </c>
      <c r="I26" s="7" t="n">
        <v>6</v>
      </c>
      <c r="J26" s="7" t="n">
        <v>5</v>
      </c>
      <c r="K26" s="7" t="n">
        <v>4</v>
      </c>
      <c r="L26" s="7" t="n">
        <v>0</v>
      </c>
      <c r="M26" s="7" t="n">
        <v>1</v>
      </c>
      <c r="N26" s="12" t="n">
        <f aca="false">IF(E26=0,0,J26*7/E26)</f>
        <v>5.83333333333333</v>
      </c>
      <c r="O26" s="12" t="n">
        <f aca="false">IF(E26=0,0,(H26+K26)/E26)</f>
        <v>1.66666666666667</v>
      </c>
      <c r="P26" s="12" t="n">
        <f aca="false">IF(E26=0,0,L26*7/E26)</f>
        <v>0</v>
      </c>
      <c r="Q26" s="12" t="n">
        <f aca="false">IF(E26=0,0,K26*7/E26)</f>
        <v>4.66666666666667</v>
      </c>
    </row>
    <row r="27" customFormat="false" ht="14.25" hidden="false" customHeight="true" outlineLevel="0" collapsed="false">
      <c r="A27" s="6" t="n">
        <v>2019</v>
      </c>
      <c r="B27" s="6" t="s">
        <v>212</v>
      </c>
      <c r="C27" s="6" t="s">
        <v>450</v>
      </c>
      <c r="D27" s="7" t="n">
        <v>1</v>
      </c>
      <c r="E27" s="11" t="n">
        <v>1.2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12" t="n">
        <v>0</v>
      </c>
      <c r="O27" s="12" t="n">
        <v>0</v>
      </c>
      <c r="P27" s="12" t="n">
        <v>0</v>
      </c>
      <c r="Q27" s="12" t="n">
        <v>0</v>
      </c>
    </row>
    <row r="28" customFormat="false" ht="14.25" hidden="false" customHeight="true" outlineLevel="0" collapsed="false">
      <c r="A28" s="6" t="n">
        <v>2021</v>
      </c>
      <c r="B28" s="6" t="s">
        <v>50</v>
      </c>
      <c r="C28" s="6" t="s">
        <v>53</v>
      </c>
      <c r="D28" s="7" t="n">
        <v>5</v>
      </c>
      <c r="E28" s="11" t="n">
        <v>36</v>
      </c>
      <c r="F28" s="7" t="n">
        <v>4</v>
      </c>
      <c r="G28" s="7" t="n">
        <v>1</v>
      </c>
      <c r="H28" s="7" t="n">
        <v>38</v>
      </c>
      <c r="I28" s="7" t="n">
        <v>10</v>
      </c>
      <c r="J28" s="7" t="n">
        <v>6</v>
      </c>
      <c r="K28" s="7" t="n">
        <v>8</v>
      </c>
      <c r="L28" s="7" t="n">
        <v>2</v>
      </c>
      <c r="M28" s="7" t="n">
        <v>3</v>
      </c>
      <c r="N28" s="12" t="n">
        <f aca="false">IF(E28=0,0,J28*7/E28)</f>
        <v>1.16666666666667</v>
      </c>
      <c r="O28" s="12" t="n">
        <f aca="false">IF(E28=0,0,(H28+K28)/E28)</f>
        <v>1.27777777777778</v>
      </c>
      <c r="P28" s="12" t="n">
        <f aca="false">IF(E28=0,0,L28*7/E28)</f>
        <v>0.388888888888889</v>
      </c>
      <c r="Q28" s="12" t="n">
        <f aca="false">IF(E28=0,0,K28*7/E28)</f>
        <v>1.55555555555556</v>
      </c>
    </row>
    <row r="29" customFormat="false" ht="14.25" hidden="false" customHeight="true" outlineLevel="0" collapsed="false">
      <c r="A29" s="6" t="n">
        <v>2021</v>
      </c>
      <c r="B29" s="6" t="s">
        <v>50</v>
      </c>
      <c r="C29" s="6" t="s">
        <v>66</v>
      </c>
      <c r="D29" s="7" t="n">
        <v>4</v>
      </c>
      <c r="E29" s="11" t="n">
        <v>27</v>
      </c>
      <c r="F29" s="7" t="n">
        <v>3</v>
      </c>
      <c r="G29" s="7" t="n">
        <v>1</v>
      </c>
      <c r="H29" s="7" t="n">
        <v>41</v>
      </c>
      <c r="I29" s="7" t="n">
        <v>23</v>
      </c>
      <c r="J29" s="7" t="n">
        <v>14</v>
      </c>
      <c r="K29" s="7" t="n">
        <v>5</v>
      </c>
      <c r="L29" s="7" t="n">
        <v>2</v>
      </c>
      <c r="M29" s="7" t="n">
        <v>5</v>
      </c>
      <c r="N29" s="12" t="n">
        <f aca="false">IF(E29=0,0,J29*7/E29)</f>
        <v>3.62962962962963</v>
      </c>
      <c r="O29" s="12" t="n">
        <f aca="false">IF(E29=0,0,(H29+K29)/E29)</f>
        <v>1.7037037037037</v>
      </c>
      <c r="P29" s="12" t="n">
        <f aca="false">IF(E29=0,0,L29*7/E29)</f>
        <v>0.518518518518519</v>
      </c>
      <c r="Q29" s="12" t="n">
        <f aca="false">IF(E29=0,0,K29*7/E29)</f>
        <v>1.2962962962963</v>
      </c>
    </row>
    <row r="30" customFormat="false" ht="14.25" hidden="false" customHeight="true" outlineLevel="0" collapsed="false">
      <c r="A30" s="6" t="n">
        <v>2021</v>
      </c>
      <c r="B30" s="6" t="s">
        <v>71</v>
      </c>
      <c r="C30" s="6" t="s">
        <v>79</v>
      </c>
      <c r="D30" s="7" t="n">
        <v>7</v>
      </c>
      <c r="E30" s="11" t="n">
        <v>35</v>
      </c>
      <c r="F30" s="7" t="n">
        <v>2</v>
      </c>
      <c r="G30" s="7" t="n">
        <v>5</v>
      </c>
      <c r="H30" s="7" t="n">
        <v>55</v>
      </c>
      <c r="I30" s="7" t="n">
        <v>30</v>
      </c>
      <c r="J30" s="7" t="n">
        <v>20</v>
      </c>
      <c r="K30" s="7" t="n">
        <v>18</v>
      </c>
      <c r="L30" s="7" t="n">
        <v>6</v>
      </c>
      <c r="M30" s="7" t="n">
        <v>4</v>
      </c>
      <c r="N30" s="12" t="n">
        <f aca="false">IF(E30=0,0,J30*7/E30)</f>
        <v>4</v>
      </c>
      <c r="O30" s="12" t="n">
        <f aca="false">IF(E30=0,0,(H30+K30)/E30)</f>
        <v>2.08571428571429</v>
      </c>
      <c r="P30" s="12" t="n">
        <f aca="false">IF(E30=0,0,L30*7/E30)</f>
        <v>1.2</v>
      </c>
      <c r="Q30" s="12" t="n">
        <f aca="false">IF(E30=0,0,K30*7/E30)</f>
        <v>3.6</v>
      </c>
    </row>
    <row r="31" customFormat="false" ht="14.25" hidden="false" customHeight="true" outlineLevel="0" collapsed="false">
      <c r="A31" s="6" t="n">
        <v>2021</v>
      </c>
      <c r="B31" s="6" t="s">
        <v>71</v>
      </c>
      <c r="C31" s="6" t="s">
        <v>73</v>
      </c>
      <c r="D31" s="7" t="n">
        <v>4</v>
      </c>
      <c r="E31" s="11" t="n">
        <v>10</v>
      </c>
      <c r="F31" s="7" t="n">
        <v>1</v>
      </c>
      <c r="G31" s="7" t="n">
        <v>0</v>
      </c>
      <c r="H31" s="7" t="n">
        <v>16</v>
      </c>
      <c r="I31" s="7" t="n">
        <v>9</v>
      </c>
      <c r="J31" s="7" t="n">
        <v>7</v>
      </c>
      <c r="K31" s="7" t="n">
        <v>6</v>
      </c>
      <c r="L31" s="7" t="n">
        <v>3</v>
      </c>
      <c r="M31" s="7" t="n">
        <v>1</v>
      </c>
      <c r="N31" s="12" t="n">
        <f aca="false">IF(E31=0,0,J31*7/E31)</f>
        <v>4.9</v>
      </c>
      <c r="O31" s="12" t="n">
        <f aca="false">IF(E31=0,0,(H31+K31)/E31)</f>
        <v>2.2</v>
      </c>
      <c r="P31" s="12" t="n">
        <f aca="false">IF(E31=0,0,L31*7/E31)</f>
        <v>2.1</v>
      </c>
      <c r="Q31" s="12" t="n">
        <f aca="false">IF(E31=0,0,K31*7/E31)</f>
        <v>4.2</v>
      </c>
    </row>
    <row r="32" customFormat="false" ht="14.25" hidden="false" customHeight="true" outlineLevel="0" collapsed="false">
      <c r="A32" s="6" t="n">
        <v>2021</v>
      </c>
      <c r="B32" s="6" t="s">
        <v>71</v>
      </c>
      <c r="C32" s="6" t="s">
        <v>85</v>
      </c>
      <c r="D32" s="7" t="n">
        <v>2</v>
      </c>
      <c r="E32" s="11" t="n">
        <v>8</v>
      </c>
      <c r="F32" s="7" t="n">
        <v>0</v>
      </c>
      <c r="G32" s="7" t="n">
        <v>0</v>
      </c>
      <c r="H32" s="7" t="n">
        <v>11</v>
      </c>
      <c r="I32" s="7" t="n">
        <v>2</v>
      </c>
      <c r="J32" s="7" t="n">
        <v>2</v>
      </c>
      <c r="K32" s="7" t="n">
        <v>4</v>
      </c>
      <c r="L32" s="7" t="n">
        <v>0</v>
      </c>
      <c r="M32" s="7" t="n">
        <v>0</v>
      </c>
      <c r="N32" s="12" t="n">
        <f aca="false">IF(E32=0,0,J32*7/E32)</f>
        <v>1.75</v>
      </c>
      <c r="O32" s="12" t="n">
        <f aca="false">IF(E32=0,0,(H32+K32)/E32)</f>
        <v>1.875</v>
      </c>
      <c r="P32" s="12" t="n">
        <f aca="false">IF(E32=0,0,L32*7/E32)</f>
        <v>0</v>
      </c>
      <c r="Q32" s="12" t="n">
        <f aca="false">IF(E32=0,0,K32*7/E32)</f>
        <v>3.5</v>
      </c>
    </row>
    <row r="33" customFormat="false" ht="14.25" hidden="false" customHeight="true" outlineLevel="0" collapsed="false">
      <c r="A33" s="6" t="n">
        <v>2021</v>
      </c>
      <c r="B33" s="6" t="s">
        <v>97</v>
      </c>
      <c r="C33" s="6" t="s">
        <v>289</v>
      </c>
      <c r="D33" s="7" t="n">
        <v>4</v>
      </c>
      <c r="E33" s="11" t="n">
        <v>22</v>
      </c>
      <c r="F33" s="7" t="n">
        <v>1</v>
      </c>
      <c r="G33" s="7" t="n">
        <v>3</v>
      </c>
      <c r="H33" s="7" t="n">
        <v>43</v>
      </c>
      <c r="I33" s="7" t="n">
        <v>33</v>
      </c>
      <c r="J33" s="7" t="n">
        <v>25</v>
      </c>
      <c r="K33" s="7" t="n">
        <v>10</v>
      </c>
      <c r="L33" s="7" t="n">
        <v>0</v>
      </c>
      <c r="M33" s="7" t="n">
        <v>10</v>
      </c>
      <c r="N33" s="12" t="n">
        <f aca="false">IF(E33=0,0,J33*7/E33)</f>
        <v>7.95454545454545</v>
      </c>
      <c r="O33" s="12" t="n">
        <f aca="false">IF(E33=0,0,(H33+K33)/E33)</f>
        <v>2.40909090909091</v>
      </c>
      <c r="P33" s="12" t="n">
        <f aca="false">IF(E33=0,0,L33*7/E33)</f>
        <v>0</v>
      </c>
      <c r="Q33" s="12" t="n">
        <f aca="false">IF(E33=0,0,K33*7/E33)</f>
        <v>3.18181818181818</v>
      </c>
    </row>
    <row r="34" customFormat="false" ht="14.25" hidden="false" customHeight="true" outlineLevel="0" collapsed="false">
      <c r="A34" s="6" t="n">
        <v>2021</v>
      </c>
      <c r="B34" s="6" t="s">
        <v>97</v>
      </c>
      <c r="C34" s="6" t="s">
        <v>418</v>
      </c>
      <c r="D34" s="7" t="n">
        <v>5</v>
      </c>
      <c r="E34" s="11" t="n">
        <v>26.2</v>
      </c>
      <c r="F34" s="7" t="n">
        <v>1</v>
      </c>
      <c r="G34" s="7" t="n">
        <v>2</v>
      </c>
      <c r="H34" s="7" t="n">
        <v>40</v>
      </c>
      <c r="I34" s="7" t="n">
        <v>34</v>
      </c>
      <c r="J34" s="7" t="n">
        <v>23</v>
      </c>
      <c r="K34" s="7" t="n">
        <v>19</v>
      </c>
      <c r="L34" s="7" t="n">
        <v>2</v>
      </c>
      <c r="M34" s="7" t="n">
        <v>6</v>
      </c>
      <c r="N34" s="12" t="n">
        <v>6.04</v>
      </c>
      <c r="O34" s="12" t="n">
        <v>2.21</v>
      </c>
      <c r="P34" s="12" t="n">
        <v>0.53</v>
      </c>
      <c r="Q34" s="12" t="n">
        <v>4.99</v>
      </c>
    </row>
    <row r="35" customFormat="false" ht="14.25" hidden="false" customHeight="true" outlineLevel="0" collapsed="false">
      <c r="A35" s="6" t="n">
        <v>2021</v>
      </c>
      <c r="B35" s="6" t="s">
        <v>97</v>
      </c>
      <c r="C35" s="6" t="s">
        <v>285</v>
      </c>
      <c r="D35" s="7" t="n">
        <v>2</v>
      </c>
      <c r="E35" s="11" t="n">
        <v>9</v>
      </c>
      <c r="F35" s="7" t="n">
        <v>0</v>
      </c>
      <c r="G35" s="7" t="n">
        <v>0</v>
      </c>
      <c r="H35" s="7" t="n">
        <v>17</v>
      </c>
      <c r="I35" s="7" t="n">
        <v>16</v>
      </c>
      <c r="J35" s="7" t="n">
        <v>13</v>
      </c>
      <c r="K35" s="7" t="n">
        <v>11</v>
      </c>
      <c r="L35" s="7" t="n">
        <v>0</v>
      </c>
      <c r="M35" s="7" t="n">
        <v>2</v>
      </c>
      <c r="N35" s="12" t="n">
        <f aca="false">IF(E35=0,0,J35*7/E35)</f>
        <v>10.1111111111111</v>
      </c>
      <c r="O35" s="12" t="n">
        <f aca="false">IF(E35=0,0,(H35+K35)/E35)</f>
        <v>3.11111111111111</v>
      </c>
      <c r="P35" s="12" t="n">
        <f aca="false">IF(E35=0,0,L35*7/E35)</f>
        <v>0</v>
      </c>
      <c r="Q35" s="12" t="n">
        <f aca="false">IF(E35=0,0,K35*7/E35)</f>
        <v>8.55555555555556</v>
      </c>
    </row>
    <row r="36" customFormat="false" ht="14.25" hidden="false" customHeight="true" outlineLevel="0" collapsed="false">
      <c r="A36" s="6" t="n">
        <v>2021</v>
      </c>
      <c r="B36" s="6" t="s">
        <v>97</v>
      </c>
      <c r="C36" s="6" t="s">
        <v>102</v>
      </c>
      <c r="D36" s="7" t="n">
        <v>1</v>
      </c>
      <c r="E36" s="11" t="n">
        <v>1.1</v>
      </c>
      <c r="F36" s="7" t="n">
        <v>0</v>
      </c>
      <c r="G36" s="7" t="n">
        <v>1</v>
      </c>
      <c r="H36" s="7" t="n">
        <v>9</v>
      </c>
      <c r="I36" s="7" t="n">
        <v>17</v>
      </c>
      <c r="J36" s="7" t="n">
        <v>16</v>
      </c>
      <c r="K36" s="7" t="n">
        <v>7</v>
      </c>
      <c r="L36" s="7" t="n">
        <v>0</v>
      </c>
      <c r="M36" s="7" t="n">
        <v>3</v>
      </c>
      <c r="N36" s="12" t="n">
        <v>84</v>
      </c>
      <c r="O36" s="12" t="n">
        <v>12</v>
      </c>
      <c r="P36" s="12" t="n">
        <v>0</v>
      </c>
      <c r="Q36" s="12" t="n">
        <v>36.75</v>
      </c>
    </row>
    <row r="37" customFormat="false" ht="14.25" hidden="false" customHeight="true" outlineLevel="0" collapsed="false">
      <c r="A37" s="6" t="n">
        <v>2021</v>
      </c>
      <c r="B37" s="6" t="s">
        <v>97</v>
      </c>
      <c r="C37" s="6" t="s">
        <v>108</v>
      </c>
      <c r="D37" s="7" t="n">
        <v>1</v>
      </c>
      <c r="E37" s="11" t="n">
        <v>1</v>
      </c>
      <c r="F37" s="7" t="n">
        <v>0</v>
      </c>
      <c r="G37" s="7" t="n">
        <v>1</v>
      </c>
      <c r="H37" s="7" t="n">
        <v>3</v>
      </c>
      <c r="I37" s="7" t="n">
        <v>4</v>
      </c>
      <c r="J37" s="7" t="n">
        <v>4</v>
      </c>
      <c r="K37" s="7" t="n">
        <v>3</v>
      </c>
      <c r="L37" s="7" t="n">
        <v>0</v>
      </c>
      <c r="M37" s="7" t="n">
        <v>0</v>
      </c>
      <c r="N37" s="12" t="n">
        <f aca="false">IF(E37=0,0,J37*7/E37)</f>
        <v>28</v>
      </c>
      <c r="O37" s="12" t="n">
        <f aca="false">IF(E37=0,0,(H37+K37)/E37)</f>
        <v>6</v>
      </c>
      <c r="P37" s="12" t="n">
        <f aca="false">IF(E37=0,0,L37*7/E37)</f>
        <v>0</v>
      </c>
      <c r="Q37" s="12" t="n">
        <f aca="false">IF(E37=0,0,K37*7/E37)</f>
        <v>21</v>
      </c>
    </row>
    <row r="38" customFormat="false" ht="14.25" hidden="false" customHeight="true" outlineLevel="0" collapsed="false">
      <c r="A38" s="6" t="n">
        <v>2021</v>
      </c>
      <c r="B38" s="6" t="s">
        <v>121</v>
      </c>
      <c r="C38" s="6" t="s">
        <v>125</v>
      </c>
      <c r="D38" s="7" t="n">
        <v>6</v>
      </c>
      <c r="E38" s="11" t="n">
        <v>30</v>
      </c>
      <c r="F38" s="7" t="n">
        <v>2</v>
      </c>
      <c r="G38" s="7" t="n">
        <v>1</v>
      </c>
      <c r="H38" s="7" t="n">
        <v>44</v>
      </c>
      <c r="I38" s="7" t="n">
        <v>35</v>
      </c>
      <c r="J38" s="7" t="n">
        <v>27</v>
      </c>
      <c r="K38" s="7" t="n">
        <v>14</v>
      </c>
      <c r="L38" s="7" t="n">
        <v>6</v>
      </c>
      <c r="M38" s="7" t="n">
        <v>5</v>
      </c>
      <c r="N38" s="12" t="n">
        <f aca="false">IF(E38=0,0,J38*7/E38)</f>
        <v>6.3</v>
      </c>
      <c r="O38" s="12" t="n">
        <f aca="false">IF(E38=0,0,(H38+K38)/E38)</f>
        <v>1.93333333333333</v>
      </c>
      <c r="P38" s="12" t="n">
        <f aca="false">IF(E38=0,0,L38*7/E38)</f>
        <v>1.4</v>
      </c>
      <c r="Q38" s="12" t="n">
        <f aca="false">IF(E38=0,0,K38*7/E38)</f>
        <v>3.26666666666667</v>
      </c>
    </row>
    <row r="39" customFormat="false" ht="14.25" hidden="false" customHeight="true" outlineLevel="0" collapsed="false">
      <c r="A39" s="6" t="n">
        <v>2021</v>
      </c>
      <c r="B39" s="6" t="s">
        <v>121</v>
      </c>
      <c r="C39" s="6" t="s">
        <v>122</v>
      </c>
      <c r="D39" s="7" t="n">
        <v>4</v>
      </c>
      <c r="E39" s="11" t="n">
        <v>25.1</v>
      </c>
      <c r="F39" s="7" t="n">
        <v>2</v>
      </c>
      <c r="G39" s="7" t="n">
        <v>2</v>
      </c>
      <c r="H39" s="7" t="n">
        <v>22</v>
      </c>
      <c r="I39" s="7" t="n">
        <v>13</v>
      </c>
      <c r="J39" s="7" t="n">
        <v>11</v>
      </c>
      <c r="K39" s="7" t="n">
        <v>20</v>
      </c>
      <c r="L39" s="7" t="n">
        <v>6</v>
      </c>
      <c r="M39" s="7" t="n">
        <v>2</v>
      </c>
      <c r="N39" s="12" t="n">
        <v>3.04</v>
      </c>
      <c r="O39" s="12" t="n">
        <v>1.66</v>
      </c>
      <c r="P39" s="12" t="n">
        <v>1.66</v>
      </c>
      <c r="Q39" s="12" t="n">
        <v>5.53</v>
      </c>
    </row>
    <row r="40" customFormat="false" ht="14.25" hidden="false" customHeight="true" outlineLevel="0" collapsed="false">
      <c r="A40" s="6" t="n">
        <v>2021</v>
      </c>
      <c r="B40" s="6" t="s">
        <v>121</v>
      </c>
      <c r="C40" s="6" t="s">
        <v>144</v>
      </c>
      <c r="D40" s="7" t="n">
        <v>3</v>
      </c>
      <c r="E40" s="11" t="n">
        <v>14.2</v>
      </c>
      <c r="F40" s="7" t="n">
        <v>1</v>
      </c>
      <c r="G40" s="7" t="n">
        <v>2</v>
      </c>
      <c r="H40" s="7" t="n">
        <v>23</v>
      </c>
      <c r="I40" s="7" t="n">
        <v>15</v>
      </c>
      <c r="J40" s="7" t="n">
        <v>11</v>
      </c>
      <c r="K40" s="7" t="n">
        <v>1</v>
      </c>
      <c r="L40" s="7" t="n">
        <v>1</v>
      </c>
      <c r="M40" s="7" t="n">
        <v>7</v>
      </c>
      <c r="N40" s="12" t="n">
        <v>5.25</v>
      </c>
      <c r="O40" s="12" t="n">
        <v>1.64</v>
      </c>
      <c r="P40" s="12" t="n">
        <v>0.48</v>
      </c>
      <c r="Q40" s="12" t="n">
        <v>0.48</v>
      </c>
    </row>
    <row r="41" customFormat="false" ht="14.25" hidden="false" customHeight="true" outlineLevel="0" collapsed="false">
      <c r="A41" s="6" t="n">
        <v>2021</v>
      </c>
      <c r="B41" s="6" t="s">
        <v>121</v>
      </c>
      <c r="C41" s="6" t="s">
        <v>132</v>
      </c>
      <c r="D41" s="7" t="n">
        <v>2</v>
      </c>
      <c r="E41" s="11" t="n">
        <v>13.2</v>
      </c>
      <c r="F41" s="7" t="n">
        <v>0</v>
      </c>
      <c r="G41" s="7" t="n">
        <v>2</v>
      </c>
      <c r="H41" s="7" t="n">
        <v>21</v>
      </c>
      <c r="I41" s="7" t="n">
        <v>15</v>
      </c>
      <c r="J41" s="7" t="n">
        <v>13</v>
      </c>
      <c r="K41" s="7" t="n">
        <v>5</v>
      </c>
      <c r="L41" s="7" t="n">
        <v>0</v>
      </c>
      <c r="M41" s="7" t="n">
        <v>5</v>
      </c>
      <c r="N41" s="12" t="n">
        <v>6.66</v>
      </c>
      <c r="O41" s="12" t="n">
        <v>1.9</v>
      </c>
      <c r="P41" s="12" t="n">
        <v>0</v>
      </c>
      <c r="Q41" s="12" t="n">
        <v>2.56</v>
      </c>
    </row>
    <row r="42" customFormat="false" ht="14.25" hidden="false" customHeight="true" outlineLevel="0" collapsed="false">
      <c r="A42" s="6" t="n">
        <v>2021</v>
      </c>
      <c r="B42" s="6" t="s">
        <v>147</v>
      </c>
      <c r="C42" s="6" t="s">
        <v>154</v>
      </c>
      <c r="D42" s="7" t="n">
        <v>8</v>
      </c>
      <c r="E42" s="11" t="n">
        <v>54</v>
      </c>
      <c r="F42" s="7" t="n">
        <v>7</v>
      </c>
      <c r="G42" s="7" t="n">
        <v>1</v>
      </c>
      <c r="H42" s="7" t="n">
        <v>39</v>
      </c>
      <c r="I42" s="7" t="n">
        <v>16</v>
      </c>
      <c r="J42" s="7" t="n">
        <v>14</v>
      </c>
      <c r="K42" s="7" t="n">
        <v>22</v>
      </c>
      <c r="L42" s="7" t="n">
        <v>24</v>
      </c>
      <c r="M42" s="7" t="n">
        <v>3</v>
      </c>
      <c r="N42" s="12" t="n">
        <f aca="false">IF(E42=0,0,J42*7/E42)</f>
        <v>1.81481481481481</v>
      </c>
      <c r="O42" s="12" t="n">
        <f aca="false">IF(E42=0,0,(H42+K42)/E42)</f>
        <v>1.12962962962963</v>
      </c>
      <c r="P42" s="12" t="n">
        <f aca="false">IF(E42=0,0,L42*7/E42)</f>
        <v>3.11111111111111</v>
      </c>
      <c r="Q42" s="12" t="n">
        <f aca="false">IF(E42=0,0,K42*7/E42)</f>
        <v>2.85185185185185</v>
      </c>
    </row>
    <row r="43" customFormat="false" ht="14.25" hidden="false" customHeight="true" outlineLevel="0" collapsed="false">
      <c r="A43" s="6" t="n">
        <v>2021</v>
      </c>
      <c r="B43" s="6" t="s">
        <v>147</v>
      </c>
      <c r="C43" s="6" t="s">
        <v>150</v>
      </c>
      <c r="D43" s="7" t="n">
        <v>1</v>
      </c>
      <c r="E43" s="11" t="n">
        <v>3</v>
      </c>
      <c r="F43" s="7" t="n">
        <v>0</v>
      </c>
      <c r="G43" s="7" t="n">
        <v>0</v>
      </c>
      <c r="H43" s="7" t="n">
        <v>5</v>
      </c>
      <c r="I43" s="7" t="n">
        <v>4</v>
      </c>
      <c r="J43" s="7" t="n">
        <v>4</v>
      </c>
      <c r="K43" s="7" t="n">
        <v>3</v>
      </c>
      <c r="L43" s="7" t="n">
        <v>0</v>
      </c>
      <c r="M43" s="7" t="n">
        <v>0</v>
      </c>
      <c r="N43" s="12" t="n">
        <f aca="false">IF(E43=0,0,J43*7/E43)</f>
        <v>9.33333333333333</v>
      </c>
      <c r="O43" s="12" t="n">
        <f aca="false">IF(E43=0,0,(H43+K43)/E43)</f>
        <v>2.66666666666667</v>
      </c>
      <c r="P43" s="12" t="n">
        <f aca="false">IF(E43=0,0,L43*7/E43)</f>
        <v>0</v>
      </c>
      <c r="Q43" s="12" t="n">
        <f aca="false">IF(E43=0,0,K43*7/E43)</f>
        <v>7</v>
      </c>
    </row>
    <row r="44" customFormat="false" ht="14.25" hidden="false" customHeight="true" outlineLevel="0" collapsed="false">
      <c r="A44" s="6" t="n">
        <v>2021</v>
      </c>
      <c r="B44" s="6" t="s">
        <v>166</v>
      </c>
      <c r="C44" s="6" t="s">
        <v>178</v>
      </c>
      <c r="D44" s="7" t="n">
        <v>11</v>
      </c>
      <c r="E44" s="11" t="n">
        <v>77.1</v>
      </c>
      <c r="F44" s="7" t="n">
        <v>7</v>
      </c>
      <c r="G44" s="7" t="n">
        <v>4</v>
      </c>
      <c r="H44" s="7" t="n">
        <v>70</v>
      </c>
      <c r="I44" s="7" t="n">
        <v>36</v>
      </c>
      <c r="J44" s="7" t="n">
        <v>27</v>
      </c>
      <c r="K44" s="7" t="n">
        <v>33</v>
      </c>
      <c r="L44" s="7" t="n">
        <v>36</v>
      </c>
      <c r="M44" s="7" t="n">
        <v>3</v>
      </c>
      <c r="N44" s="12" t="n">
        <v>2.44</v>
      </c>
      <c r="O44" s="12" t="n">
        <v>1.33</v>
      </c>
      <c r="P44" s="12" t="n">
        <v>3.26</v>
      </c>
      <c r="Q44" s="12" t="n">
        <v>2.99</v>
      </c>
    </row>
    <row r="45" customFormat="false" ht="14.25" hidden="false" customHeight="true" outlineLevel="0" collapsed="false">
      <c r="A45" s="6" t="n">
        <v>2021</v>
      </c>
      <c r="B45" s="6" t="s">
        <v>166</v>
      </c>
      <c r="C45" s="6" t="s">
        <v>173</v>
      </c>
      <c r="D45" s="7" t="n">
        <v>1</v>
      </c>
      <c r="E45" s="11" t="n">
        <v>7</v>
      </c>
      <c r="F45" s="7" t="n">
        <v>0</v>
      </c>
      <c r="G45" s="7" t="n">
        <v>1</v>
      </c>
      <c r="H45" s="7" t="n">
        <v>11</v>
      </c>
      <c r="I45" s="7" t="n">
        <v>8</v>
      </c>
      <c r="J45" s="7" t="n">
        <v>3</v>
      </c>
      <c r="K45" s="7" t="n">
        <v>1</v>
      </c>
      <c r="L45" s="7" t="n">
        <v>1</v>
      </c>
      <c r="M45" s="7" t="n">
        <v>1</v>
      </c>
      <c r="N45" s="12" t="n">
        <f aca="false">IF(E45=0,0,J45*7/E45)</f>
        <v>3</v>
      </c>
      <c r="O45" s="12" t="n">
        <f aca="false">IF(E45=0,0,(H45+K45)/E45)</f>
        <v>1.71428571428571</v>
      </c>
      <c r="P45" s="12" t="n">
        <f aca="false">IF(E45=0,0,L45*7/E45)</f>
        <v>1</v>
      </c>
      <c r="Q45" s="12" t="n">
        <f aca="false">IF(E45=0,0,K45*7/E45)</f>
        <v>1</v>
      </c>
    </row>
    <row r="46" customFormat="false" ht="14.25" hidden="false" customHeight="true" outlineLevel="0" collapsed="false">
      <c r="A46" s="6" t="n">
        <v>2021</v>
      </c>
      <c r="B46" s="6" t="s">
        <v>192</v>
      </c>
      <c r="C46" s="6" t="s">
        <v>198</v>
      </c>
      <c r="D46" s="7" t="n">
        <v>8</v>
      </c>
      <c r="E46" s="11" t="n">
        <v>55</v>
      </c>
      <c r="F46" s="7" t="n">
        <v>4</v>
      </c>
      <c r="G46" s="7" t="n">
        <v>4</v>
      </c>
      <c r="H46" s="7" t="n">
        <v>47</v>
      </c>
      <c r="I46" s="7" t="n">
        <v>33</v>
      </c>
      <c r="J46" s="7" t="n">
        <v>31</v>
      </c>
      <c r="K46" s="7" t="n">
        <v>32</v>
      </c>
      <c r="L46" s="7" t="n">
        <v>20</v>
      </c>
      <c r="M46" s="7" t="n">
        <v>11</v>
      </c>
      <c r="N46" s="12" t="n">
        <f aca="false">IF(E46=0,0,J46*7/E46)</f>
        <v>3.94545454545455</v>
      </c>
      <c r="O46" s="12" t="n">
        <f aca="false">IF(E46=0,0,(H46+K46)/E46)</f>
        <v>1.43636363636364</v>
      </c>
      <c r="P46" s="12" t="n">
        <f aca="false">IF(E46=0,0,L46*7/E46)</f>
        <v>2.54545454545455</v>
      </c>
      <c r="Q46" s="12" t="n">
        <f aca="false">IF(E46=0,0,K46*7/E46)</f>
        <v>4.07272727272727</v>
      </c>
    </row>
    <row r="47" customFormat="false" ht="14.25" hidden="false" customHeight="true" outlineLevel="0" collapsed="false">
      <c r="A47" s="6" t="n">
        <v>2021</v>
      </c>
      <c r="B47" s="6" t="s">
        <v>192</v>
      </c>
      <c r="C47" s="6" t="s">
        <v>195</v>
      </c>
      <c r="D47" s="7" t="n">
        <v>1</v>
      </c>
      <c r="E47" s="11" t="n">
        <v>7</v>
      </c>
      <c r="F47" s="7" t="n">
        <v>1</v>
      </c>
      <c r="G47" s="7" t="n">
        <v>0</v>
      </c>
      <c r="H47" s="7" t="n">
        <v>5</v>
      </c>
      <c r="I47" s="7" t="n">
        <v>1</v>
      </c>
      <c r="J47" s="7" t="n">
        <v>1</v>
      </c>
      <c r="K47" s="7" t="n">
        <v>2</v>
      </c>
      <c r="L47" s="7" t="n">
        <v>0</v>
      </c>
      <c r="M47" s="7" t="n">
        <v>0</v>
      </c>
      <c r="N47" s="12" t="n">
        <f aca="false">IF(E47=0,0,J47*7/E47)</f>
        <v>1</v>
      </c>
      <c r="O47" s="12" t="n">
        <f aca="false">IF(E47=0,0,(H47+K47)/E47)</f>
        <v>1</v>
      </c>
      <c r="P47" s="12" t="n">
        <f aca="false">IF(E47=0,0,L47*7/E47)</f>
        <v>0</v>
      </c>
      <c r="Q47" s="12" t="n">
        <f aca="false">IF(E47=0,0,K47*7/E47)</f>
        <v>2</v>
      </c>
    </row>
    <row r="48" customFormat="false" ht="14.25" hidden="false" customHeight="true" outlineLevel="0" collapsed="false">
      <c r="A48" s="6" t="n">
        <v>2021</v>
      </c>
      <c r="B48" s="6" t="s">
        <v>192</v>
      </c>
      <c r="C48" s="6" t="s">
        <v>311</v>
      </c>
      <c r="D48" s="7" t="n">
        <v>1</v>
      </c>
      <c r="E48" s="11" t="n">
        <v>2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12" t="n">
        <f aca="false">IF(E48=0,0,J48*7/E48)</f>
        <v>0</v>
      </c>
      <c r="O48" s="12" t="n">
        <f aca="false">IF(E48=0,0,(H48+K48)/E48)</f>
        <v>0</v>
      </c>
      <c r="P48" s="12" t="n">
        <f aca="false">IF(E48=0,0,L48*7/E48)</f>
        <v>0</v>
      </c>
      <c r="Q48" s="12" t="n">
        <f aca="false">IF(E48=0,0,K48*7/E48)</f>
        <v>0</v>
      </c>
    </row>
    <row r="49" customFormat="false" ht="14.25" hidden="false" customHeight="true" outlineLevel="0" collapsed="false">
      <c r="A49" s="6" t="n">
        <v>2021</v>
      </c>
      <c r="B49" s="6" t="s">
        <v>212</v>
      </c>
      <c r="C49" s="6" t="s">
        <v>85</v>
      </c>
      <c r="D49" s="7" t="n">
        <v>4</v>
      </c>
      <c r="E49" s="11" t="n">
        <v>26</v>
      </c>
      <c r="F49" s="7" t="n">
        <v>2</v>
      </c>
      <c r="G49" s="7" t="n">
        <v>2</v>
      </c>
      <c r="H49" s="7" t="n">
        <v>30</v>
      </c>
      <c r="I49" s="7" t="n">
        <v>20</v>
      </c>
      <c r="J49" s="7" t="n">
        <v>16</v>
      </c>
      <c r="K49" s="7" t="n">
        <v>22</v>
      </c>
      <c r="L49" s="7" t="n">
        <v>2</v>
      </c>
      <c r="M49" s="7" t="n">
        <v>2</v>
      </c>
      <c r="N49" s="12" t="n">
        <f aca="false">IF(E49=0,0,J49*7/E49)</f>
        <v>4.30769230769231</v>
      </c>
      <c r="O49" s="12" t="n">
        <f aca="false">IF(E49=0,0,(H49+K49)/E49)</f>
        <v>2</v>
      </c>
      <c r="P49" s="12" t="n">
        <f aca="false">IF(E49=0,0,L49*7/E49)</f>
        <v>0.538461538461538</v>
      </c>
      <c r="Q49" s="12" t="n">
        <f aca="false">IF(E49=0,0,K49*7/E49)</f>
        <v>5.92307692307692</v>
      </c>
    </row>
    <row r="50" customFormat="false" ht="14.25" hidden="false" customHeight="true" outlineLevel="0" collapsed="false">
      <c r="A50" s="6" t="n">
        <v>2021</v>
      </c>
      <c r="B50" s="6" t="s">
        <v>212</v>
      </c>
      <c r="C50" s="6" t="s">
        <v>215</v>
      </c>
      <c r="D50" s="7" t="n">
        <v>3</v>
      </c>
      <c r="E50" s="11" t="n">
        <v>18</v>
      </c>
      <c r="F50" s="7" t="n">
        <v>0</v>
      </c>
      <c r="G50" s="7" t="n">
        <v>3</v>
      </c>
      <c r="H50" s="7" t="n">
        <v>28</v>
      </c>
      <c r="I50" s="7" t="n">
        <v>25</v>
      </c>
      <c r="J50" s="7" t="n">
        <v>18</v>
      </c>
      <c r="K50" s="7" t="n">
        <v>7</v>
      </c>
      <c r="L50" s="7" t="n">
        <v>2</v>
      </c>
      <c r="M50" s="7" t="n">
        <v>7</v>
      </c>
      <c r="N50" s="12" t="n">
        <f aca="false">IF(E50=0,0,J50*7/E50)</f>
        <v>7</v>
      </c>
      <c r="O50" s="12" t="n">
        <f aca="false">IF(E50=0,0,(H50+K50)/E50)</f>
        <v>1.94444444444444</v>
      </c>
      <c r="P50" s="12" t="n">
        <f aca="false">IF(E50=0,0,L50*7/E50)</f>
        <v>0.777777777777778</v>
      </c>
      <c r="Q50" s="12" t="n">
        <f aca="false">IF(E50=0,0,K50*7/E50)</f>
        <v>2.72222222222222</v>
      </c>
    </row>
    <row r="51" customFormat="false" ht="14.25" hidden="false" customHeight="true" outlineLevel="0" collapsed="false">
      <c r="A51" s="6" t="n">
        <v>2021</v>
      </c>
      <c r="B51" s="6" t="s">
        <v>212</v>
      </c>
      <c r="C51" s="6" t="s">
        <v>214</v>
      </c>
      <c r="D51" s="7" t="n">
        <v>2</v>
      </c>
      <c r="E51" s="11" t="n">
        <v>7</v>
      </c>
      <c r="F51" s="7" t="n">
        <v>0</v>
      </c>
      <c r="G51" s="7" t="n">
        <v>1</v>
      </c>
      <c r="H51" s="7" t="n">
        <v>17</v>
      </c>
      <c r="I51" s="7" t="n">
        <v>13</v>
      </c>
      <c r="J51" s="7" t="n">
        <v>11</v>
      </c>
      <c r="K51" s="7" t="n">
        <v>3</v>
      </c>
      <c r="L51" s="7" t="n">
        <v>1</v>
      </c>
      <c r="M51" s="7" t="n">
        <v>2</v>
      </c>
      <c r="N51" s="12" t="n">
        <f aca="false">IF(E51=0,0,J51*7/E51)</f>
        <v>11</v>
      </c>
      <c r="O51" s="12" t="n">
        <f aca="false">IF(E51=0,0,(H51+K51)/E51)</f>
        <v>2.85714285714286</v>
      </c>
      <c r="P51" s="12" t="n">
        <f aca="false">IF(E51=0,0,L51*7/E51)</f>
        <v>1</v>
      </c>
      <c r="Q51" s="12" t="n">
        <f aca="false">IF(E51=0,0,K51*7/E51)</f>
        <v>3</v>
      </c>
    </row>
    <row r="52" customFormat="false" ht="14.25" hidden="false" customHeight="true" outlineLevel="0" collapsed="false">
      <c r="A52" s="6" t="n">
        <v>2021</v>
      </c>
      <c r="B52" s="6" t="s">
        <v>212</v>
      </c>
      <c r="C52" s="6" t="s">
        <v>450</v>
      </c>
      <c r="D52" s="7" t="n">
        <v>1</v>
      </c>
      <c r="E52" s="11" t="n">
        <v>7</v>
      </c>
      <c r="F52" s="7" t="n">
        <v>0</v>
      </c>
      <c r="G52" s="7" t="n">
        <v>1</v>
      </c>
      <c r="H52" s="7" t="n">
        <v>15</v>
      </c>
      <c r="I52" s="7" t="n">
        <v>11</v>
      </c>
      <c r="J52" s="7" t="n">
        <v>11</v>
      </c>
      <c r="K52" s="7" t="n">
        <v>4</v>
      </c>
      <c r="L52" s="7" t="n">
        <v>0</v>
      </c>
      <c r="M52" s="7" t="n">
        <v>6</v>
      </c>
      <c r="N52" s="12" t="n">
        <f aca="false">IF(E52=0,0,J52*7/E52)</f>
        <v>11</v>
      </c>
      <c r="O52" s="12" t="n">
        <f aca="false">IF(E52=0,0,(H52+K52)/E52)</f>
        <v>2.71428571428571</v>
      </c>
      <c r="P52" s="12" t="n">
        <f aca="false">IF(E52=0,0,L52*7/E52)</f>
        <v>0</v>
      </c>
      <c r="Q52" s="12" t="n">
        <f aca="false">IF(E52=0,0,K52*7/E52)</f>
        <v>4</v>
      </c>
    </row>
    <row r="53" customFormat="false" ht="14.25" hidden="false" customHeight="true" outlineLevel="0" collapsed="false">
      <c r="A53" s="6" t="n">
        <v>2022</v>
      </c>
      <c r="B53" s="6" t="s">
        <v>50</v>
      </c>
      <c r="C53" s="6" t="s">
        <v>53</v>
      </c>
      <c r="D53" s="7" t="n">
        <v>7</v>
      </c>
      <c r="E53" s="11" t="n">
        <v>49</v>
      </c>
      <c r="F53" s="7" t="n">
        <v>5</v>
      </c>
      <c r="G53" s="7" t="n">
        <v>2</v>
      </c>
      <c r="H53" s="7" t="n">
        <v>59</v>
      </c>
      <c r="I53" s="7" t="n">
        <v>37</v>
      </c>
      <c r="J53" s="7" t="n">
        <v>27</v>
      </c>
      <c r="K53" s="7" t="n">
        <v>7</v>
      </c>
      <c r="L53" s="7" t="n">
        <v>6</v>
      </c>
      <c r="M53" s="7" t="n">
        <v>12</v>
      </c>
      <c r="N53" s="12" t="n">
        <f aca="false">IF(E53=0,0,J53*7/E53)</f>
        <v>3.85714285714286</v>
      </c>
      <c r="O53" s="12" t="n">
        <f aca="false">IF(E53=0,0,(H53+K53)/E53)</f>
        <v>1.3469387755102</v>
      </c>
      <c r="P53" s="12" t="n">
        <f aca="false">IF(E53=0,0,L53*7/E53)</f>
        <v>0.857142857142857</v>
      </c>
      <c r="Q53" s="12" t="n">
        <f aca="false">IF(E53=0,0,K53*7/E53)</f>
        <v>1</v>
      </c>
    </row>
    <row r="54" customFormat="false" ht="14.25" hidden="false" customHeight="true" outlineLevel="0" collapsed="false">
      <c r="A54" s="6" t="n">
        <v>2022</v>
      </c>
      <c r="B54" s="6" t="s">
        <v>50</v>
      </c>
      <c r="C54" s="6" t="s">
        <v>66</v>
      </c>
      <c r="D54" s="7" t="n">
        <v>4</v>
      </c>
      <c r="E54" s="11" t="n">
        <v>24</v>
      </c>
      <c r="F54" s="7" t="n">
        <v>2</v>
      </c>
      <c r="G54" s="7" t="n">
        <v>2</v>
      </c>
      <c r="H54" s="7" t="n">
        <v>27</v>
      </c>
      <c r="I54" s="7" t="n">
        <v>17</v>
      </c>
      <c r="J54" s="7" t="n">
        <v>9</v>
      </c>
      <c r="K54" s="7" t="n">
        <v>7</v>
      </c>
      <c r="L54" s="7" t="n">
        <v>3</v>
      </c>
      <c r="M54" s="7" t="n">
        <v>2</v>
      </c>
      <c r="N54" s="12" t="n">
        <f aca="false">IF(E54=0,0,J54*7/E54)</f>
        <v>2.625</v>
      </c>
      <c r="O54" s="12" t="n">
        <f aca="false">IF(E54=0,0,(H54+K54)/E54)</f>
        <v>1.41666666666667</v>
      </c>
      <c r="P54" s="12" t="n">
        <f aca="false">IF(E54=0,0,L54*7/E54)</f>
        <v>0.875</v>
      </c>
      <c r="Q54" s="12" t="n">
        <f aca="false">IF(E54=0,0,K54*7/E54)</f>
        <v>2.04166666666667</v>
      </c>
    </row>
    <row r="55" customFormat="false" ht="14.25" hidden="false" customHeight="true" outlineLevel="0" collapsed="false">
      <c r="A55" s="6" t="n">
        <v>2022</v>
      </c>
      <c r="B55" s="6" t="s">
        <v>50</v>
      </c>
      <c r="C55" s="6" t="s">
        <v>64</v>
      </c>
      <c r="D55" s="7" t="n">
        <v>3</v>
      </c>
      <c r="E55" s="11" t="n">
        <v>17</v>
      </c>
      <c r="F55" s="7" t="n">
        <v>1</v>
      </c>
      <c r="G55" s="7" t="n">
        <v>1</v>
      </c>
      <c r="H55" s="7" t="n">
        <v>18</v>
      </c>
      <c r="I55" s="7" t="n">
        <v>12</v>
      </c>
      <c r="J55" s="7" t="n">
        <v>8</v>
      </c>
      <c r="K55" s="7" t="n">
        <v>3</v>
      </c>
      <c r="L55" s="7" t="n">
        <v>3</v>
      </c>
      <c r="M55" s="7" t="n">
        <v>3</v>
      </c>
      <c r="N55" s="12" t="n">
        <f aca="false">IF(E55=0,0,J55*7/E55)</f>
        <v>3.29411764705882</v>
      </c>
      <c r="O55" s="12" t="n">
        <f aca="false">IF(E55=0,0,(H55+K55)/E55)</f>
        <v>1.23529411764706</v>
      </c>
      <c r="P55" s="12" t="n">
        <f aca="false">IF(E55=0,0,L55*7/E55)</f>
        <v>1.23529411764706</v>
      </c>
      <c r="Q55" s="12" t="n">
        <f aca="false">IF(E55=0,0,K55*7/E55)</f>
        <v>1.23529411764706</v>
      </c>
    </row>
    <row r="56" customFormat="false" ht="14.25" hidden="false" customHeight="true" outlineLevel="0" collapsed="false">
      <c r="A56" s="6" t="n">
        <v>2022</v>
      </c>
      <c r="B56" s="6" t="s">
        <v>71</v>
      </c>
      <c r="C56" s="6" t="s">
        <v>79</v>
      </c>
      <c r="D56" s="7" t="n">
        <v>12</v>
      </c>
      <c r="E56" s="11" t="n">
        <v>80</v>
      </c>
      <c r="F56" s="7" t="n">
        <v>6</v>
      </c>
      <c r="G56" s="7" t="n">
        <v>6</v>
      </c>
      <c r="H56" s="7" t="n">
        <v>105</v>
      </c>
      <c r="I56" s="7" t="n">
        <v>69</v>
      </c>
      <c r="J56" s="7" t="n">
        <v>53</v>
      </c>
      <c r="K56" s="7" t="n">
        <v>30</v>
      </c>
      <c r="L56" s="7" t="n">
        <v>10</v>
      </c>
      <c r="M56" s="7" t="n">
        <v>11</v>
      </c>
      <c r="N56" s="12" t="n">
        <f aca="false">IF(E56=0,0,J56*7/E56)</f>
        <v>4.6375</v>
      </c>
      <c r="O56" s="12" t="n">
        <f aca="false">IF(E56=0,0,(H56+K56)/E56)</f>
        <v>1.6875</v>
      </c>
      <c r="P56" s="12" t="n">
        <f aca="false">IF(E56=0,0,L56*7/E56)</f>
        <v>0.875</v>
      </c>
      <c r="Q56" s="12" t="n">
        <f aca="false">IF(E56=0,0,K56*7/E56)</f>
        <v>2.625</v>
      </c>
    </row>
    <row r="57" customFormat="false" ht="14.25" hidden="false" customHeight="true" outlineLevel="0" collapsed="false">
      <c r="A57" s="6" t="n">
        <v>2022</v>
      </c>
      <c r="B57" s="6" t="s">
        <v>71</v>
      </c>
      <c r="C57" s="6" t="s">
        <v>85</v>
      </c>
      <c r="D57" s="7" t="n">
        <v>3</v>
      </c>
      <c r="E57" s="11" t="n">
        <v>15</v>
      </c>
      <c r="F57" s="7" t="n">
        <v>0</v>
      </c>
      <c r="G57" s="7" t="n">
        <v>2</v>
      </c>
      <c r="H57" s="7" t="n">
        <v>29</v>
      </c>
      <c r="I57" s="7" t="n">
        <v>28</v>
      </c>
      <c r="J57" s="7" t="n">
        <v>15</v>
      </c>
      <c r="K57" s="7" t="n">
        <v>9</v>
      </c>
      <c r="L57" s="7" t="n">
        <v>4</v>
      </c>
      <c r="M57" s="7" t="n">
        <v>6</v>
      </c>
      <c r="N57" s="12" t="n">
        <f aca="false">IF(E57=0,0,J57*7/E57)</f>
        <v>7</v>
      </c>
      <c r="O57" s="12" t="n">
        <f aca="false">IF(E57=0,0,(H57+K57)/E57)</f>
        <v>2.53333333333333</v>
      </c>
      <c r="P57" s="12" t="n">
        <f aca="false">IF(E57=0,0,L57*7/E57)</f>
        <v>1.86666666666667</v>
      </c>
      <c r="Q57" s="12" t="n">
        <f aca="false">IF(E57=0,0,K57*7/E57)</f>
        <v>4.2</v>
      </c>
    </row>
    <row r="58" customFormat="false" ht="14.25" hidden="false" customHeight="true" outlineLevel="0" collapsed="false">
      <c r="A58" s="6" t="n">
        <v>2022</v>
      </c>
      <c r="B58" s="6" t="s">
        <v>97</v>
      </c>
      <c r="C58" s="6" t="s">
        <v>253</v>
      </c>
      <c r="D58" s="7" t="n">
        <v>9</v>
      </c>
      <c r="E58" s="11" t="n">
        <v>41</v>
      </c>
      <c r="F58" s="7" t="n">
        <v>1</v>
      </c>
      <c r="G58" s="7" t="n">
        <v>7</v>
      </c>
      <c r="H58" s="7" t="n">
        <v>76</v>
      </c>
      <c r="I58" s="7" t="n">
        <v>59</v>
      </c>
      <c r="J58" s="7" t="n">
        <v>37</v>
      </c>
      <c r="K58" s="7" t="n">
        <v>19</v>
      </c>
      <c r="L58" s="7" t="n">
        <v>4</v>
      </c>
      <c r="M58" s="7" t="n">
        <v>6</v>
      </c>
      <c r="N58" s="12" t="n">
        <f aca="false">IF(E58=0,0,J58*7/E58)</f>
        <v>6.31707317073171</v>
      </c>
      <c r="O58" s="12" t="n">
        <f aca="false">IF(E58=0,0,(H58+K58)/E58)</f>
        <v>2.31707317073171</v>
      </c>
      <c r="P58" s="12" t="n">
        <f aca="false">IF(E58=0,0,L58*7/E58)</f>
        <v>0.682926829268293</v>
      </c>
      <c r="Q58" s="12" t="n">
        <f aca="false">IF(E58=0,0,K58*7/E58)</f>
        <v>3.24390243902439</v>
      </c>
    </row>
    <row r="59" customFormat="false" ht="14.25" hidden="false" customHeight="true" outlineLevel="0" collapsed="false">
      <c r="A59" s="6" t="n">
        <v>2022</v>
      </c>
      <c r="B59" s="6" t="s">
        <v>97</v>
      </c>
      <c r="C59" s="6" t="s">
        <v>285</v>
      </c>
      <c r="D59" s="7" t="n">
        <v>2</v>
      </c>
      <c r="E59" s="11" t="n">
        <v>12</v>
      </c>
      <c r="F59" s="7" t="n">
        <v>0</v>
      </c>
      <c r="G59" s="7" t="n">
        <v>2</v>
      </c>
      <c r="H59" s="7" t="n">
        <v>12</v>
      </c>
      <c r="I59" s="7" t="n">
        <v>12</v>
      </c>
      <c r="J59" s="7" t="n">
        <v>4</v>
      </c>
      <c r="K59" s="7" t="n">
        <v>8</v>
      </c>
      <c r="L59" s="7" t="n">
        <v>3</v>
      </c>
      <c r="M59" s="7" t="n">
        <v>2</v>
      </c>
      <c r="N59" s="12" t="n">
        <f aca="false">IF(E59=0,0,J59*7/E59)</f>
        <v>2.33333333333333</v>
      </c>
      <c r="O59" s="12" t="n">
        <f aca="false">IF(E59=0,0,(H59+K59)/E59)</f>
        <v>1.66666666666667</v>
      </c>
      <c r="P59" s="12" t="n">
        <f aca="false">IF(E59=0,0,L59*7/E59)</f>
        <v>1.75</v>
      </c>
      <c r="Q59" s="12" t="n">
        <f aca="false">IF(E59=0,0,K59*7/E59)</f>
        <v>4.66666666666667</v>
      </c>
    </row>
    <row r="60" customFormat="false" ht="14.25" hidden="false" customHeight="true" outlineLevel="0" collapsed="false">
      <c r="A60" s="6" t="n">
        <v>2022</v>
      </c>
      <c r="B60" s="6" t="s">
        <v>97</v>
      </c>
      <c r="C60" s="6" t="s">
        <v>102</v>
      </c>
      <c r="D60" s="7" t="n">
        <v>4</v>
      </c>
      <c r="E60" s="11" t="n">
        <v>20</v>
      </c>
      <c r="F60" s="7" t="n">
        <v>0</v>
      </c>
      <c r="G60" s="7" t="n">
        <v>2</v>
      </c>
      <c r="H60" s="7" t="n">
        <v>42</v>
      </c>
      <c r="I60" s="7" t="n">
        <v>44</v>
      </c>
      <c r="J60" s="7" t="n">
        <v>23</v>
      </c>
      <c r="K60" s="7" t="n">
        <v>18</v>
      </c>
      <c r="L60" s="7" t="n">
        <v>1</v>
      </c>
      <c r="M60" s="7" t="n">
        <v>12</v>
      </c>
      <c r="N60" s="12" t="n">
        <f aca="false">IF(E60=0,0,J60*7/E60)</f>
        <v>8.05</v>
      </c>
      <c r="O60" s="12" t="n">
        <f aca="false">IF(E60=0,0,(H60+K60)/E60)</f>
        <v>3</v>
      </c>
      <c r="P60" s="12" t="n">
        <f aca="false">IF(E60=0,0,L60*7/E60)</f>
        <v>0.35</v>
      </c>
      <c r="Q60" s="12" t="n">
        <f aca="false">IF(E60=0,0,K60*7/E60)</f>
        <v>6.3</v>
      </c>
    </row>
    <row r="61" customFormat="false" ht="14.25" hidden="false" customHeight="true" outlineLevel="0" collapsed="false">
      <c r="A61" s="6" t="n">
        <v>2022</v>
      </c>
      <c r="B61" s="6" t="s">
        <v>97</v>
      </c>
      <c r="C61" s="6" t="s">
        <v>109</v>
      </c>
      <c r="D61" s="7" t="n">
        <v>1</v>
      </c>
      <c r="E61" s="11" t="n">
        <v>4</v>
      </c>
      <c r="F61" s="7" t="n">
        <v>0</v>
      </c>
      <c r="G61" s="7" t="n">
        <v>0</v>
      </c>
      <c r="H61" s="7" t="n">
        <v>4</v>
      </c>
      <c r="I61" s="7" t="n">
        <v>2</v>
      </c>
      <c r="J61" s="7" t="n">
        <v>1</v>
      </c>
      <c r="K61" s="7" t="n">
        <v>2</v>
      </c>
      <c r="L61" s="7" t="n">
        <v>0</v>
      </c>
      <c r="M61" s="7" t="n">
        <v>0</v>
      </c>
      <c r="N61" s="12" t="n">
        <f aca="false">IF(E61=0,0,J61*7/E61)</f>
        <v>1.75</v>
      </c>
      <c r="O61" s="12" t="n">
        <f aca="false">IF(E61=0,0,(H61+K61)/E61)</f>
        <v>1.5</v>
      </c>
      <c r="P61" s="12" t="n">
        <f aca="false">IF(E61=0,0,L61*7/E61)</f>
        <v>0</v>
      </c>
      <c r="Q61" s="12" t="n">
        <f aca="false">IF(E61=0,0,K61*7/E61)</f>
        <v>3.5</v>
      </c>
    </row>
    <row r="62" customFormat="false" ht="14.25" hidden="false" customHeight="true" outlineLevel="0" collapsed="false">
      <c r="A62" s="6" t="n">
        <v>2022</v>
      </c>
      <c r="B62" s="6" t="s">
        <v>121</v>
      </c>
      <c r="C62" s="6" t="s">
        <v>125</v>
      </c>
      <c r="D62" s="7" t="n">
        <v>12</v>
      </c>
      <c r="E62" s="11" t="n">
        <v>75</v>
      </c>
      <c r="F62" s="7" t="n">
        <v>5</v>
      </c>
      <c r="G62" s="7" t="n">
        <v>7</v>
      </c>
      <c r="H62" s="7" t="n">
        <v>97</v>
      </c>
      <c r="I62" s="7" t="n">
        <v>75</v>
      </c>
      <c r="J62" s="7" t="n">
        <v>61</v>
      </c>
      <c r="K62" s="7" t="n">
        <v>55</v>
      </c>
      <c r="L62" s="7" t="n">
        <v>15</v>
      </c>
      <c r="M62" s="7" t="n">
        <v>8</v>
      </c>
      <c r="N62" s="12" t="n">
        <f aca="false">IF(E62=0,0,J62*7/E62)</f>
        <v>5.69333333333333</v>
      </c>
      <c r="O62" s="12" t="n">
        <f aca="false">IF(E62=0,0,(H62+K62)/E62)</f>
        <v>2.02666666666667</v>
      </c>
      <c r="P62" s="12" t="n">
        <f aca="false">IF(E62=0,0,L62*7/E62)</f>
        <v>1.4</v>
      </c>
      <c r="Q62" s="12" t="n">
        <f aca="false">IF(E62=0,0,K62*7/E62)</f>
        <v>5.13333333333333</v>
      </c>
    </row>
    <row r="63" customFormat="false" ht="14.25" hidden="false" customHeight="true" outlineLevel="0" collapsed="false">
      <c r="A63" s="6" t="n">
        <v>2022</v>
      </c>
      <c r="B63" s="6" t="s">
        <v>121</v>
      </c>
      <c r="C63" s="6" t="s">
        <v>144</v>
      </c>
      <c r="D63" s="7" t="n">
        <v>2</v>
      </c>
      <c r="E63" s="11" t="n">
        <v>3.2</v>
      </c>
      <c r="F63" s="7" t="n">
        <v>0</v>
      </c>
      <c r="G63" s="7" t="n">
        <v>0</v>
      </c>
      <c r="H63" s="7" t="n">
        <v>6</v>
      </c>
      <c r="I63" s="7" t="n">
        <v>4</v>
      </c>
      <c r="J63" s="7" t="n">
        <v>3</v>
      </c>
      <c r="K63" s="7" t="n">
        <v>0</v>
      </c>
      <c r="L63" s="7" t="n">
        <v>0</v>
      </c>
      <c r="M63" s="7" t="n">
        <v>2</v>
      </c>
      <c r="N63" s="12" t="n">
        <v>5.73</v>
      </c>
      <c r="O63" s="12" t="n">
        <v>1.64</v>
      </c>
      <c r="P63" s="12" t="n">
        <v>0</v>
      </c>
      <c r="Q63" s="12" t="n">
        <v>0</v>
      </c>
    </row>
    <row r="64" customFormat="false" ht="14.25" hidden="false" customHeight="true" outlineLevel="0" collapsed="false">
      <c r="A64" s="6" t="n">
        <v>2022</v>
      </c>
      <c r="B64" s="6" t="s">
        <v>121</v>
      </c>
      <c r="C64" s="6" t="s">
        <v>122</v>
      </c>
      <c r="D64" s="7" t="n">
        <v>1</v>
      </c>
      <c r="E64" s="11" t="n">
        <v>1.1</v>
      </c>
      <c r="F64" s="7" t="n">
        <v>0</v>
      </c>
      <c r="G64" s="7" t="n">
        <v>0</v>
      </c>
      <c r="H64" s="7" t="n">
        <v>10</v>
      </c>
      <c r="I64" s="7" t="n">
        <v>9</v>
      </c>
      <c r="J64" s="7" t="n">
        <v>9</v>
      </c>
      <c r="K64" s="7" t="n">
        <v>1</v>
      </c>
      <c r="L64" s="7" t="n">
        <v>0</v>
      </c>
      <c r="M64" s="7" t="n">
        <v>2</v>
      </c>
      <c r="N64" s="12" t="n">
        <v>47.25</v>
      </c>
      <c r="O64" s="12" t="n">
        <v>8.25</v>
      </c>
      <c r="P64" s="12" t="n">
        <v>0</v>
      </c>
      <c r="Q64" s="12" t="n">
        <v>5.25</v>
      </c>
    </row>
    <row r="65" customFormat="false" ht="14.25" hidden="false" customHeight="true" outlineLevel="0" collapsed="false">
      <c r="A65" s="6" t="n">
        <v>2022</v>
      </c>
      <c r="B65" s="6" t="s">
        <v>147</v>
      </c>
      <c r="C65" s="6" t="s">
        <v>154</v>
      </c>
      <c r="D65" s="7" t="n">
        <v>14</v>
      </c>
      <c r="E65" s="11" t="n">
        <v>94.2</v>
      </c>
      <c r="F65" s="7" t="n">
        <v>10</v>
      </c>
      <c r="G65" s="7" t="n">
        <v>4</v>
      </c>
      <c r="H65" s="7" t="n">
        <v>89</v>
      </c>
      <c r="I65" s="7" t="n">
        <v>53</v>
      </c>
      <c r="J65" s="7" t="n">
        <v>41</v>
      </c>
      <c r="K65" s="7" t="n">
        <v>48</v>
      </c>
      <c r="L65" s="7" t="n">
        <v>44</v>
      </c>
      <c r="M65" s="7" t="n">
        <v>15</v>
      </c>
      <c r="N65" s="12" t="n">
        <v>3.03</v>
      </c>
      <c r="O65" s="12" t="n">
        <v>1.45</v>
      </c>
      <c r="P65" s="12" t="n">
        <v>3.25</v>
      </c>
      <c r="Q65" s="12" t="n">
        <v>3.55</v>
      </c>
    </row>
    <row r="66" customFormat="false" ht="14.25" hidden="false" customHeight="true" outlineLevel="0" collapsed="false">
      <c r="A66" s="6" t="n">
        <v>2022</v>
      </c>
      <c r="B66" s="6" t="s">
        <v>147</v>
      </c>
      <c r="C66" s="6" t="s">
        <v>148</v>
      </c>
      <c r="D66" s="7" t="n">
        <v>1</v>
      </c>
      <c r="E66" s="11" t="n">
        <v>1</v>
      </c>
      <c r="F66" s="7" t="n">
        <v>0</v>
      </c>
      <c r="G66" s="7" t="n">
        <v>0</v>
      </c>
      <c r="H66" s="7" t="n">
        <v>1</v>
      </c>
      <c r="I66" s="7" t="n">
        <v>1</v>
      </c>
      <c r="J66" s="7" t="n">
        <v>1</v>
      </c>
      <c r="K66" s="7" t="n">
        <v>3</v>
      </c>
      <c r="L66" s="7" t="n">
        <v>0</v>
      </c>
      <c r="M66" s="7" t="n">
        <v>0</v>
      </c>
      <c r="N66" s="12" t="n">
        <f aca="false">IF(E66=0,0,J66*7/E66)</f>
        <v>7</v>
      </c>
      <c r="O66" s="12" t="n">
        <f aca="false">IF(E66=0,0,(H66+K66)/E66)</f>
        <v>4</v>
      </c>
      <c r="P66" s="12" t="n">
        <f aca="false">IF(E66=0,0,L66*7/E66)</f>
        <v>0</v>
      </c>
      <c r="Q66" s="12" t="n">
        <f aca="false">IF(E66=0,0,K66*7/E66)</f>
        <v>21</v>
      </c>
    </row>
    <row r="67" customFormat="false" ht="14.25" hidden="false" customHeight="true" outlineLevel="0" collapsed="false">
      <c r="A67" s="6" t="n">
        <v>2022</v>
      </c>
      <c r="B67" s="6" t="s">
        <v>147</v>
      </c>
      <c r="C67" s="6" t="s">
        <v>150</v>
      </c>
      <c r="D67" s="7" t="n">
        <v>1</v>
      </c>
      <c r="E67" s="11" t="n">
        <v>1</v>
      </c>
      <c r="F67" s="7" t="n">
        <v>0</v>
      </c>
      <c r="G67" s="7" t="n">
        <v>0</v>
      </c>
      <c r="H67" s="7" t="n">
        <v>1</v>
      </c>
      <c r="I67" s="7" t="n">
        <v>4</v>
      </c>
      <c r="J67" s="7" t="n">
        <v>3</v>
      </c>
      <c r="K67" s="7" t="n">
        <v>3</v>
      </c>
      <c r="L67" s="7" t="n">
        <v>0</v>
      </c>
      <c r="M67" s="7" t="n">
        <v>0</v>
      </c>
      <c r="N67" s="12" t="n">
        <f aca="false">IF(E67=0,0,J67*7/E67)</f>
        <v>21</v>
      </c>
      <c r="O67" s="12" t="n">
        <f aca="false">IF(E67=0,0,(H67+K67)/E67)</f>
        <v>4</v>
      </c>
      <c r="P67" s="12" t="n">
        <f aca="false">IF(E67=0,0,L67*7/E67)</f>
        <v>0</v>
      </c>
      <c r="Q67" s="12" t="n">
        <f aca="false">IF(E67=0,0,K67*7/E67)</f>
        <v>21</v>
      </c>
    </row>
    <row r="68" customFormat="false" ht="14.25" hidden="false" customHeight="true" outlineLevel="0" collapsed="false">
      <c r="A68" s="6" t="n">
        <v>2022</v>
      </c>
      <c r="B68" s="6" t="s">
        <v>166</v>
      </c>
      <c r="C68" s="6" t="s">
        <v>178</v>
      </c>
      <c r="D68" s="7" t="n">
        <v>11</v>
      </c>
      <c r="E68" s="11" t="n">
        <v>77</v>
      </c>
      <c r="F68" s="7" t="n">
        <v>9</v>
      </c>
      <c r="G68" s="7" t="n">
        <v>2</v>
      </c>
      <c r="H68" s="7" t="n">
        <v>71</v>
      </c>
      <c r="I68" s="7" t="n">
        <v>30</v>
      </c>
      <c r="J68" s="7" t="n">
        <v>16</v>
      </c>
      <c r="K68" s="7" t="n">
        <v>40</v>
      </c>
      <c r="L68" s="7" t="n">
        <v>28</v>
      </c>
      <c r="M68" s="7" t="n">
        <v>3</v>
      </c>
      <c r="N68" s="12" t="n">
        <f aca="false">IF(E68=0,0,J68*7/E68)</f>
        <v>1.45454545454545</v>
      </c>
      <c r="O68" s="12" t="n">
        <f aca="false">IF(E68=0,0,(H68+K68)/E68)</f>
        <v>1.44155844155844</v>
      </c>
      <c r="P68" s="12" t="n">
        <f aca="false">IF(E68=0,0,L68*7/E68)</f>
        <v>2.54545454545455</v>
      </c>
      <c r="Q68" s="12" t="n">
        <f aca="false">IF(E68=0,0,K68*7/E68)</f>
        <v>3.63636363636364</v>
      </c>
    </row>
    <row r="69" customFormat="false" ht="14.25" hidden="false" customHeight="true" outlineLevel="0" collapsed="false">
      <c r="A69" s="6" t="n">
        <v>2022</v>
      </c>
      <c r="B69" s="6" t="s">
        <v>166</v>
      </c>
      <c r="C69" s="6" t="s">
        <v>177</v>
      </c>
      <c r="D69" s="7" t="n">
        <v>2</v>
      </c>
      <c r="E69" s="11" t="n">
        <v>13</v>
      </c>
      <c r="F69" s="7" t="n">
        <v>0</v>
      </c>
      <c r="G69" s="7" t="n">
        <v>2</v>
      </c>
      <c r="H69" s="7" t="n">
        <v>19</v>
      </c>
      <c r="I69" s="7" t="n">
        <v>15</v>
      </c>
      <c r="J69" s="7" t="n">
        <v>15</v>
      </c>
      <c r="K69" s="7" t="n">
        <v>14</v>
      </c>
      <c r="L69" s="7" t="n">
        <v>1</v>
      </c>
      <c r="M69" s="7" t="n">
        <v>2</v>
      </c>
      <c r="N69" s="12" t="n">
        <f aca="false">IF(E69=0,0,J69*7/E69)</f>
        <v>8.07692307692308</v>
      </c>
      <c r="O69" s="12" t="n">
        <f aca="false">IF(E69=0,0,(H69+K69)/E69)</f>
        <v>2.53846153846154</v>
      </c>
      <c r="P69" s="12" t="n">
        <f aca="false">IF(E69=0,0,L69*7/E69)</f>
        <v>0.538461538461538</v>
      </c>
      <c r="Q69" s="12" t="n">
        <f aca="false">IF(E69=0,0,K69*7/E69)</f>
        <v>7.53846153846154</v>
      </c>
    </row>
    <row r="70" customFormat="false" ht="14.25" hidden="false" customHeight="true" outlineLevel="0" collapsed="false">
      <c r="A70" s="6" t="n">
        <v>2022</v>
      </c>
      <c r="B70" s="6" t="s">
        <v>192</v>
      </c>
      <c r="C70" s="6" t="s">
        <v>198</v>
      </c>
      <c r="D70" s="7" t="n">
        <v>9</v>
      </c>
      <c r="E70" s="11" t="n">
        <v>60</v>
      </c>
      <c r="F70" s="7" t="n">
        <v>5</v>
      </c>
      <c r="G70" s="7" t="n">
        <v>4</v>
      </c>
      <c r="H70" s="7" t="n">
        <v>57</v>
      </c>
      <c r="I70" s="7" t="n">
        <v>38</v>
      </c>
      <c r="J70" s="7" t="n">
        <v>24</v>
      </c>
      <c r="K70" s="7" t="n">
        <v>33</v>
      </c>
      <c r="L70" s="7" t="n">
        <v>11</v>
      </c>
      <c r="M70" s="7" t="n">
        <v>7</v>
      </c>
      <c r="N70" s="12" t="n">
        <f aca="false">IF(E70=0,0,J70*7/E70)</f>
        <v>2.8</v>
      </c>
      <c r="O70" s="12" t="n">
        <f aca="false">IF(E70=0,0,(H70+K70)/E70)</f>
        <v>1.5</v>
      </c>
      <c r="P70" s="12" t="n">
        <f aca="false">IF(E70=0,0,L70*7/E70)</f>
        <v>1.28333333333333</v>
      </c>
      <c r="Q70" s="12" t="n">
        <f aca="false">IF(E70=0,0,K70*7/E70)</f>
        <v>3.85</v>
      </c>
    </row>
    <row r="71" customFormat="false" ht="14.25" hidden="false" customHeight="true" outlineLevel="0" collapsed="false">
      <c r="A71" s="6" t="n">
        <v>2022</v>
      </c>
      <c r="B71" s="6" t="s">
        <v>192</v>
      </c>
      <c r="C71" s="6" t="s">
        <v>201</v>
      </c>
      <c r="D71" s="7" t="n">
        <v>1</v>
      </c>
      <c r="E71" s="11" t="n">
        <v>1</v>
      </c>
      <c r="F71" s="7" t="n">
        <v>0</v>
      </c>
      <c r="G71" s="7" t="n">
        <v>0</v>
      </c>
      <c r="H71" s="7" t="n">
        <v>2</v>
      </c>
      <c r="I71" s="7" t="n">
        <v>1</v>
      </c>
      <c r="J71" s="7" t="n">
        <v>1</v>
      </c>
      <c r="K71" s="7" t="n">
        <v>0</v>
      </c>
      <c r="L71" s="7" t="n">
        <v>0</v>
      </c>
      <c r="M71" s="7" t="n">
        <v>1</v>
      </c>
      <c r="N71" s="12" t="n">
        <f aca="false">IF(E71=0,0,J71*7/E71)</f>
        <v>7</v>
      </c>
      <c r="O71" s="12" t="n">
        <f aca="false">IF(E71=0,0,(H71+K71)/E71)</f>
        <v>2</v>
      </c>
      <c r="P71" s="12" t="n">
        <f aca="false">IF(E71=0,0,L71*7/E71)</f>
        <v>0</v>
      </c>
      <c r="Q71" s="12" t="n">
        <f aca="false">IF(E71=0,0,K71*7/E71)</f>
        <v>0</v>
      </c>
    </row>
    <row r="72" customFormat="false" ht="14.25" hidden="false" customHeight="true" outlineLevel="0" collapsed="false">
      <c r="A72" s="6" t="n">
        <v>2022</v>
      </c>
      <c r="B72" s="6" t="s">
        <v>192</v>
      </c>
      <c r="C72" s="6" t="s">
        <v>195</v>
      </c>
      <c r="D72" s="7" t="n">
        <v>1</v>
      </c>
      <c r="E72" s="11" t="n">
        <v>6</v>
      </c>
      <c r="F72" s="7" t="n">
        <v>0</v>
      </c>
      <c r="G72" s="7" t="n">
        <v>1</v>
      </c>
      <c r="H72" s="7" t="n">
        <v>13</v>
      </c>
      <c r="I72" s="7" t="n">
        <v>9</v>
      </c>
      <c r="J72" s="7" t="n">
        <v>5</v>
      </c>
      <c r="K72" s="7" t="n">
        <v>3</v>
      </c>
      <c r="L72" s="7" t="n">
        <v>1</v>
      </c>
      <c r="M72" s="7" t="n">
        <v>2</v>
      </c>
      <c r="N72" s="12" t="n">
        <f aca="false">IF(E72=0,0,J72*7/E72)</f>
        <v>5.83333333333333</v>
      </c>
      <c r="O72" s="12" t="n">
        <f aca="false">IF(E72=0,0,(H72+K72)/E72)</f>
        <v>2.66666666666667</v>
      </c>
      <c r="P72" s="12" t="n">
        <f aca="false">IF(E72=0,0,L72*7/E72)</f>
        <v>1.16666666666667</v>
      </c>
      <c r="Q72" s="12" t="n">
        <f aca="false">IF(E72=0,0,K72*7/E72)</f>
        <v>3.5</v>
      </c>
    </row>
    <row r="73" customFormat="false" ht="14.25" hidden="false" customHeight="true" outlineLevel="0" collapsed="false">
      <c r="A73" s="6" t="n">
        <v>2022</v>
      </c>
      <c r="B73" s="6" t="s">
        <v>192</v>
      </c>
      <c r="C73" s="6" t="s">
        <v>196</v>
      </c>
      <c r="D73" s="7" t="n">
        <v>1</v>
      </c>
      <c r="E73" s="11" t="n">
        <v>6</v>
      </c>
      <c r="F73" s="7" t="n">
        <v>0</v>
      </c>
      <c r="G73" s="7" t="n">
        <v>1</v>
      </c>
      <c r="H73" s="7" t="n">
        <v>10</v>
      </c>
      <c r="I73" s="7" t="n">
        <v>9</v>
      </c>
      <c r="J73" s="7" t="n">
        <v>6</v>
      </c>
      <c r="K73" s="7" t="n">
        <v>5</v>
      </c>
      <c r="L73" s="7" t="n">
        <v>2</v>
      </c>
      <c r="M73" s="7" t="n">
        <v>2</v>
      </c>
      <c r="N73" s="12" t="n">
        <f aca="false">IF(E73=0,0,J73*7/E73)</f>
        <v>7</v>
      </c>
      <c r="O73" s="12" t="n">
        <f aca="false">IF(E73=0,0,(H73+K73)/E73)</f>
        <v>2.5</v>
      </c>
      <c r="P73" s="12" t="n">
        <f aca="false">IF(E73=0,0,L73*7/E73)</f>
        <v>2.33333333333333</v>
      </c>
      <c r="Q73" s="12" t="n">
        <f aca="false">IF(E73=0,0,K73*7/E73)</f>
        <v>5.83333333333333</v>
      </c>
    </row>
    <row r="74" customFormat="false" ht="14.25" hidden="false" customHeight="true" outlineLevel="0" collapsed="false">
      <c r="A74" s="6" t="n">
        <v>2022</v>
      </c>
      <c r="B74" s="6" t="s">
        <v>192</v>
      </c>
      <c r="C74" s="6" t="s">
        <v>402</v>
      </c>
      <c r="D74" s="7" t="n">
        <v>1</v>
      </c>
      <c r="E74" s="11" t="n">
        <v>7</v>
      </c>
      <c r="F74" s="7" t="n">
        <v>0</v>
      </c>
      <c r="G74" s="7" t="n">
        <v>1</v>
      </c>
      <c r="H74" s="7" t="n">
        <v>15</v>
      </c>
      <c r="I74" s="7" t="n">
        <v>14</v>
      </c>
      <c r="J74" s="7" t="n">
        <v>14</v>
      </c>
      <c r="K74" s="7" t="n">
        <v>9</v>
      </c>
      <c r="L74" s="7" t="n">
        <v>2</v>
      </c>
      <c r="M74" s="7" t="n">
        <v>2</v>
      </c>
      <c r="N74" s="12" t="n">
        <f aca="false">IF(E74=0,0,J74*7/E74)</f>
        <v>14</v>
      </c>
      <c r="O74" s="12" t="n">
        <f aca="false">IF(E74=0,0,(H74+K74)/E74)</f>
        <v>3.42857142857143</v>
      </c>
      <c r="P74" s="12" t="n">
        <f aca="false">IF(E74=0,0,L74*7/E74)</f>
        <v>2</v>
      </c>
      <c r="Q74" s="12" t="n">
        <f aca="false">IF(E74=0,0,K74*7/E74)</f>
        <v>9</v>
      </c>
    </row>
    <row r="75" customFormat="false" ht="14.25" hidden="false" customHeight="true" outlineLevel="0" collapsed="false">
      <c r="A75" s="6" t="n">
        <v>2022</v>
      </c>
      <c r="B75" s="6" t="s">
        <v>212</v>
      </c>
      <c r="C75" s="6" t="s">
        <v>215</v>
      </c>
      <c r="D75" s="7" t="n">
        <v>8</v>
      </c>
      <c r="E75" s="11" t="n">
        <v>40.2</v>
      </c>
      <c r="F75" s="7" t="n">
        <v>4</v>
      </c>
      <c r="G75" s="7" t="n">
        <v>3</v>
      </c>
      <c r="H75" s="7" t="n">
        <v>52</v>
      </c>
      <c r="I75" s="7" t="n">
        <v>43</v>
      </c>
      <c r="J75" s="7" t="n">
        <v>30</v>
      </c>
      <c r="K75" s="7" t="n">
        <v>23</v>
      </c>
      <c r="L75" s="7" t="n">
        <v>4</v>
      </c>
      <c r="M75" s="7" t="n">
        <v>8</v>
      </c>
      <c r="N75" s="12" t="n">
        <v>5.16</v>
      </c>
      <c r="O75" s="12" t="n">
        <v>1.84</v>
      </c>
      <c r="P75" s="12" t="n">
        <v>0.69</v>
      </c>
      <c r="Q75" s="12" t="n">
        <v>3.96</v>
      </c>
    </row>
    <row r="76" customFormat="false" ht="14.25" hidden="false" customHeight="true" outlineLevel="0" collapsed="false">
      <c r="A76" s="6" t="n">
        <v>2022</v>
      </c>
      <c r="B76" s="6" t="s">
        <v>212</v>
      </c>
      <c r="C76" s="6" t="s">
        <v>85</v>
      </c>
      <c r="D76" s="7" t="n">
        <v>8</v>
      </c>
      <c r="E76" s="11" t="n">
        <v>45.1</v>
      </c>
      <c r="F76" s="7" t="n">
        <v>3</v>
      </c>
      <c r="G76" s="7" t="n">
        <v>3</v>
      </c>
      <c r="H76" s="7" t="n">
        <v>63</v>
      </c>
      <c r="I76" s="7" t="n">
        <v>38</v>
      </c>
      <c r="J76" s="7" t="n">
        <v>19</v>
      </c>
      <c r="K76" s="7" t="n">
        <v>29</v>
      </c>
      <c r="L76" s="7" t="n">
        <v>6</v>
      </c>
      <c r="M76" s="7" t="n">
        <v>5</v>
      </c>
      <c r="N76" s="12" t="n">
        <v>2.93</v>
      </c>
      <c r="O76" s="12" t="n">
        <v>2.03</v>
      </c>
      <c r="P76" s="12" t="n">
        <v>0.93</v>
      </c>
      <c r="Q76" s="12" t="n">
        <v>4.48</v>
      </c>
    </row>
    <row r="77" customFormat="false" ht="14.25" hidden="false" customHeight="true" outlineLevel="0" collapsed="false">
      <c r="A77" s="6" t="n">
        <v>2022</v>
      </c>
      <c r="B77" s="6" t="s">
        <v>212</v>
      </c>
      <c r="C77" s="6" t="s">
        <v>214</v>
      </c>
      <c r="D77" s="7" t="n">
        <v>3</v>
      </c>
      <c r="E77" s="11" t="n">
        <v>9</v>
      </c>
      <c r="F77" s="7" t="n">
        <v>1</v>
      </c>
      <c r="G77" s="7" t="n">
        <v>0</v>
      </c>
      <c r="H77" s="7" t="n">
        <v>10</v>
      </c>
      <c r="I77" s="7" t="n">
        <v>5</v>
      </c>
      <c r="J77" s="7" t="n">
        <v>2</v>
      </c>
      <c r="K77" s="7" t="n">
        <v>4</v>
      </c>
      <c r="L77" s="7" t="n">
        <v>2</v>
      </c>
      <c r="M77" s="7" t="n">
        <v>0</v>
      </c>
      <c r="N77" s="12" t="n">
        <f aca="false">IF(E77=0,0,J77*7/E77)</f>
        <v>1.55555555555556</v>
      </c>
      <c r="O77" s="12" t="n">
        <f aca="false">IF(E77=0,0,(H77+K77)/E77)</f>
        <v>1.55555555555556</v>
      </c>
      <c r="P77" s="12" t="n">
        <f aca="false">IF(E77=0,0,L77*7/E77)</f>
        <v>1.55555555555556</v>
      </c>
      <c r="Q77" s="12" t="n">
        <f aca="false">IF(E77=0,0,K77*7/E77)</f>
        <v>3.11111111111111</v>
      </c>
    </row>
    <row r="78" customFormat="false" ht="14.25" hidden="false" customHeight="true" outlineLevel="0" collapsed="false">
      <c r="A78" s="6" t="n">
        <v>2023</v>
      </c>
      <c r="B78" s="6" t="s">
        <v>50</v>
      </c>
      <c r="C78" s="6" t="s">
        <v>64</v>
      </c>
      <c r="D78" s="7" t="n">
        <v>3</v>
      </c>
      <c r="E78" s="11" t="n">
        <v>21</v>
      </c>
      <c r="F78" s="7" t="n">
        <v>2</v>
      </c>
      <c r="G78" s="7" t="n">
        <v>0</v>
      </c>
      <c r="H78" s="7" t="n">
        <v>23</v>
      </c>
      <c r="I78" s="7" t="n">
        <v>9</v>
      </c>
      <c r="J78" s="7" t="n">
        <v>7</v>
      </c>
      <c r="K78" s="7" t="n">
        <v>2</v>
      </c>
      <c r="L78" s="7" t="n">
        <v>1</v>
      </c>
      <c r="M78" s="7" t="n">
        <v>1</v>
      </c>
      <c r="N78" s="12" t="n">
        <f aca="false">IF(E78=0,0,J78*7/E78)</f>
        <v>2.33333333333333</v>
      </c>
      <c r="O78" s="12" t="n">
        <f aca="false">IF(E78=0,0,(H78+K78)/E78)</f>
        <v>1.19047619047619</v>
      </c>
      <c r="P78" s="12" t="n">
        <f aca="false">IF(E78=0,0,L78*7/E78)</f>
        <v>0.333333333333333</v>
      </c>
      <c r="Q78" s="12" t="n">
        <f aca="false">IF(E78=0,0,K78*7/E78)</f>
        <v>0.666666666666667</v>
      </c>
    </row>
    <row r="79" customFormat="false" ht="14.25" hidden="false" customHeight="true" outlineLevel="0" collapsed="false">
      <c r="A79" s="6" t="n">
        <v>2023</v>
      </c>
      <c r="B79" s="6" t="s">
        <v>50</v>
      </c>
      <c r="C79" s="6" t="s">
        <v>53</v>
      </c>
      <c r="D79" s="7" t="n">
        <v>8</v>
      </c>
      <c r="E79" s="11" t="n">
        <v>56</v>
      </c>
      <c r="F79" s="7" t="n">
        <v>2</v>
      </c>
      <c r="G79" s="7" t="n">
        <v>2</v>
      </c>
      <c r="H79" s="7" t="n">
        <v>56</v>
      </c>
      <c r="I79" s="7" t="n">
        <v>27</v>
      </c>
      <c r="J79" s="7" t="n">
        <v>25</v>
      </c>
      <c r="K79" s="7" t="n">
        <v>19</v>
      </c>
      <c r="L79" s="7" t="n">
        <v>11</v>
      </c>
      <c r="M79" s="7" t="n">
        <v>11</v>
      </c>
      <c r="N79" s="12" t="n">
        <f aca="false">IF(E79=0,0,J79*7/E79)</f>
        <v>3.125</v>
      </c>
      <c r="O79" s="12" t="n">
        <f aca="false">IF(E79=0,0,(H79+K79)/E79)</f>
        <v>1.33928571428571</v>
      </c>
      <c r="P79" s="12" t="n">
        <f aca="false">IF(E79=0,0,L79*7/E79)</f>
        <v>1.375</v>
      </c>
      <c r="Q79" s="12" t="n">
        <f aca="false">IF(E79=0,0,K79*7/E79)</f>
        <v>2.375</v>
      </c>
    </row>
    <row r="80" customFormat="false" ht="14.25" hidden="false" customHeight="true" outlineLevel="0" collapsed="false">
      <c r="A80" s="6" t="n">
        <v>2023</v>
      </c>
      <c r="B80" s="6" t="s">
        <v>50</v>
      </c>
      <c r="C80" s="6" t="s">
        <v>66</v>
      </c>
      <c r="D80" s="7" t="n">
        <v>3</v>
      </c>
      <c r="E80" s="11" t="n">
        <v>21</v>
      </c>
      <c r="F80" s="7" t="n">
        <v>0</v>
      </c>
      <c r="G80" s="7" t="n">
        <v>1</v>
      </c>
      <c r="H80" s="7" t="n">
        <v>24</v>
      </c>
      <c r="I80" s="7" t="n">
        <v>6</v>
      </c>
      <c r="J80" s="7" t="n">
        <v>6</v>
      </c>
      <c r="K80" s="7" t="n">
        <v>9</v>
      </c>
      <c r="L80" s="7" t="n">
        <v>3</v>
      </c>
      <c r="M80" s="7" t="n">
        <v>2</v>
      </c>
      <c r="N80" s="12" t="n">
        <f aca="false">IF(E80=0,0,J80*7/E80)</f>
        <v>2</v>
      </c>
      <c r="O80" s="12" t="n">
        <f aca="false">IF(E80=0,0,(H80+K80)/E80)</f>
        <v>1.57142857142857</v>
      </c>
      <c r="P80" s="12" t="n">
        <f aca="false">IF(E80=0,0,L80*7/E80)</f>
        <v>1</v>
      </c>
      <c r="Q80" s="12" t="n">
        <f aca="false">IF(E80=0,0,K80*7/E80)</f>
        <v>3</v>
      </c>
    </row>
    <row r="81" customFormat="false" ht="14.25" hidden="false" customHeight="true" outlineLevel="0" collapsed="false">
      <c r="A81" s="6" t="n">
        <v>2023</v>
      </c>
      <c r="B81" s="6" t="s">
        <v>71</v>
      </c>
      <c r="C81" s="6" t="s">
        <v>79</v>
      </c>
      <c r="D81" s="7" t="n">
        <v>14</v>
      </c>
      <c r="E81" s="11" t="n">
        <v>94</v>
      </c>
      <c r="F81" s="7" t="n">
        <v>4</v>
      </c>
      <c r="G81" s="7" t="n">
        <v>5</v>
      </c>
      <c r="H81" s="7" t="n">
        <v>120</v>
      </c>
      <c r="I81" s="7" t="n">
        <v>76</v>
      </c>
      <c r="J81" s="7" t="n">
        <v>52</v>
      </c>
      <c r="K81" s="7" t="n">
        <v>53</v>
      </c>
      <c r="L81" s="7" t="n">
        <v>19</v>
      </c>
      <c r="M81" s="7" t="n">
        <v>7</v>
      </c>
      <c r="N81" s="12" t="n">
        <f aca="false">IF(E81=0,0,J81*7/E81)</f>
        <v>3.87234042553192</v>
      </c>
      <c r="O81" s="12" t="n">
        <f aca="false">IF(E81=0,0,(H81+K81)/E81)</f>
        <v>1.84042553191489</v>
      </c>
      <c r="P81" s="12" t="n">
        <f aca="false">IF(E81=0,0,L81*7/E81)</f>
        <v>1.41489361702128</v>
      </c>
      <c r="Q81" s="12" t="n">
        <f aca="false">IF(E81=0,0,K81*7/E81)</f>
        <v>3.9468085106383</v>
      </c>
    </row>
    <row r="82" customFormat="false" ht="14.25" hidden="false" customHeight="true" outlineLevel="0" collapsed="false">
      <c r="A82" s="6" t="n">
        <v>2023</v>
      </c>
      <c r="B82" s="6" t="s">
        <v>97</v>
      </c>
      <c r="C82" s="6" t="s">
        <v>285</v>
      </c>
      <c r="D82" s="7" t="n">
        <v>8</v>
      </c>
      <c r="E82" s="11" t="n">
        <v>42</v>
      </c>
      <c r="F82" s="7" t="n">
        <v>3</v>
      </c>
      <c r="G82" s="7" t="n">
        <v>1</v>
      </c>
      <c r="H82" s="7" t="n">
        <v>49</v>
      </c>
      <c r="I82" s="7" t="n">
        <v>46</v>
      </c>
      <c r="J82" s="7" t="n">
        <v>37</v>
      </c>
      <c r="K82" s="7" t="n">
        <v>45</v>
      </c>
      <c r="L82" s="7" t="n">
        <v>5</v>
      </c>
      <c r="M82" s="7" t="n">
        <v>7</v>
      </c>
      <c r="N82" s="12" t="n">
        <f aca="false">IF(E82=0,0,J82*7/E82)</f>
        <v>6.16666666666667</v>
      </c>
      <c r="O82" s="12" t="n">
        <f aca="false">IF(E82=0,0,(H82+K82)/E82)</f>
        <v>2.23809523809524</v>
      </c>
      <c r="P82" s="12" t="n">
        <f aca="false">IF(E82=0,0,L82*7/E82)</f>
        <v>0.833333333333333</v>
      </c>
      <c r="Q82" s="12" t="n">
        <f aca="false">IF(E82=0,0,K82*7/E82)</f>
        <v>7.5</v>
      </c>
    </row>
    <row r="83" customFormat="false" ht="14.25" hidden="false" customHeight="true" outlineLevel="0" collapsed="false">
      <c r="A83" s="6" t="n">
        <v>2023</v>
      </c>
      <c r="B83" s="6" t="s">
        <v>97</v>
      </c>
      <c r="C83" s="6" t="s">
        <v>325</v>
      </c>
      <c r="D83" s="7" t="n">
        <v>2</v>
      </c>
      <c r="E83" s="11" t="n">
        <v>14</v>
      </c>
      <c r="F83" s="7" t="n">
        <v>1</v>
      </c>
      <c r="G83" s="7" t="n">
        <v>1</v>
      </c>
      <c r="H83" s="7" t="n">
        <v>17</v>
      </c>
      <c r="I83" s="7" t="n">
        <v>14</v>
      </c>
      <c r="J83" s="7" t="n">
        <v>9</v>
      </c>
      <c r="K83" s="7" t="n">
        <v>7</v>
      </c>
      <c r="L83" s="7" t="n">
        <v>5</v>
      </c>
      <c r="M83" s="7" t="n">
        <v>4</v>
      </c>
      <c r="N83" s="12" t="n">
        <f aca="false">IF(E83=0,0,J83*7/E83)</f>
        <v>4.5</v>
      </c>
      <c r="O83" s="12" t="n">
        <f aca="false">IF(E83=0,0,(H83+K83)/E83)</f>
        <v>1.71428571428571</v>
      </c>
      <c r="P83" s="12" t="n">
        <f aca="false">IF(E83=0,0,L83*7/E83)</f>
        <v>2.5</v>
      </c>
      <c r="Q83" s="12" t="n">
        <f aca="false">IF(E83=0,0,K83*7/E83)</f>
        <v>3.5</v>
      </c>
    </row>
    <row r="84" customFormat="false" ht="14.25" hidden="false" customHeight="true" outlineLevel="0" collapsed="false">
      <c r="A84" s="6" t="n">
        <v>2023</v>
      </c>
      <c r="B84" s="6" t="s">
        <v>97</v>
      </c>
      <c r="C84" s="6" t="s">
        <v>328</v>
      </c>
      <c r="D84" s="7" t="n">
        <v>1</v>
      </c>
      <c r="E84" s="11" t="n">
        <v>1</v>
      </c>
      <c r="F84" s="7" t="n">
        <v>0</v>
      </c>
      <c r="G84" s="7" t="n">
        <v>0</v>
      </c>
      <c r="H84" s="7" t="n">
        <v>1</v>
      </c>
      <c r="I84" s="7" t="n">
        <v>0</v>
      </c>
      <c r="J84" s="7" t="n">
        <v>0</v>
      </c>
      <c r="K84" s="7" t="n">
        <v>0</v>
      </c>
      <c r="L84" s="7" t="n">
        <v>1</v>
      </c>
      <c r="M84" s="7" t="n">
        <v>0</v>
      </c>
      <c r="N84" s="12" t="n">
        <f aca="false">IF(E84=0,0,J84*7/E84)</f>
        <v>0</v>
      </c>
      <c r="O84" s="12" t="n">
        <f aca="false">IF(E84=0,0,(H84+K84)/E84)</f>
        <v>1</v>
      </c>
      <c r="P84" s="12" t="n">
        <f aca="false">IF(E84=0,0,L84*7/E84)</f>
        <v>7</v>
      </c>
      <c r="Q84" s="12" t="n">
        <f aca="false">IF(E84=0,0,K84*7/E84)</f>
        <v>0</v>
      </c>
    </row>
    <row r="85" customFormat="false" ht="14.25" hidden="false" customHeight="true" outlineLevel="0" collapsed="false">
      <c r="A85" s="6" t="n">
        <v>2023</v>
      </c>
      <c r="B85" s="6" t="s">
        <v>97</v>
      </c>
      <c r="C85" s="6" t="s">
        <v>650</v>
      </c>
      <c r="D85" s="7" t="n">
        <v>5</v>
      </c>
      <c r="E85" s="11" t="n">
        <v>19</v>
      </c>
      <c r="F85" s="7" t="n">
        <v>0</v>
      </c>
      <c r="G85" s="7" t="n">
        <v>0</v>
      </c>
      <c r="H85" s="7" t="n">
        <v>33</v>
      </c>
      <c r="I85" s="7" t="n">
        <v>33</v>
      </c>
      <c r="J85" s="7" t="n">
        <v>28</v>
      </c>
      <c r="K85" s="7" t="n">
        <v>15</v>
      </c>
      <c r="L85" s="7" t="n">
        <v>0</v>
      </c>
      <c r="M85" s="7" t="n">
        <v>8</v>
      </c>
      <c r="N85" s="12" t="n">
        <f aca="false">IF(E85=0,0,J85*7/E85)</f>
        <v>10.3157894736842</v>
      </c>
      <c r="O85" s="12" t="n">
        <f aca="false">IF(E85=0,0,(H85+K85)/E85)</f>
        <v>2.52631578947368</v>
      </c>
      <c r="P85" s="12" t="n">
        <f aca="false">IF(E85=0,0,L85*7/E85)</f>
        <v>0</v>
      </c>
      <c r="Q85" s="12" t="n">
        <f aca="false">IF(E85=0,0,K85*7/E85)</f>
        <v>5.52631578947368</v>
      </c>
    </row>
    <row r="86" customFormat="false" ht="14.25" hidden="false" customHeight="true" outlineLevel="0" collapsed="false">
      <c r="A86" s="6" t="n">
        <v>2023</v>
      </c>
      <c r="B86" s="6" t="s">
        <v>97</v>
      </c>
      <c r="C86" s="6" t="s">
        <v>327</v>
      </c>
      <c r="D86" s="7" t="n">
        <v>2</v>
      </c>
      <c r="E86" s="11" t="n">
        <v>7.2</v>
      </c>
      <c r="F86" s="7" t="n">
        <v>0</v>
      </c>
      <c r="G86" s="7" t="n">
        <v>1</v>
      </c>
      <c r="H86" s="7" t="n">
        <v>12</v>
      </c>
      <c r="I86" s="7" t="n">
        <v>13</v>
      </c>
      <c r="J86" s="7" t="n">
        <v>12</v>
      </c>
      <c r="K86" s="7" t="n">
        <v>7</v>
      </c>
      <c r="L86" s="7" t="n">
        <v>1</v>
      </c>
      <c r="M86" s="7" t="n">
        <v>3</v>
      </c>
      <c r="N86" s="12" t="n">
        <v>10.96</v>
      </c>
      <c r="O86" s="12" t="n">
        <v>2.48</v>
      </c>
      <c r="P86" s="12" t="n">
        <v>0.91</v>
      </c>
      <c r="Q86" s="12" t="n">
        <v>6.39</v>
      </c>
    </row>
    <row r="87" customFormat="false" ht="14.25" hidden="false" customHeight="true" outlineLevel="0" collapsed="false">
      <c r="A87" s="6" t="n">
        <v>2023</v>
      </c>
      <c r="B87" s="6" t="s">
        <v>121</v>
      </c>
      <c r="C87" s="6" t="s">
        <v>125</v>
      </c>
      <c r="D87" s="7" t="n">
        <v>8</v>
      </c>
      <c r="E87" s="11" t="n">
        <v>43.1</v>
      </c>
      <c r="F87" s="7" t="n">
        <v>2</v>
      </c>
      <c r="G87" s="7" t="n">
        <v>1</v>
      </c>
      <c r="H87" s="7" t="n">
        <v>60</v>
      </c>
      <c r="I87" s="7" t="n">
        <v>48</v>
      </c>
      <c r="J87" s="7" t="n">
        <v>40</v>
      </c>
      <c r="K87" s="7" t="n">
        <v>41</v>
      </c>
      <c r="L87" s="7" t="n">
        <v>9</v>
      </c>
      <c r="M87" s="7" t="n">
        <v>4</v>
      </c>
      <c r="N87" s="12" t="n">
        <v>6.46</v>
      </c>
      <c r="O87" s="12" t="n">
        <v>2.33</v>
      </c>
      <c r="P87" s="12" t="n">
        <v>1.45</v>
      </c>
      <c r="Q87" s="12" t="n">
        <v>6.62</v>
      </c>
    </row>
    <row r="88" customFormat="false" ht="14.25" hidden="false" customHeight="true" outlineLevel="0" collapsed="false">
      <c r="A88" s="6" t="n">
        <v>2023</v>
      </c>
      <c r="B88" s="6" t="s">
        <v>121</v>
      </c>
      <c r="C88" s="6" t="s">
        <v>132</v>
      </c>
      <c r="D88" s="7" t="n">
        <v>1</v>
      </c>
      <c r="E88" s="11" t="n">
        <v>7.1</v>
      </c>
      <c r="F88" s="7" t="n">
        <v>0</v>
      </c>
      <c r="G88" s="7" t="n">
        <v>1</v>
      </c>
      <c r="H88" s="7" t="n">
        <v>9</v>
      </c>
      <c r="I88" s="7" t="n">
        <v>4</v>
      </c>
      <c r="J88" s="7" t="n">
        <v>3</v>
      </c>
      <c r="K88" s="7" t="n">
        <v>4</v>
      </c>
      <c r="L88" s="7" t="n">
        <v>1</v>
      </c>
      <c r="M88" s="7" t="n">
        <v>1</v>
      </c>
      <c r="N88" s="12" t="n">
        <v>2.86</v>
      </c>
      <c r="O88" s="12" t="n">
        <v>1.77</v>
      </c>
      <c r="P88" s="12" t="n">
        <v>0.95</v>
      </c>
      <c r="Q88" s="12" t="n">
        <v>3.82</v>
      </c>
    </row>
    <row r="89" customFormat="false" ht="14.25" hidden="false" customHeight="true" outlineLevel="0" collapsed="false">
      <c r="A89" s="6" t="n">
        <v>2023</v>
      </c>
      <c r="B89" s="6" t="s">
        <v>121</v>
      </c>
      <c r="C89" s="6" t="s">
        <v>122</v>
      </c>
      <c r="D89" s="7" t="n">
        <v>5</v>
      </c>
      <c r="E89" s="11" t="n">
        <v>28.2</v>
      </c>
      <c r="F89" s="7" t="n">
        <v>0</v>
      </c>
      <c r="G89" s="7" t="n">
        <v>0</v>
      </c>
      <c r="H89" s="7" t="n">
        <v>34</v>
      </c>
      <c r="I89" s="7" t="n">
        <v>28</v>
      </c>
      <c r="J89" s="7" t="n">
        <v>25</v>
      </c>
      <c r="K89" s="7" t="n">
        <v>11</v>
      </c>
      <c r="L89" s="7" t="n">
        <v>5</v>
      </c>
      <c r="M89" s="7" t="n">
        <v>6</v>
      </c>
      <c r="N89" s="12" t="n">
        <v>6.1</v>
      </c>
      <c r="O89" s="12" t="n">
        <v>1.57</v>
      </c>
      <c r="P89" s="12" t="n">
        <v>1.22</v>
      </c>
      <c r="Q89" s="12" t="n">
        <v>2.69</v>
      </c>
    </row>
    <row r="90" customFormat="false" ht="14.25" hidden="false" customHeight="true" outlineLevel="0" collapsed="false">
      <c r="A90" s="6" t="n">
        <v>2023</v>
      </c>
      <c r="B90" s="6" t="s">
        <v>121</v>
      </c>
      <c r="C90" s="6" t="s">
        <v>144</v>
      </c>
      <c r="D90" s="7" t="n">
        <v>1</v>
      </c>
      <c r="E90" s="11" t="n">
        <v>7</v>
      </c>
      <c r="F90" s="7" t="n">
        <v>0</v>
      </c>
      <c r="G90" s="7" t="n">
        <v>0</v>
      </c>
      <c r="H90" s="7" t="n">
        <v>11</v>
      </c>
      <c r="I90" s="7" t="n">
        <v>10</v>
      </c>
      <c r="J90" s="7" t="n">
        <v>9</v>
      </c>
      <c r="K90" s="7" t="n">
        <v>3</v>
      </c>
      <c r="L90" s="7" t="n">
        <v>0</v>
      </c>
      <c r="M90" s="7" t="n">
        <v>3</v>
      </c>
      <c r="N90" s="12" t="n">
        <f aca="false">IF(E90=0,0,J90*7/E90)</f>
        <v>9</v>
      </c>
      <c r="O90" s="12" t="n">
        <f aca="false">IF(E90=0,0,(H90+K90)/E90)</f>
        <v>2</v>
      </c>
      <c r="P90" s="12" t="n">
        <f aca="false">IF(E90=0,0,L90*7/E90)</f>
        <v>0</v>
      </c>
      <c r="Q90" s="12" t="n">
        <f aca="false">IF(E90=0,0,K90*7/E90)</f>
        <v>3</v>
      </c>
    </row>
    <row r="91" customFormat="false" ht="14.25" hidden="false" customHeight="true" outlineLevel="0" collapsed="false">
      <c r="A91" s="6" t="n">
        <v>2023</v>
      </c>
      <c r="B91" s="6" t="s">
        <v>147</v>
      </c>
      <c r="C91" s="6" t="s">
        <v>154</v>
      </c>
      <c r="D91" s="7" t="n">
        <v>10</v>
      </c>
      <c r="E91" s="11" t="n">
        <v>69</v>
      </c>
      <c r="F91" s="7" t="n">
        <v>5</v>
      </c>
      <c r="G91" s="7" t="n">
        <v>1</v>
      </c>
      <c r="H91" s="7" t="n">
        <v>62</v>
      </c>
      <c r="I91" s="7" t="n">
        <v>41</v>
      </c>
      <c r="J91" s="7" t="n">
        <v>28</v>
      </c>
      <c r="K91" s="7" t="n">
        <v>30</v>
      </c>
      <c r="L91" s="7" t="n">
        <v>19</v>
      </c>
      <c r="M91" s="7" t="n">
        <v>9</v>
      </c>
      <c r="N91" s="12" t="n">
        <f aca="false">IF(E91=0,0,J91*7/E91)</f>
        <v>2.84057971014493</v>
      </c>
      <c r="O91" s="12" t="n">
        <f aca="false">IF(E91=0,0,(H91+K91)/E91)</f>
        <v>1.33333333333333</v>
      </c>
      <c r="P91" s="12" t="n">
        <f aca="false">IF(E91=0,0,L91*7/E91)</f>
        <v>1.92753623188406</v>
      </c>
      <c r="Q91" s="12" t="n">
        <f aca="false">IF(E91=0,0,K91*7/E91)</f>
        <v>3.04347826086957</v>
      </c>
    </row>
    <row r="92" customFormat="false" ht="14.25" hidden="false" customHeight="true" outlineLevel="0" collapsed="false">
      <c r="A92" s="6" t="n">
        <v>2023</v>
      </c>
      <c r="B92" s="6" t="s">
        <v>147</v>
      </c>
      <c r="C92" s="6" t="s">
        <v>150</v>
      </c>
      <c r="D92" s="7" t="n">
        <v>2</v>
      </c>
      <c r="E92" s="11" t="n">
        <v>14</v>
      </c>
      <c r="F92" s="7" t="n">
        <v>1</v>
      </c>
      <c r="G92" s="7" t="n">
        <v>1</v>
      </c>
      <c r="H92" s="7" t="n">
        <v>20</v>
      </c>
      <c r="I92" s="7" t="n">
        <v>17</v>
      </c>
      <c r="J92" s="7" t="n">
        <v>15</v>
      </c>
      <c r="K92" s="7" t="n">
        <v>14</v>
      </c>
      <c r="L92" s="7" t="n">
        <v>5</v>
      </c>
      <c r="M92" s="7" t="n">
        <v>5</v>
      </c>
      <c r="N92" s="12" t="n">
        <f aca="false">IF(E92=0,0,J92*7/E92)</f>
        <v>7.5</v>
      </c>
      <c r="O92" s="12" t="n">
        <f aca="false">IF(E92=0,0,(H92+K92)/E92)</f>
        <v>2.42857142857143</v>
      </c>
      <c r="P92" s="12" t="n">
        <f aca="false">IF(E92=0,0,L92*7/E92)</f>
        <v>2.5</v>
      </c>
      <c r="Q92" s="12" t="n">
        <f aca="false">IF(E92=0,0,K92*7/E92)</f>
        <v>7</v>
      </c>
    </row>
    <row r="93" customFormat="false" ht="14.25" hidden="false" customHeight="true" outlineLevel="0" collapsed="false">
      <c r="A93" s="6" t="n">
        <v>2023</v>
      </c>
      <c r="B93" s="6" t="s">
        <v>147</v>
      </c>
      <c r="C93" s="6" t="s">
        <v>152</v>
      </c>
      <c r="D93" s="7" t="n">
        <v>1</v>
      </c>
      <c r="E93" s="11" t="n">
        <v>7</v>
      </c>
      <c r="F93" s="7" t="n">
        <v>0</v>
      </c>
      <c r="G93" s="7" t="n">
        <v>0</v>
      </c>
      <c r="H93" s="7" t="n">
        <v>10</v>
      </c>
      <c r="I93" s="7" t="n">
        <v>5</v>
      </c>
      <c r="J93" s="7" t="n">
        <v>3</v>
      </c>
      <c r="K93" s="7" t="n">
        <v>6</v>
      </c>
      <c r="L93" s="7" t="n">
        <v>3</v>
      </c>
      <c r="M93" s="7" t="n">
        <v>0</v>
      </c>
      <c r="N93" s="12" t="n">
        <f aca="false">IF(E93=0,0,J93*7/E93)</f>
        <v>3</v>
      </c>
      <c r="O93" s="12" t="n">
        <f aca="false">IF(E93=0,0,(H93+K93)/E93)</f>
        <v>2.28571428571429</v>
      </c>
      <c r="P93" s="12" t="n">
        <f aca="false">IF(E93=0,0,L93*7/E93)</f>
        <v>3</v>
      </c>
      <c r="Q93" s="12" t="n">
        <f aca="false">IF(E93=0,0,K93*7/E93)</f>
        <v>6</v>
      </c>
    </row>
    <row r="94" customFormat="false" ht="14.25" hidden="false" customHeight="true" outlineLevel="0" collapsed="false">
      <c r="A94" s="6" t="n">
        <v>2023</v>
      </c>
      <c r="B94" s="6" t="s">
        <v>166</v>
      </c>
      <c r="C94" s="6" t="s">
        <v>178</v>
      </c>
      <c r="D94" s="7" t="n">
        <v>15</v>
      </c>
      <c r="E94" s="11" t="n">
        <v>105.1</v>
      </c>
      <c r="F94" s="7" t="n">
        <v>5</v>
      </c>
      <c r="G94" s="7" t="n">
        <v>4</v>
      </c>
      <c r="H94" s="7" t="n">
        <v>104</v>
      </c>
      <c r="I94" s="7" t="n">
        <v>72</v>
      </c>
      <c r="J94" s="7" t="n">
        <v>37</v>
      </c>
      <c r="K94" s="7" t="n">
        <v>42</v>
      </c>
      <c r="L94" s="7" t="n">
        <v>47</v>
      </c>
      <c r="M94" s="7" t="n">
        <v>9</v>
      </c>
      <c r="N94" s="12" t="n">
        <v>2.46</v>
      </c>
      <c r="O94" s="12" t="n">
        <v>1.39</v>
      </c>
      <c r="P94" s="12" t="n">
        <v>3.12</v>
      </c>
      <c r="Q94" s="12" t="n">
        <v>2.79</v>
      </c>
    </row>
    <row r="95" customFormat="false" ht="14.25" hidden="false" customHeight="true" outlineLevel="0" collapsed="false">
      <c r="A95" s="6" t="n">
        <v>2023</v>
      </c>
      <c r="B95" s="6" t="s">
        <v>192</v>
      </c>
      <c r="C95" s="6" t="s">
        <v>198</v>
      </c>
      <c r="D95" s="7" t="n">
        <v>12</v>
      </c>
      <c r="E95" s="11" t="n">
        <v>76.2</v>
      </c>
      <c r="F95" s="7" t="n">
        <v>3</v>
      </c>
      <c r="G95" s="7" t="n">
        <v>4</v>
      </c>
      <c r="H95" s="7" t="n">
        <v>71</v>
      </c>
      <c r="I95" s="7" t="n">
        <v>59</v>
      </c>
      <c r="J95" s="7" t="n">
        <v>50</v>
      </c>
      <c r="K95" s="7" t="n">
        <v>71</v>
      </c>
      <c r="L95" s="7" t="n">
        <v>21</v>
      </c>
      <c r="M95" s="7" t="n">
        <v>11</v>
      </c>
      <c r="N95" s="12" t="n">
        <v>4.57</v>
      </c>
      <c r="O95" s="12" t="n">
        <v>1.85</v>
      </c>
      <c r="P95" s="12" t="n">
        <v>1.92</v>
      </c>
      <c r="Q95" s="12" t="n">
        <v>6.48</v>
      </c>
    </row>
    <row r="96" customFormat="false" ht="14.25" hidden="false" customHeight="true" outlineLevel="0" collapsed="false">
      <c r="A96" s="6" t="n">
        <v>2023</v>
      </c>
      <c r="B96" s="6" t="s">
        <v>192</v>
      </c>
      <c r="C96" s="6" t="s">
        <v>200</v>
      </c>
      <c r="D96" s="7" t="n">
        <v>1</v>
      </c>
      <c r="E96" s="11" t="n">
        <v>6</v>
      </c>
      <c r="F96" s="7" t="n">
        <v>0</v>
      </c>
      <c r="G96" s="7" t="n">
        <v>0</v>
      </c>
      <c r="H96" s="7" t="n">
        <v>9</v>
      </c>
      <c r="I96" s="7" t="n">
        <v>4</v>
      </c>
      <c r="J96" s="7" t="n">
        <v>3</v>
      </c>
      <c r="K96" s="7" t="n">
        <v>1</v>
      </c>
      <c r="L96" s="7" t="n">
        <v>1</v>
      </c>
      <c r="M96" s="7" t="n">
        <v>2</v>
      </c>
      <c r="N96" s="12" t="n">
        <f aca="false">IF(E96=0,0,J96*7/E96)</f>
        <v>3.5</v>
      </c>
      <c r="O96" s="12" t="n">
        <f aca="false">IF(E96=0,0,(H96+K96)/E96)</f>
        <v>1.66666666666667</v>
      </c>
      <c r="P96" s="12" t="n">
        <f aca="false">IF(E96=0,0,L96*7/E96)</f>
        <v>1.16666666666667</v>
      </c>
      <c r="Q96" s="12" t="n">
        <f aca="false">IF(E96=0,0,K96*7/E96)</f>
        <v>1.16666666666667</v>
      </c>
    </row>
    <row r="97" customFormat="false" ht="14.25" hidden="false" customHeight="true" outlineLevel="0" collapsed="false">
      <c r="A97" s="6" t="n">
        <v>2023</v>
      </c>
      <c r="B97" s="6" t="s">
        <v>192</v>
      </c>
      <c r="C97" s="6" t="s">
        <v>195</v>
      </c>
      <c r="D97" s="7" t="n">
        <v>2</v>
      </c>
      <c r="E97" s="11" t="n">
        <v>3.2</v>
      </c>
      <c r="F97" s="7" t="n">
        <v>0</v>
      </c>
      <c r="G97" s="7" t="n">
        <v>0</v>
      </c>
      <c r="H97" s="7" t="n">
        <v>7</v>
      </c>
      <c r="I97" s="7" t="n">
        <v>5</v>
      </c>
      <c r="J97" s="7" t="n">
        <v>4</v>
      </c>
      <c r="K97" s="7" t="n">
        <v>1</v>
      </c>
      <c r="L97" s="7" t="n">
        <v>1</v>
      </c>
      <c r="M97" s="7" t="n">
        <v>0</v>
      </c>
      <c r="N97" s="12" t="n">
        <v>7.64</v>
      </c>
      <c r="O97" s="12" t="n">
        <v>2.18</v>
      </c>
      <c r="P97" s="12" t="n">
        <v>1.91</v>
      </c>
      <c r="Q97" s="12" t="n">
        <v>1.91</v>
      </c>
    </row>
    <row r="98" customFormat="false" ht="14.25" hidden="false" customHeight="true" outlineLevel="0" collapsed="false">
      <c r="A98" s="6" t="n">
        <v>2023</v>
      </c>
      <c r="B98" s="6" t="s">
        <v>212</v>
      </c>
      <c r="C98" s="6" t="s">
        <v>214</v>
      </c>
      <c r="D98" s="7" t="n">
        <v>6</v>
      </c>
      <c r="E98" s="11" t="n">
        <v>39.1</v>
      </c>
      <c r="F98" s="7" t="n">
        <v>2</v>
      </c>
      <c r="G98" s="7" t="n">
        <v>2</v>
      </c>
      <c r="H98" s="7" t="n">
        <v>39</v>
      </c>
      <c r="I98" s="7" t="n">
        <v>19</v>
      </c>
      <c r="J98" s="7" t="n">
        <v>9</v>
      </c>
      <c r="K98" s="7" t="n">
        <v>10</v>
      </c>
      <c r="L98" s="7" t="n">
        <v>4</v>
      </c>
      <c r="M98" s="7" t="n">
        <v>4</v>
      </c>
      <c r="N98" s="12" t="n">
        <v>1.6</v>
      </c>
      <c r="O98" s="12" t="n">
        <v>1.25</v>
      </c>
      <c r="P98" s="12" t="n">
        <v>0.71</v>
      </c>
      <c r="Q98" s="12" t="n">
        <v>1.78</v>
      </c>
    </row>
    <row r="99" customFormat="false" ht="14.25" hidden="false" customHeight="true" outlineLevel="0" collapsed="false">
      <c r="A99" s="6" t="n">
        <v>2023</v>
      </c>
      <c r="B99" s="6" t="s">
        <v>212</v>
      </c>
      <c r="C99" s="6" t="s">
        <v>215</v>
      </c>
      <c r="D99" s="7" t="n">
        <v>5</v>
      </c>
      <c r="E99" s="11" t="n">
        <v>26.2</v>
      </c>
      <c r="F99" s="7" t="n">
        <v>0</v>
      </c>
      <c r="G99" s="7" t="n">
        <v>2</v>
      </c>
      <c r="H99" s="7" t="n">
        <v>39</v>
      </c>
      <c r="I99" s="7" t="n">
        <v>28</v>
      </c>
      <c r="J99" s="7" t="n">
        <v>18</v>
      </c>
      <c r="K99" s="7" t="n">
        <v>6</v>
      </c>
      <c r="L99" s="7" t="n">
        <v>3</v>
      </c>
      <c r="M99" s="7" t="n">
        <v>7</v>
      </c>
      <c r="N99" s="12" t="n">
        <v>4.73</v>
      </c>
      <c r="O99" s="12" t="n">
        <v>1.69</v>
      </c>
      <c r="P99" s="12" t="n">
        <v>0.79</v>
      </c>
      <c r="Q99" s="12" t="n">
        <v>1.58</v>
      </c>
    </row>
    <row r="100" customFormat="false" ht="14.25" hidden="false" customHeight="true" outlineLevel="0" collapsed="false">
      <c r="A100" s="6" t="n">
        <v>2023</v>
      </c>
      <c r="B100" s="6" t="s">
        <v>212</v>
      </c>
      <c r="C100" s="6" t="s">
        <v>213</v>
      </c>
      <c r="D100" s="7" t="n">
        <v>1</v>
      </c>
      <c r="E100" s="11" t="n">
        <v>0.2</v>
      </c>
      <c r="F100" s="7" t="n">
        <v>0</v>
      </c>
      <c r="G100" s="7" t="n">
        <v>1</v>
      </c>
      <c r="H100" s="7" t="n">
        <v>0</v>
      </c>
      <c r="I100" s="7" t="n">
        <v>6</v>
      </c>
      <c r="J100" s="7" t="n">
        <v>6</v>
      </c>
      <c r="K100" s="7" t="n">
        <v>6</v>
      </c>
      <c r="L100" s="7" t="n">
        <v>0</v>
      </c>
      <c r="M100" s="7" t="n">
        <v>0</v>
      </c>
      <c r="N100" s="12" t="n">
        <v>63</v>
      </c>
      <c r="O100" s="12" t="n">
        <v>9</v>
      </c>
      <c r="P100" s="12" t="n">
        <v>0</v>
      </c>
      <c r="Q100" s="12" t="n">
        <v>63</v>
      </c>
    </row>
    <row r="101" customFormat="false" ht="14.25" hidden="false" customHeight="true" outlineLevel="0" collapsed="false">
      <c r="A101" s="6" t="n">
        <v>2023</v>
      </c>
      <c r="B101" s="6" t="s">
        <v>212</v>
      </c>
      <c r="C101" s="6" t="s">
        <v>85</v>
      </c>
      <c r="D101" s="7" t="n">
        <v>3</v>
      </c>
      <c r="E101" s="11" t="n">
        <v>13.1</v>
      </c>
      <c r="F101" s="7" t="n">
        <v>0</v>
      </c>
      <c r="G101" s="7" t="n">
        <v>2</v>
      </c>
      <c r="H101" s="7" t="n">
        <v>17</v>
      </c>
      <c r="I101" s="7" t="n">
        <v>12</v>
      </c>
      <c r="J101" s="7" t="n">
        <v>12</v>
      </c>
      <c r="K101" s="7" t="n">
        <v>9</v>
      </c>
      <c r="L101" s="7" t="n">
        <v>0</v>
      </c>
      <c r="M101" s="7" t="n">
        <v>6</v>
      </c>
      <c r="N101" s="12" t="n">
        <v>6.3</v>
      </c>
      <c r="O101" s="12" t="n">
        <v>1.95</v>
      </c>
      <c r="P101" s="12" t="n">
        <v>0</v>
      </c>
      <c r="Q101" s="12" t="n">
        <v>4.73</v>
      </c>
    </row>
    <row r="102" customFormat="false" ht="14.25" hidden="false" customHeight="true" outlineLevel="0" collapsed="false">
      <c r="A102" s="6" t="n">
        <v>2024</v>
      </c>
      <c r="B102" s="6" t="s">
        <v>50</v>
      </c>
      <c r="C102" s="6" t="s">
        <v>53</v>
      </c>
      <c r="D102" s="7" t="n">
        <v>8</v>
      </c>
      <c r="E102" s="11" t="n">
        <v>54.2</v>
      </c>
      <c r="F102" s="7" t="n">
        <v>4</v>
      </c>
      <c r="G102" s="7" t="n">
        <v>3</v>
      </c>
      <c r="H102" s="7" t="n">
        <v>72</v>
      </c>
      <c r="I102" s="7" t="n">
        <v>45</v>
      </c>
      <c r="J102" s="7" t="n">
        <v>32</v>
      </c>
      <c r="K102" s="7" t="n">
        <v>19</v>
      </c>
      <c r="L102" s="7" t="n">
        <v>4</v>
      </c>
      <c r="M102" s="7" t="n">
        <v>10</v>
      </c>
      <c r="N102" s="12" t="n">
        <v>4.1</v>
      </c>
      <c r="O102" s="12" t="n">
        <v>1.66</v>
      </c>
      <c r="P102" s="12" t="n">
        <v>0.51</v>
      </c>
      <c r="Q102" s="12" t="n">
        <v>2.43</v>
      </c>
    </row>
    <row r="103" customFormat="false" ht="14.25" hidden="false" customHeight="true" outlineLevel="0" collapsed="false">
      <c r="A103" s="6" t="n">
        <v>2024</v>
      </c>
      <c r="B103" s="6" t="s">
        <v>50</v>
      </c>
      <c r="C103" s="6" t="s">
        <v>51</v>
      </c>
      <c r="D103" s="7" t="n">
        <v>1</v>
      </c>
      <c r="E103" s="11" t="n">
        <v>7</v>
      </c>
      <c r="F103" s="7" t="n">
        <v>1</v>
      </c>
      <c r="G103" s="7" t="n">
        <v>0</v>
      </c>
      <c r="H103" s="7" t="n">
        <v>5</v>
      </c>
      <c r="I103" s="7" t="n">
        <v>1</v>
      </c>
      <c r="J103" s="7" t="n">
        <v>1</v>
      </c>
      <c r="K103" s="7" t="n">
        <v>3</v>
      </c>
      <c r="L103" s="7" t="n">
        <v>2</v>
      </c>
      <c r="M103" s="7" t="n">
        <v>0</v>
      </c>
      <c r="N103" s="12" t="n">
        <f aca="false">IF(E103=0,0,J103*7/E103)</f>
        <v>1</v>
      </c>
      <c r="O103" s="12" t="n">
        <f aca="false">IF(E103=0,0,(H103+K103)/E103)</f>
        <v>1.14285714285714</v>
      </c>
      <c r="P103" s="12" t="n">
        <f aca="false">IF(E103=0,0,L103*7/E103)</f>
        <v>2</v>
      </c>
      <c r="Q103" s="12" t="n">
        <f aca="false">IF(E103=0,0,K103*7/E103)</f>
        <v>3</v>
      </c>
    </row>
    <row r="104" customFormat="false" ht="14.25" hidden="false" customHeight="true" outlineLevel="0" collapsed="false">
      <c r="A104" s="6" t="n">
        <v>2024</v>
      </c>
      <c r="B104" s="6" t="s">
        <v>50</v>
      </c>
      <c r="C104" s="6" t="s">
        <v>66</v>
      </c>
      <c r="D104" s="7" t="n">
        <v>1</v>
      </c>
      <c r="E104" s="11" t="n">
        <v>7</v>
      </c>
      <c r="F104" s="7" t="n">
        <v>1</v>
      </c>
      <c r="G104" s="7" t="n">
        <v>0</v>
      </c>
      <c r="H104" s="7" t="n">
        <v>8</v>
      </c>
      <c r="I104" s="7" t="n">
        <v>8</v>
      </c>
      <c r="J104" s="7" t="n">
        <v>4</v>
      </c>
      <c r="K104" s="7" t="n">
        <v>2</v>
      </c>
      <c r="L104" s="7" t="n">
        <v>2</v>
      </c>
      <c r="M104" s="7" t="n">
        <v>1</v>
      </c>
      <c r="N104" s="12" t="n">
        <f aca="false">IF(E104=0,0,J104*7/E104)</f>
        <v>4</v>
      </c>
      <c r="O104" s="12" t="n">
        <f aca="false">IF(E104=0,0,(H104+K104)/E104)</f>
        <v>1.42857142857143</v>
      </c>
      <c r="P104" s="12" t="n">
        <f aca="false">IF(E104=0,0,L104*7/E104)</f>
        <v>2</v>
      </c>
      <c r="Q104" s="12" t="n">
        <f aca="false">IF(E104=0,0,K104*7/E104)</f>
        <v>2</v>
      </c>
    </row>
    <row r="105" customFormat="false" ht="14.25" hidden="false" customHeight="true" outlineLevel="0" collapsed="false">
      <c r="A105" s="6" t="n">
        <v>2024</v>
      </c>
      <c r="B105" s="6" t="s">
        <v>50</v>
      </c>
      <c r="C105" s="6" t="s">
        <v>64</v>
      </c>
      <c r="D105" s="7" t="n">
        <v>1</v>
      </c>
      <c r="E105" s="11" t="n">
        <v>7</v>
      </c>
      <c r="F105" s="7" t="n">
        <v>1</v>
      </c>
      <c r="G105" s="7" t="n">
        <v>0</v>
      </c>
      <c r="H105" s="7" t="n">
        <v>10</v>
      </c>
      <c r="I105" s="7" t="n">
        <v>11</v>
      </c>
      <c r="J105" s="7" t="n">
        <v>5</v>
      </c>
      <c r="K105" s="7" t="n">
        <v>2</v>
      </c>
      <c r="L105" s="7" t="n">
        <v>0</v>
      </c>
      <c r="M105" s="7" t="n">
        <v>3</v>
      </c>
      <c r="N105" s="12" t="n">
        <f aca="false">IF(E105=0,0,J105*7/E105)</f>
        <v>5</v>
      </c>
      <c r="O105" s="12" t="n">
        <f aca="false">IF(E105=0,0,(H105+K105)/E105)</f>
        <v>1.71428571428571</v>
      </c>
      <c r="P105" s="12" t="n">
        <f aca="false">IF(E105=0,0,L105*7/E105)</f>
        <v>0</v>
      </c>
      <c r="Q105" s="12" t="n">
        <f aca="false">IF(E105=0,0,K105*7/E105)</f>
        <v>2</v>
      </c>
    </row>
    <row r="106" customFormat="false" ht="14.25" hidden="false" customHeight="true" outlineLevel="0" collapsed="false">
      <c r="A106" s="6" t="n">
        <v>2024</v>
      </c>
      <c r="B106" s="6" t="s">
        <v>71</v>
      </c>
      <c r="C106" s="6" t="s">
        <v>79</v>
      </c>
      <c r="D106" s="7" t="n">
        <v>9</v>
      </c>
      <c r="E106" s="11" t="n">
        <v>60</v>
      </c>
      <c r="F106" s="7" t="n">
        <v>4</v>
      </c>
      <c r="G106" s="7" t="n">
        <v>3</v>
      </c>
      <c r="H106" s="7" t="n">
        <v>76</v>
      </c>
      <c r="I106" s="7" t="n">
        <v>53</v>
      </c>
      <c r="J106" s="7" t="n">
        <v>28</v>
      </c>
      <c r="K106" s="7" t="n">
        <v>16</v>
      </c>
      <c r="L106" s="7" t="n">
        <v>7</v>
      </c>
      <c r="M106" s="7" t="n">
        <v>10</v>
      </c>
      <c r="N106" s="12" t="n">
        <f aca="false">IF(E106=0,0,J106*7/E106)</f>
        <v>3.26666666666667</v>
      </c>
      <c r="O106" s="12" t="n">
        <f aca="false">IF(E106=0,0,(H106+K106)/E106)</f>
        <v>1.53333333333333</v>
      </c>
      <c r="P106" s="12" t="n">
        <f aca="false">IF(E106=0,0,L106*7/E106)</f>
        <v>0.816666666666667</v>
      </c>
      <c r="Q106" s="12" t="n">
        <f aca="false">IF(E106=0,0,K106*7/E106)</f>
        <v>1.86666666666667</v>
      </c>
    </row>
    <row r="107" customFormat="false" ht="14.25" hidden="false" customHeight="true" outlineLevel="0" collapsed="false">
      <c r="A107" s="6" t="n">
        <v>2024</v>
      </c>
      <c r="B107" s="6" t="s">
        <v>71</v>
      </c>
      <c r="C107" s="6" t="s">
        <v>281</v>
      </c>
      <c r="D107" s="7" t="n">
        <v>1</v>
      </c>
      <c r="E107" s="11" t="n">
        <v>2</v>
      </c>
      <c r="F107" s="7" t="n">
        <v>0</v>
      </c>
      <c r="G107" s="7" t="n">
        <v>0</v>
      </c>
      <c r="H107" s="7" t="n">
        <v>3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12" t="n">
        <f aca="false">IF(E107=0,0,J107*7/E107)</f>
        <v>0</v>
      </c>
      <c r="O107" s="12" t="n">
        <f aca="false">IF(E107=0,0,(H107+K107)/E107)</f>
        <v>1.5</v>
      </c>
      <c r="P107" s="12" t="n">
        <f aca="false">IF(E107=0,0,L107*7/E107)</f>
        <v>0</v>
      </c>
      <c r="Q107" s="12" t="n">
        <f aca="false">IF(E107=0,0,K107*7/E107)</f>
        <v>0</v>
      </c>
    </row>
    <row r="108" customFormat="false" ht="14.25" hidden="false" customHeight="true" outlineLevel="0" collapsed="false">
      <c r="A108" s="6" t="n">
        <v>2024</v>
      </c>
      <c r="B108" s="6" t="s">
        <v>97</v>
      </c>
      <c r="C108" s="6" t="s">
        <v>117</v>
      </c>
      <c r="D108" s="7" t="n">
        <v>4</v>
      </c>
      <c r="E108" s="11" t="n">
        <v>16.2</v>
      </c>
      <c r="F108" s="7" t="n">
        <v>0</v>
      </c>
      <c r="G108" s="7" t="n">
        <v>2</v>
      </c>
      <c r="H108" s="7" t="n">
        <v>25</v>
      </c>
      <c r="I108" s="7" t="n">
        <v>23</v>
      </c>
      <c r="J108" s="7" t="n">
        <v>20</v>
      </c>
      <c r="K108" s="7" t="n">
        <v>14</v>
      </c>
      <c r="L108" s="7" t="n">
        <v>5</v>
      </c>
      <c r="M108" s="7" t="n">
        <v>6</v>
      </c>
      <c r="N108" s="12" t="n">
        <v>8.4</v>
      </c>
      <c r="O108" s="12" t="n">
        <v>2.34</v>
      </c>
      <c r="P108" s="12" t="n">
        <v>2.1</v>
      </c>
      <c r="Q108" s="12" t="n">
        <v>5.88</v>
      </c>
    </row>
    <row r="109" customFormat="false" ht="14.25" hidden="false" customHeight="true" outlineLevel="0" collapsed="false">
      <c r="A109" s="6" t="n">
        <v>2024</v>
      </c>
      <c r="B109" s="6" t="s">
        <v>97</v>
      </c>
      <c r="C109" s="6" t="s">
        <v>285</v>
      </c>
      <c r="D109" s="7" t="n">
        <v>5</v>
      </c>
      <c r="E109" s="11" t="n">
        <v>26.2</v>
      </c>
      <c r="F109" s="7" t="n">
        <v>0</v>
      </c>
      <c r="G109" s="7" t="n">
        <v>4</v>
      </c>
      <c r="H109" s="7" t="n">
        <v>35</v>
      </c>
      <c r="I109" s="7" t="n">
        <v>32</v>
      </c>
      <c r="J109" s="7" t="n">
        <v>17</v>
      </c>
      <c r="K109" s="7" t="n">
        <v>16</v>
      </c>
      <c r="L109" s="7" t="n">
        <v>4</v>
      </c>
      <c r="M109" s="7" t="n">
        <v>5</v>
      </c>
      <c r="N109" s="12" t="n">
        <v>4.46</v>
      </c>
      <c r="O109" s="12" t="n">
        <v>1.91</v>
      </c>
      <c r="P109" s="12" t="n">
        <v>1.05</v>
      </c>
      <c r="Q109" s="12" t="n">
        <v>4.2</v>
      </c>
    </row>
    <row r="110" customFormat="false" ht="14.25" hidden="false" customHeight="true" outlineLevel="0" collapsed="false">
      <c r="A110" s="6" t="n">
        <v>2024</v>
      </c>
      <c r="B110" s="6" t="s">
        <v>97</v>
      </c>
      <c r="C110" s="6" t="s">
        <v>102</v>
      </c>
      <c r="D110" s="7" t="n">
        <v>1</v>
      </c>
      <c r="E110" s="11" t="n">
        <v>0.1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7" t="n">
        <v>0</v>
      </c>
      <c r="N110" s="12" t="n">
        <v>0</v>
      </c>
      <c r="O110" s="12" t="n">
        <v>0</v>
      </c>
      <c r="P110" s="12" t="n">
        <v>0</v>
      </c>
      <c r="Q110" s="12" t="n">
        <v>0</v>
      </c>
    </row>
    <row r="111" customFormat="false" ht="14.25" hidden="false" customHeight="true" outlineLevel="0" collapsed="false">
      <c r="A111" s="6" t="n">
        <v>2024</v>
      </c>
      <c r="B111" s="6" t="s">
        <v>97</v>
      </c>
      <c r="C111" s="6" t="s">
        <v>257</v>
      </c>
      <c r="D111" s="7" t="n">
        <v>2</v>
      </c>
      <c r="E111" s="11" t="n">
        <v>8.1</v>
      </c>
      <c r="F111" s="7" t="n">
        <v>0</v>
      </c>
      <c r="G111" s="7" t="n">
        <v>1</v>
      </c>
      <c r="H111" s="7" t="n">
        <v>18</v>
      </c>
      <c r="I111" s="7" t="n">
        <v>12</v>
      </c>
      <c r="J111" s="7" t="n">
        <v>11</v>
      </c>
      <c r="K111" s="7" t="n">
        <v>8</v>
      </c>
      <c r="L111" s="7" t="n">
        <v>1</v>
      </c>
      <c r="M111" s="7" t="n">
        <v>3</v>
      </c>
      <c r="N111" s="12" t="n">
        <v>9.24</v>
      </c>
      <c r="O111" s="12" t="n">
        <v>3.12</v>
      </c>
      <c r="P111" s="12" t="n">
        <v>0.84</v>
      </c>
      <c r="Q111" s="12" t="n">
        <v>6.72</v>
      </c>
    </row>
    <row r="112" customFormat="false" ht="14.25" hidden="false" customHeight="true" outlineLevel="0" collapsed="false">
      <c r="A112" s="6" t="n">
        <v>2024</v>
      </c>
      <c r="B112" s="6" t="s">
        <v>121</v>
      </c>
      <c r="C112" s="6" t="s">
        <v>125</v>
      </c>
      <c r="D112" s="7" t="n">
        <v>12</v>
      </c>
      <c r="E112" s="11" t="n">
        <v>88</v>
      </c>
      <c r="F112" s="7" t="n">
        <v>8</v>
      </c>
      <c r="G112" s="7" t="n">
        <v>4</v>
      </c>
      <c r="H112" s="7" t="n">
        <v>83</v>
      </c>
      <c r="I112" s="7" t="n">
        <v>52</v>
      </c>
      <c r="J112" s="7" t="n">
        <v>43</v>
      </c>
      <c r="K112" s="7" t="n">
        <v>69</v>
      </c>
      <c r="L112" s="7" t="n">
        <v>6</v>
      </c>
      <c r="M112" s="7" t="n">
        <v>7</v>
      </c>
      <c r="N112" s="12" t="n">
        <f aca="false">IF(E112=0,0,J112*7/E112)</f>
        <v>3.42045454545455</v>
      </c>
      <c r="O112" s="12" t="n">
        <f aca="false">IF(E112=0,0,(H112+K112)/E112)</f>
        <v>1.72727272727273</v>
      </c>
      <c r="P112" s="12" t="n">
        <f aca="false">IF(E112=0,0,L112*7/E112)</f>
        <v>0.477272727272727</v>
      </c>
      <c r="Q112" s="12" t="n">
        <f aca="false">IF(E112=0,0,K112*7/E112)</f>
        <v>5.48863636363636</v>
      </c>
    </row>
    <row r="113" customFormat="false" ht="14.25" hidden="false" customHeight="true" outlineLevel="0" collapsed="false">
      <c r="A113" s="6" t="n">
        <v>2024</v>
      </c>
      <c r="B113" s="6" t="s">
        <v>121</v>
      </c>
      <c r="C113" s="6" t="s">
        <v>122</v>
      </c>
      <c r="D113" s="7" t="n">
        <v>1</v>
      </c>
      <c r="E113" s="11" t="n">
        <v>2</v>
      </c>
      <c r="F113" s="7" t="n">
        <v>0</v>
      </c>
      <c r="G113" s="7" t="n">
        <v>0</v>
      </c>
      <c r="H113" s="7" t="n">
        <v>2</v>
      </c>
      <c r="I113" s="7" t="n">
        <v>0</v>
      </c>
      <c r="J113" s="7" t="n">
        <v>0</v>
      </c>
      <c r="K113" s="7" t="n">
        <v>1</v>
      </c>
      <c r="L113" s="7" t="n">
        <v>0</v>
      </c>
      <c r="M113" s="7" t="n">
        <v>0</v>
      </c>
      <c r="N113" s="12" t="n">
        <f aca="false">IF(E113=0,0,J113*7/E113)</f>
        <v>0</v>
      </c>
      <c r="O113" s="12" t="n">
        <f aca="false">IF(E113=0,0,(H113+K113)/E113)</f>
        <v>1.5</v>
      </c>
      <c r="P113" s="12" t="n">
        <f aca="false">IF(E113=0,0,L113*7/E113)</f>
        <v>0</v>
      </c>
      <c r="Q113" s="12" t="n">
        <f aca="false">IF(E113=0,0,K113*7/E113)</f>
        <v>3.5</v>
      </c>
    </row>
    <row r="114" customFormat="false" ht="14.25" hidden="false" customHeight="true" outlineLevel="0" collapsed="false">
      <c r="A114" s="6" t="n">
        <v>2024</v>
      </c>
      <c r="B114" s="6" t="s">
        <v>147</v>
      </c>
      <c r="C114" s="6" t="s">
        <v>154</v>
      </c>
      <c r="D114" s="7" t="n">
        <v>10</v>
      </c>
      <c r="E114" s="11" t="n">
        <v>71</v>
      </c>
      <c r="F114" s="7" t="n">
        <v>7</v>
      </c>
      <c r="G114" s="7" t="n">
        <v>3</v>
      </c>
      <c r="H114" s="7" t="n">
        <v>88</v>
      </c>
      <c r="I114" s="7" t="n">
        <v>47</v>
      </c>
      <c r="J114" s="7" t="n">
        <v>37</v>
      </c>
      <c r="K114" s="7" t="n">
        <v>20</v>
      </c>
      <c r="L114" s="7" t="n">
        <v>19</v>
      </c>
      <c r="M114" s="7" t="n">
        <v>11</v>
      </c>
      <c r="N114" s="12" t="n">
        <f aca="false">IF(E114=0,0,J114*7/E114)</f>
        <v>3.64788732394366</v>
      </c>
      <c r="O114" s="12" t="n">
        <f aca="false">IF(E114=0,0,(H114+K114)/E114)</f>
        <v>1.52112676056338</v>
      </c>
      <c r="P114" s="12" t="n">
        <f aca="false">IF(E114=0,0,L114*7/E114)</f>
        <v>1.87323943661972</v>
      </c>
      <c r="Q114" s="12" t="n">
        <f aca="false">IF(E114=0,0,K114*7/E114)</f>
        <v>1.97183098591549</v>
      </c>
    </row>
    <row r="115" customFormat="false" ht="14.25" hidden="false" customHeight="true" outlineLevel="0" collapsed="false">
      <c r="A115" s="6" t="n">
        <v>2024</v>
      </c>
      <c r="B115" s="6" t="s">
        <v>166</v>
      </c>
      <c r="C115" s="6" t="s">
        <v>178</v>
      </c>
      <c r="D115" s="7" t="n">
        <v>8</v>
      </c>
      <c r="E115" s="11" t="n">
        <v>55</v>
      </c>
      <c r="F115" s="7" t="n">
        <v>5</v>
      </c>
      <c r="G115" s="7" t="n">
        <v>3</v>
      </c>
      <c r="H115" s="7" t="n">
        <v>67</v>
      </c>
      <c r="I115" s="7" t="n">
        <v>47</v>
      </c>
      <c r="J115" s="7" t="n">
        <v>32</v>
      </c>
      <c r="K115" s="7" t="n">
        <v>33</v>
      </c>
      <c r="L115" s="7" t="n">
        <v>15</v>
      </c>
      <c r="M115" s="7" t="n">
        <v>7</v>
      </c>
      <c r="N115" s="12" t="n">
        <f aca="false">IF(E115=0,0,J115*7/E115)</f>
        <v>4.07272727272727</v>
      </c>
      <c r="O115" s="12" t="n">
        <f aca="false">IF(E115=0,0,(H115+K115)/E115)</f>
        <v>1.81818181818182</v>
      </c>
      <c r="P115" s="12" t="n">
        <f aca="false">IF(E115=0,0,L115*7/E115)</f>
        <v>1.90909090909091</v>
      </c>
      <c r="Q115" s="12" t="n">
        <f aca="false">IF(E115=0,0,K115*7/E115)</f>
        <v>4.2</v>
      </c>
    </row>
    <row r="116" customFormat="false" ht="14.25" hidden="false" customHeight="true" outlineLevel="0" collapsed="false">
      <c r="A116" s="6" t="n">
        <v>2024</v>
      </c>
      <c r="B116" s="6" t="s">
        <v>166</v>
      </c>
      <c r="C116" s="6" t="s">
        <v>173</v>
      </c>
      <c r="D116" s="7" t="n">
        <v>1</v>
      </c>
      <c r="E116" s="11" t="n">
        <v>7</v>
      </c>
      <c r="F116" s="7" t="n">
        <v>1</v>
      </c>
      <c r="G116" s="7" t="n">
        <v>0</v>
      </c>
      <c r="H116" s="7" t="n">
        <v>12</v>
      </c>
      <c r="I116" s="7" t="n">
        <v>6</v>
      </c>
      <c r="J116" s="7" t="n">
        <v>4</v>
      </c>
      <c r="K116" s="7" t="n">
        <v>4</v>
      </c>
      <c r="L116" s="7" t="n">
        <v>3</v>
      </c>
      <c r="M116" s="7" t="n">
        <v>1</v>
      </c>
      <c r="N116" s="12" t="n">
        <f aca="false">IF(E116=0,0,J116*7/E116)</f>
        <v>4</v>
      </c>
      <c r="O116" s="12" t="n">
        <f aca="false">IF(E116=0,0,(H116+K116)/E116)</f>
        <v>2.28571428571429</v>
      </c>
      <c r="P116" s="12" t="n">
        <f aca="false">IF(E116=0,0,L116*7/E116)</f>
        <v>3</v>
      </c>
      <c r="Q116" s="12" t="n">
        <f aca="false">IF(E116=0,0,K116*7/E116)</f>
        <v>4</v>
      </c>
    </row>
    <row r="117" customFormat="false" ht="14.25" hidden="false" customHeight="true" outlineLevel="0" collapsed="false">
      <c r="A117" s="6" t="n">
        <v>2024</v>
      </c>
      <c r="B117" s="6" t="s">
        <v>192</v>
      </c>
      <c r="C117" s="6" t="s">
        <v>198</v>
      </c>
      <c r="D117" s="7" t="n">
        <v>7</v>
      </c>
      <c r="E117" s="11" t="n">
        <v>52</v>
      </c>
      <c r="F117" s="7" t="n">
        <v>1</v>
      </c>
      <c r="G117" s="7" t="n">
        <v>6</v>
      </c>
      <c r="H117" s="7" t="n">
        <v>74</v>
      </c>
      <c r="I117" s="7" t="n">
        <v>54</v>
      </c>
      <c r="J117" s="7" t="n">
        <v>39</v>
      </c>
      <c r="K117" s="7" t="n">
        <v>32</v>
      </c>
      <c r="L117" s="7" t="n">
        <v>6</v>
      </c>
      <c r="M117" s="7" t="n">
        <v>8</v>
      </c>
      <c r="N117" s="12" t="n">
        <f aca="false">IF(E117=0,0,J117*7/E117)</f>
        <v>5.25</v>
      </c>
      <c r="O117" s="12" t="n">
        <f aca="false">IF(E117=0,0,(H117+K117)/E117)</f>
        <v>2.03846153846154</v>
      </c>
      <c r="P117" s="12" t="n">
        <f aca="false">IF(E117=0,0,L117*7/E117)</f>
        <v>0.807692307692308</v>
      </c>
      <c r="Q117" s="12" t="n">
        <f aca="false">IF(E117=0,0,K117*7/E117)</f>
        <v>4.30769230769231</v>
      </c>
    </row>
    <row r="118" customFormat="false" ht="14.25" hidden="false" customHeight="true" outlineLevel="0" collapsed="false">
      <c r="A118" s="6" t="n">
        <v>2024</v>
      </c>
      <c r="B118" s="6" t="s">
        <v>192</v>
      </c>
      <c r="C118" s="6" t="s">
        <v>208</v>
      </c>
      <c r="D118" s="7" t="n">
        <v>2</v>
      </c>
      <c r="E118" s="11" t="n">
        <v>7.1</v>
      </c>
      <c r="F118" s="7" t="n">
        <v>1</v>
      </c>
      <c r="G118" s="7" t="n">
        <v>0</v>
      </c>
      <c r="H118" s="7" t="n">
        <v>6</v>
      </c>
      <c r="I118" s="7" t="n">
        <v>0</v>
      </c>
      <c r="J118" s="7" t="n">
        <v>0</v>
      </c>
      <c r="K118" s="7" t="n">
        <v>1</v>
      </c>
      <c r="L118" s="7" t="n">
        <v>2</v>
      </c>
      <c r="M118" s="7" t="n">
        <v>0</v>
      </c>
      <c r="N118" s="12" t="n">
        <v>0</v>
      </c>
      <c r="O118" s="12" t="n">
        <v>0.95</v>
      </c>
      <c r="P118" s="12" t="n">
        <v>1.91</v>
      </c>
      <c r="Q118" s="12" t="n">
        <v>0.95</v>
      </c>
    </row>
    <row r="119" customFormat="false" ht="14.25" hidden="false" customHeight="true" outlineLevel="0" collapsed="false">
      <c r="A119" s="6" t="n">
        <v>2024</v>
      </c>
      <c r="B119" s="6" t="s">
        <v>192</v>
      </c>
      <c r="C119" s="6" t="s">
        <v>196</v>
      </c>
      <c r="D119" s="7" t="n">
        <v>1</v>
      </c>
      <c r="E119" s="11" t="n">
        <v>0.1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12" t="n">
        <v>0</v>
      </c>
      <c r="O119" s="12" t="n">
        <v>0</v>
      </c>
      <c r="P119" s="12" t="n">
        <v>0</v>
      </c>
      <c r="Q119" s="12" t="n">
        <v>0</v>
      </c>
    </row>
    <row r="120" customFormat="false" ht="14.25" hidden="false" customHeight="true" outlineLevel="0" collapsed="false">
      <c r="A120" s="6" t="n">
        <v>2024</v>
      </c>
      <c r="B120" s="6" t="s">
        <v>192</v>
      </c>
      <c r="C120" s="6" t="s">
        <v>195</v>
      </c>
      <c r="D120" s="7" t="n">
        <v>1</v>
      </c>
      <c r="E120" s="11" t="n">
        <v>0.1</v>
      </c>
      <c r="F120" s="7" t="n">
        <v>0</v>
      </c>
      <c r="G120" s="7" t="n">
        <v>0</v>
      </c>
      <c r="H120" s="7" t="n">
        <v>3</v>
      </c>
      <c r="I120" s="7" t="n">
        <v>8</v>
      </c>
      <c r="J120" s="7" t="n">
        <v>0</v>
      </c>
      <c r="K120" s="7" t="n">
        <v>4</v>
      </c>
      <c r="L120" s="7" t="n">
        <v>0</v>
      </c>
      <c r="M120" s="7" t="n">
        <v>1</v>
      </c>
      <c r="N120" s="12" t="n">
        <v>0</v>
      </c>
      <c r="O120" s="12" t="n">
        <v>21</v>
      </c>
      <c r="P120" s="12" t="n">
        <v>0</v>
      </c>
      <c r="Q120" s="12" t="n">
        <v>84</v>
      </c>
    </row>
    <row r="121" customFormat="false" ht="14.25" hidden="false" customHeight="true" outlineLevel="0" collapsed="false">
      <c r="A121" s="6" t="n">
        <v>2024</v>
      </c>
      <c r="B121" s="6" t="s">
        <v>212</v>
      </c>
      <c r="C121" s="6" t="s">
        <v>85</v>
      </c>
      <c r="D121" s="7" t="n">
        <v>3</v>
      </c>
      <c r="E121" s="11" t="n">
        <v>15</v>
      </c>
      <c r="F121" s="7" t="n">
        <v>1</v>
      </c>
      <c r="G121" s="7" t="n">
        <v>1</v>
      </c>
      <c r="H121" s="7" t="n">
        <v>24</v>
      </c>
      <c r="I121" s="7" t="n">
        <v>22</v>
      </c>
      <c r="J121" s="7" t="n">
        <v>20</v>
      </c>
      <c r="K121" s="7" t="n">
        <v>14</v>
      </c>
      <c r="L121" s="7" t="n">
        <v>1</v>
      </c>
      <c r="M121" s="7" t="n">
        <v>7</v>
      </c>
      <c r="N121" s="12" t="n">
        <f aca="false">IF(E121=0,0,J121*7/E121)</f>
        <v>9.33333333333333</v>
      </c>
      <c r="O121" s="12" t="n">
        <f aca="false">IF(E121=0,0,(H121+K121)/E121)</f>
        <v>2.53333333333333</v>
      </c>
      <c r="P121" s="12" t="n">
        <f aca="false">IF(E121=0,0,L121*7/E121)</f>
        <v>0.466666666666667</v>
      </c>
      <c r="Q121" s="12" t="n">
        <f aca="false">IF(E121=0,0,K121*7/E121)</f>
        <v>6.53333333333333</v>
      </c>
    </row>
    <row r="122" customFormat="false" ht="14.25" hidden="false" customHeight="true" outlineLevel="0" collapsed="false">
      <c r="A122" s="6" t="n">
        <v>2024</v>
      </c>
      <c r="B122" s="6" t="s">
        <v>212</v>
      </c>
      <c r="C122" s="6" t="s">
        <v>219</v>
      </c>
      <c r="D122" s="7" t="n">
        <v>1</v>
      </c>
      <c r="E122" s="11" t="n">
        <v>1</v>
      </c>
      <c r="F122" s="7" t="n">
        <v>0</v>
      </c>
      <c r="G122" s="7" t="n">
        <v>0</v>
      </c>
      <c r="H122" s="7" t="n">
        <v>4</v>
      </c>
      <c r="I122" s="7" t="n">
        <v>3</v>
      </c>
      <c r="J122" s="7" t="n">
        <v>2</v>
      </c>
      <c r="K122" s="7" t="n">
        <v>0</v>
      </c>
      <c r="L122" s="7" t="n">
        <v>0</v>
      </c>
      <c r="M122" s="7" t="n">
        <v>0</v>
      </c>
      <c r="N122" s="12" t="n">
        <f aca="false">IF(E122=0,0,J122*7/E122)</f>
        <v>14</v>
      </c>
      <c r="O122" s="12" t="n">
        <f aca="false">IF(E122=0,0,(H122+K122)/E122)</f>
        <v>4</v>
      </c>
      <c r="P122" s="12" t="n">
        <f aca="false">IF(E122=0,0,L122*7/E122)</f>
        <v>0</v>
      </c>
      <c r="Q122" s="12" t="n">
        <f aca="false">IF(E122=0,0,K122*7/E122)</f>
        <v>0</v>
      </c>
    </row>
    <row r="123" customFormat="false" ht="14.25" hidden="false" customHeight="true" outlineLevel="0" collapsed="false">
      <c r="A123" s="6" t="n">
        <v>2024</v>
      </c>
      <c r="B123" s="6" t="s">
        <v>212</v>
      </c>
      <c r="C123" s="6" t="s">
        <v>215</v>
      </c>
      <c r="D123" s="7" t="n">
        <v>3</v>
      </c>
      <c r="E123" s="11" t="n">
        <v>16</v>
      </c>
      <c r="F123" s="7" t="n">
        <v>0</v>
      </c>
      <c r="G123" s="7" t="n">
        <v>2</v>
      </c>
      <c r="H123" s="7" t="n">
        <v>23</v>
      </c>
      <c r="I123" s="7" t="n">
        <v>12</v>
      </c>
      <c r="J123" s="7" t="n">
        <v>9</v>
      </c>
      <c r="K123" s="7" t="n">
        <v>5</v>
      </c>
      <c r="L123" s="7" t="n">
        <v>1</v>
      </c>
      <c r="M123" s="7" t="n">
        <v>0</v>
      </c>
      <c r="N123" s="12" t="n">
        <f aca="false">IF(E123=0,0,J123*7/E123)</f>
        <v>3.9375</v>
      </c>
      <c r="O123" s="12" t="n">
        <f aca="false">IF(E123=0,0,(H123+K123)/E123)</f>
        <v>1.75</v>
      </c>
      <c r="P123" s="12" t="n">
        <f aca="false">IF(E123=0,0,L123*7/E123)</f>
        <v>0.4375</v>
      </c>
      <c r="Q123" s="12" t="n">
        <f aca="false">IF(E123=0,0,K123*7/E123)</f>
        <v>2.1875</v>
      </c>
    </row>
    <row r="124" customFormat="false" ht="14.25" hidden="false" customHeight="true" outlineLevel="0" collapsed="false">
      <c r="A124" s="6" t="n">
        <v>2024</v>
      </c>
      <c r="B124" s="6" t="s">
        <v>212</v>
      </c>
      <c r="C124" s="6" t="s">
        <v>214</v>
      </c>
      <c r="D124" s="7" t="n">
        <v>3</v>
      </c>
      <c r="E124" s="11" t="n">
        <v>17</v>
      </c>
      <c r="F124" s="7" t="n">
        <v>0</v>
      </c>
      <c r="G124" s="7" t="n">
        <v>2</v>
      </c>
      <c r="H124" s="7" t="n">
        <v>23</v>
      </c>
      <c r="I124" s="7" t="n">
        <v>27</v>
      </c>
      <c r="J124" s="7" t="n">
        <v>15</v>
      </c>
      <c r="K124" s="7" t="n">
        <v>15</v>
      </c>
      <c r="L124" s="7" t="n">
        <v>1</v>
      </c>
      <c r="M124" s="7" t="n">
        <v>5</v>
      </c>
      <c r="N124" s="12" t="n">
        <f aca="false">IF(E124=0,0,J124*7/E124)</f>
        <v>6.17647058823529</v>
      </c>
      <c r="O124" s="12" t="n">
        <f aca="false">IF(E124=0,0,(H124+K124)/E124)</f>
        <v>2.23529411764706</v>
      </c>
      <c r="P124" s="12" t="n">
        <f aca="false">IF(E124=0,0,L124*7/E124)</f>
        <v>0.411764705882353</v>
      </c>
      <c r="Q124" s="12" t="n">
        <f aca="false">IF(E124=0,0,K124*7/E124)</f>
        <v>6.17647058823529</v>
      </c>
    </row>
    <row r="125" customFormat="false" ht="14.25" hidden="false" customHeight="true" outlineLevel="0" collapsed="false">
      <c r="A125" s="6" t="n">
        <v>2025</v>
      </c>
      <c r="B125" s="6" t="s">
        <v>50</v>
      </c>
      <c r="C125" s="6" t="s">
        <v>53</v>
      </c>
      <c r="D125" s="7" t="n">
        <v>9</v>
      </c>
      <c r="E125" s="11" t="n">
        <v>60</v>
      </c>
      <c r="F125" s="7" t="n">
        <v>6</v>
      </c>
      <c r="G125" s="7" t="n">
        <v>1</v>
      </c>
      <c r="H125" s="7" t="n">
        <v>57</v>
      </c>
      <c r="I125" s="7" t="n">
        <v>24</v>
      </c>
      <c r="J125" s="7" t="n">
        <v>20</v>
      </c>
      <c r="K125" s="7" t="n">
        <v>1</v>
      </c>
      <c r="L125" s="7" t="n">
        <v>7</v>
      </c>
      <c r="M125" s="7" t="n">
        <v>8</v>
      </c>
      <c r="N125" s="12" t="n">
        <f aca="false">IF(E125=0,0,J125*7/E125)</f>
        <v>2.33333333333333</v>
      </c>
      <c r="O125" s="12" t="n">
        <f aca="false">IF(E125=0,0,(H125+K125)/E125)</f>
        <v>0.966666666666667</v>
      </c>
      <c r="P125" s="12" t="n">
        <f aca="false">IF(E125=0,0,L125*7/E125)</f>
        <v>0.816666666666667</v>
      </c>
      <c r="Q125" s="12" t="n">
        <f aca="false">IF(E125=0,0,K125*7/E125)</f>
        <v>0.116666666666667</v>
      </c>
    </row>
    <row r="126" customFormat="false" ht="14.25" hidden="false" customHeight="true" outlineLevel="0" collapsed="false">
      <c r="A126" s="6" t="n">
        <v>2025</v>
      </c>
      <c r="B126" s="6" t="s">
        <v>50</v>
      </c>
      <c r="C126" s="6" t="s">
        <v>66</v>
      </c>
      <c r="D126" s="7" t="n">
        <v>4</v>
      </c>
      <c r="E126" s="11" t="n">
        <v>24.1</v>
      </c>
      <c r="F126" s="7" t="n">
        <v>1</v>
      </c>
      <c r="G126" s="7" t="n">
        <v>2</v>
      </c>
      <c r="H126" s="7" t="n">
        <v>28</v>
      </c>
      <c r="I126" s="7" t="n">
        <v>24</v>
      </c>
      <c r="J126" s="7" t="n">
        <v>19</v>
      </c>
      <c r="K126" s="7" t="n">
        <v>8</v>
      </c>
      <c r="L126" s="7" t="n">
        <v>5</v>
      </c>
      <c r="M126" s="7" t="n">
        <v>4</v>
      </c>
      <c r="N126" s="12" t="n">
        <v>5.47</v>
      </c>
      <c r="O126" s="12" t="n">
        <v>1.48</v>
      </c>
      <c r="P126" s="12" t="n">
        <v>1.44</v>
      </c>
      <c r="Q126" s="12" t="n">
        <v>2.3</v>
      </c>
    </row>
    <row r="127" customFormat="false" ht="14.25" hidden="false" customHeight="true" outlineLevel="0" collapsed="false">
      <c r="A127" s="6" t="n">
        <v>2025</v>
      </c>
      <c r="B127" s="6" t="s">
        <v>50</v>
      </c>
      <c r="C127" s="6" t="s">
        <v>64</v>
      </c>
      <c r="D127" s="7" t="n">
        <v>1</v>
      </c>
      <c r="E127" s="11" t="n">
        <v>7</v>
      </c>
      <c r="F127" s="7" t="n">
        <v>1</v>
      </c>
      <c r="G127" s="7" t="n">
        <v>0</v>
      </c>
      <c r="H127" s="7" t="n">
        <v>9</v>
      </c>
      <c r="I127" s="7" t="n">
        <v>6</v>
      </c>
      <c r="J127" s="7" t="n">
        <v>6</v>
      </c>
      <c r="K127" s="7" t="n">
        <v>2</v>
      </c>
      <c r="L127" s="7" t="n">
        <v>0</v>
      </c>
      <c r="M127" s="7" t="n">
        <v>2</v>
      </c>
      <c r="N127" s="12" t="n">
        <f aca="false">IF(E127=0,0,J127*7/E127)</f>
        <v>6</v>
      </c>
      <c r="O127" s="12" t="n">
        <f aca="false">IF(E127=0,0,(H127+K127)/E127)</f>
        <v>1.57142857142857</v>
      </c>
      <c r="P127" s="12" t="n">
        <f aca="false">IF(E127=0,0,L127*7/E127)</f>
        <v>0</v>
      </c>
      <c r="Q127" s="12" t="n">
        <f aca="false">IF(E127=0,0,K127*7/E127)</f>
        <v>2</v>
      </c>
    </row>
    <row r="128" customFormat="false" ht="14.25" hidden="false" customHeight="true" outlineLevel="0" collapsed="false">
      <c r="A128" s="6" t="n">
        <v>2025</v>
      </c>
      <c r="B128" s="6" t="s">
        <v>50</v>
      </c>
      <c r="C128" s="6" t="s">
        <v>51</v>
      </c>
      <c r="D128" s="7" t="n">
        <v>4</v>
      </c>
      <c r="E128" s="11" t="n">
        <v>6</v>
      </c>
      <c r="F128" s="7" t="n">
        <v>0</v>
      </c>
      <c r="G128" s="7" t="n">
        <v>0</v>
      </c>
      <c r="H128" s="7" t="n">
        <v>2</v>
      </c>
      <c r="I128" s="7" t="n">
        <v>3</v>
      </c>
      <c r="J128" s="7" t="n">
        <v>1</v>
      </c>
      <c r="K128" s="7" t="n">
        <v>3</v>
      </c>
      <c r="L128" s="7" t="n">
        <v>1</v>
      </c>
      <c r="M128" s="7" t="n">
        <v>0</v>
      </c>
      <c r="N128" s="12" t="n">
        <f aca="false">IF(E128=0,0,J128*7/E128)</f>
        <v>1.16666666666667</v>
      </c>
      <c r="O128" s="12" t="n">
        <f aca="false">IF(E128=0,0,(H128+K128)/E128)</f>
        <v>0.833333333333333</v>
      </c>
      <c r="P128" s="12" t="n">
        <f aca="false">IF(E128=0,0,L128*7/E128)</f>
        <v>1.16666666666667</v>
      </c>
      <c r="Q128" s="12" t="n">
        <f aca="false">IF(E128=0,0,K128*7/E128)</f>
        <v>3.5</v>
      </c>
    </row>
    <row r="129" customFormat="false" ht="14.25" hidden="false" customHeight="true" outlineLevel="0" collapsed="false">
      <c r="A129" s="6" t="n">
        <v>2025</v>
      </c>
      <c r="B129" s="6" t="s">
        <v>71</v>
      </c>
      <c r="C129" s="6" t="s">
        <v>79</v>
      </c>
      <c r="D129" s="7" t="n">
        <v>13</v>
      </c>
      <c r="E129" s="11" t="n">
        <v>89</v>
      </c>
      <c r="F129" s="7" t="n">
        <v>4</v>
      </c>
      <c r="G129" s="7" t="n">
        <v>4</v>
      </c>
      <c r="H129" s="7" t="n">
        <v>129</v>
      </c>
      <c r="I129" s="7" t="n">
        <v>71</v>
      </c>
      <c r="J129" s="7" t="n">
        <v>51</v>
      </c>
      <c r="K129" s="7" t="n">
        <v>20</v>
      </c>
      <c r="L129" s="7" t="n">
        <v>10</v>
      </c>
      <c r="M129" s="7" t="n">
        <v>19</v>
      </c>
      <c r="N129" s="12" t="n">
        <f aca="false">IF(E129=0,0,J129*7/E129)</f>
        <v>4.01123595505618</v>
      </c>
      <c r="O129" s="12" t="n">
        <f aca="false">IF(E129=0,0,(H129+K129)/E129)</f>
        <v>1.67415730337079</v>
      </c>
      <c r="P129" s="12" t="n">
        <f aca="false">IF(E129=0,0,L129*7/E129)</f>
        <v>0.786516853932584</v>
      </c>
      <c r="Q129" s="12" t="n">
        <f aca="false">IF(E129=0,0,K129*7/E129)</f>
        <v>1.57303370786517</v>
      </c>
    </row>
    <row r="130" customFormat="false" ht="14.25" hidden="false" customHeight="true" outlineLevel="0" collapsed="false">
      <c r="A130" s="6" t="n">
        <v>2025</v>
      </c>
      <c r="B130" s="6" t="s">
        <v>97</v>
      </c>
      <c r="C130" s="6" t="s">
        <v>100</v>
      </c>
      <c r="D130" s="7" t="n">
        <v>6</v>
      </c>
      <c r="E130" s="11" t="n">
        <v>32</v>
      </c>
      <c r="F130" s="7" t="n">
        <v>1</v>
      </c>
      <c r="G130" s="7" t="n">
        <v>3</v>
      </c>
      <c r="H130" s="7" t="n">
        <v>42</v>
      </c>
      <c r="I130" s="7" t="n">
        <v>24</v>
      </c>
      <c r="J130" s="7" t="n">
        <v>23</v>
      </c>
      <c r="K130" s="7" t="n">
        <v>15</v>
      </c>
      <c r="L130" s="7" t="n">
        <v>3</v>
      </c>
      <c r="M130" s="7" t="n">
        <v>4</v>
      </c>
      <c r="N130" s="12" t="n">
        <f aca="false">IF(E130=0,0,J130*7/E130)</f>
        <v>5.03125</v>
      </c>
      <c r="O130" s="12" t="n">
        <f aca="false">IF(E130=0,0,(H130+K130)/E130)</f>
        <v>1.78125</v>
      </c>
      <c r="P130" s="12" t="n">
        <f aca="false">IF(E130=0,0,L130*7/E130)</f>
        <v>0.65625</v>
      </c>
      <c r="Q130" s="12" t="n">
        <f aca="false">IF(E130=0,0,K130*7/E130)</f>
        <v>3.28125</v>
      </c>
    </row>
    <row r="131" customFormat="false" ht="14.25" hidden="false" customHeight="true" outlineLevel="0" collapsed="false">
      <c r="A131" s="6" t="n">
        <v>2025</v>
      </c>
      <c r="B131" s="6" t="s">
        <v>97</v>
      </c>
      <c r="C131" s="6" t="s">
        <v>117</v>
      </c>
      <c r="D131" s="7" t="n">
        <v>7</v>
      </c>
      <c r="E131" s="11" t="n">
        <v>38.2</v>
      </c>
      <c r="F131" s="7" t="n">
        <v>0</v>
      </c>
      <c r="G131" s="7" t="n">
        <v>4</v>
      </c>
      <c r="H131" s="7" t="n">
        <v>58</v>
      </c>
      <c r="I131" s="7" t="n">
        <v>54</v>
      </c>
      <c r="J131" s="7" t="n">
        <v>37</v>
      </c>
      <c r="K131" s="7" t="n">
        <v>31</v>
      </c>
      <c r="L131" s="7" t="n">
        <v>7</v>
      </c>
      <c r="M131" s="7" t="n">
        <v>14</v>
      </c>
      <c r="N131" s="12" t="n">
        <v>6.7</v>
      </c>
      <c r="O131" s="12" t="n">
        <v>2.3</v>
      </c>
      <c r="P131" s="12" t="n">
        <v>1.27</v>
      </c>
      <c r="Q131" s="12" t="n">
        <v>5.61</v>
      </c>
    </row>
    <row r="132" customFormat="false" ht="14.25" hidden="false" customHeight="true" outlineLevel="0" collapsed="false">
      <c r="A132" s="6" t="n">
        <v>2025</v>
      </c>
      <c r="B132" s="6" t="s">
        <v>121</v>
      </c>
      <c r="C132" s="6" t="s">
        <v>125</v>
      </c>
      <c r="D132" s="7" t="n">
        <v>13</v>
      </c>
      <c r="E132" s="11" t="n">
        <v>85.2</v>
      </c>
      <c r="F132" s="7" t="n">
        <v>6</v>
      </c>
      <c r="G132" s="7" t="n">
        <v>4</v>
      </c>
      <c r="H132" s="7" t="n">
        <v>104</v>
      </c>
      <c r="I132" s="7" t="n">
        <v>56</v>
      </c>
      <c r="J132" s="7" t="n">
        <v>47</v>
      </c>
      <c r="K132" s="7" t="n">
        <v>38</v>
      </c>
      <c r="L132" s="7" t="n">
        <v>16</v>
      </c>
      <c r="M132" s="7" t="n">
        <v>15</v>
      </c>
      <c r="N132" s="12" t="n">
        <v>3.84</v>
      </c>
      <c r="O132" s="12" t="n">
        <v>1.66</v>
      </c>
      <c r="P132" s="12" t="n">
        <v>1.31</v>
      </c>
      <c r="Q132" s="12" t="n">
        <v>3.11</v>
      </c>
    </row>
    <row r="133" customFormat="false" ht="14.25" hidden="false" customHeight="true" outlineLevel="0" collapsed="false">
      <c r="A133" s="6" t="n">
        <v>2025</v>
      </c>
      <c r="B133" s="6" t="s">
        <v>121</v>
      </c>
      <c r="C133" s="6" t="s">
        <v>132</v>
      </c>
      <c r="D133" s="7" t="n">
        <v>1</v>
      </c>
      <c r="E133" s="11" t="n">
        <v>1</v>
      </c>
      <c r="F133" s="7" t="n">
        <v>0</v>
      </c>
      <c r="G133" s="7" t="n">
        <v>0</v>
      </c>
      <c r="H133" s="7" t="n">
        <v>6</v>
      </c>
      <c r="I133" s="7" t="n">
        <v>6</v>
      </c>
      <c r="J133" s="7" t="n">
        <v>6</v>
      </c>
      <c r="K133" s="7" t="n">
        <v>0</v>
      </c>
      <c r="L133" s="7" t="n">
        <v>0</v>
      </c>
      <c r="M133" s="7" t="n">
        <v>2</v>
      </c>
      <c r="N133" s="12" t="n">
        <f aca="false">IF(E133=0,0,J133*7/E133)</f>
        <v>42</v>
      </c>
      <c r="O133" s="12" t="n">
        <f aca="false">IF(E133=0,0,(H133+K133)/E133)</f>
        <v>6</v>
      </c>
      <c r="P133" s="12" t="n">
        <f aca="false">IF(E133=0,0,L133*7/E133)</f>
        <v>0</v>
      </c>
      <c r="Q133" s="12" t="n">
        <f aca="false">IF(E133=0,0,K133*7/E133)</f>
        <v>0</v>
      </c>
    </row>
    <row r="134" customFormat="false" ht="14.25" hidden="false" customHeight="true" outlineLevel="0" collapsed="false">
      <c r="A134" s="6" t="n">
        <v>2025</v>
      </c>
      <c r="B134" s="6" t="s">
        <v>121</v>
      </c>
      <c r="C134" s="6" t="s">
        <v>122</v>
      </c>
      <c r="D134" s="7" t="n">
        <v>2</v>
      </c>
      <c r="E134" s="11" t="n">
        <v>9</v>
      </c>
      <c r="F134" s="7" t="n">
        <v>0</v>
      </c>
      <c r="G134" s="7" t="n">
        <v>1</v>
      </c>
      <c r="H134" s="7" t="n">
        <v>6</v>
      </c>
      <c r="I134" s="7" t="n">
        <v>8</v>
      </c>
      <c r="J134" s="7" t="n">
        <v>8</v>
      </c>
      <c r="K134" s="7" t="n">
        <v>4</v>
      </c>
      <c r="L134" s="7" t="n">
        <v>1</v>
      </c>
      <c r="M134" s="7" t="n">
        <v>3</v>
      </c>
      <c r="N134" s="12" t="n">
        <f aca="false">IF(E134=0,0,J134*7/E134)</f>
        <v>6.22222222222222</v>
      </c>
      <c r="O134" s="12" t="n">
        <f aca="false">IF(E134=0,0,(H134+K134)/E134)</f>
        <v>1.11111111111111</v>
      </c>
      <c r="P134" s="12" t="n">
        <f aca="false">IF(E134=0,0,L134*7/E134)</f>
        <v>0.777777777777778</v>
      </c>
      <c r="Q134" s="12" t="n">
        <f aca="false">IF(E134=0,0,K134*7/E134)</f>
        <v>3.11111111111111</v>
      </c>
    </row>
    <row r="135" customFormat="false" ht="14.25" hidden="false" customHeight="true" outlineLevel="0" collapsed="false">
      <c r="A135" s="6" t="n">
        <v>2025</v>
      </c>
      <c r="B135" s="6" t="s">
        <v>147</v>
      </c>
      <c r="C135" s="6" t="s">
        <v>154</v>
      </c>
      <c r="D135" s="7" t="n">
        <v>14</v>
      </c>
      <c r="E135" s="11" t="n">
        <v>97.2</v>
      </c>
      <c r="F135" s="7" t="n">
        <v>10</v>
      </c>
      <c r="G135" s="7" t="n">
        <v>2</v>
      </c>
      <c r="H135" s="7" t="n">
        <v>96</v>
      </c>
      <c r="I135" s="7" t="n">
        <v>43</v>
      </c>
      <c r="J135" s="7" t="n">
        <v>35</v>
      </c>
      <c r="K135" s="7" t="n">
        <v>20</v>
      </c>
      <c r="L135" s="7" t="n">
        <v>49</v>
      </c>
      <c r="M135" s="7" t="n">
        <v>8</v>
      </c>
      <c r="N135" s="12" t="n">
        <v>2.51</v>
      </c>
      <c r="O135" s="12" t="n">
        <v>1.19</v>
      </c>
      <c r="P135" s="12" t="n">
        <v>3.51</v>
      </c>
      <c r="Q135" s="12" t="n">
        <v>1.43</v>
      </c>
    </row>
    <row r="136" customFormat="false" ht="14.25" hidden="false" customHeight="true" outlineLevel="0" collapsed="false">
      <c r="A136" s="6" t="n">
        <v>2025</v>
      </c>
      <c r="B136" s="6" t="s">
        <v>166</v>
      </c>
      <c r="C136" s="6" t="s">
        <v>178</v>
      </c>
      <c r="D136" s="7" t="n">
        <v>11</v>
      </c>
      <c r="E136" s="11" t="n">
        <v>60</v>
      </c>
      <c r="F136" s="7" t="n">
        <v>3</v>
      </c>
      <c r="G136" s="7" t="n">
        <v>6</v>
      </c>
      <c r="H136" s="7" t="n">
        <v>89</v>
      </c>
      <c r="I136" s="7" t="n">
        <v>65</v>
      </c>
      <c r="J136" s="7" t="n">
        <v>49</v>
      </c>
      <c r="K136" s="7" t="n">
        <v>32</v>
      </c>
      <c r="L136" s="7" t="n">
        <v>27</v>
      </c>
      <c r="M136" s="7" t="n">
        <v>5</v>
      </c>
      <c r="N136" s="12" t="n">
        <f aca="false">IF(E136=0,0,J136*7/E136)</f>
        <v>5.71666666666667</v>
      </c>
      <c r="O136" s="12" t="n">
        <f aca="false">IF(E136=0,0,(H136+K136)/E136)</f>
        <v>2.01666666666667</v>
      </c>
      <c r="P136" s="12" t="n">
        <f aca="false">IF(E136=0,0,L136*7/E136)</f>
        <v>3.15</v>
      </c>
      <c r="Q136" s="12" t="n">
        <f aca="false">IF(E136=0,0,K136*7/E136)</f>
        <v>3.73333333333333</v>
      </c>
    </row>
    <row r="137" customFormat="false" ht="14.25" hidden="false" customHeight="true" outlineLevel="0" collapsed="false">
      <c r="A137" s="6" t="n">
        <v>2025</v>
      </c>
      <c r="B137" s="6" t="s">
        <v>166</v>
      </c>
      <c r="C137" s="6" t="s">
        <v>175</v>
      </c>
      <c r="D137" s="7" t="n">
        <v>2</v>
      </c>
      <c r="E137" s="11" t="n">
        <v>2</v>
      </c>
      <c r="F137" s="7" t="n">
        <v>0</v>
      </c>
      <c r="G137" s="7" t="n">
        <v>0</v>
      </c>
      <c r="H137" s="7" t="n">
        <v>4</v>
      </c>
      <c r="I137" s="7" t="n">
        <v>4</v>
      </c>
      <c r="J137" s="7" t="n">
        <v>4</v>
      </c>
      <c r="K137" s="7" t="n">
        <v>2</v>
      </c>
      <c r="L137" s="7" t="n">
        <v>1</v>
      </c>
      <c r="M137" s="7" t="n">
        <v>0</v>
      </c>
      <c r="N137" s="12" t="n">
        <f aca="false">IF(E137=0,0,J137*7/E137)</f>
        <v>14</v>
      </c>
      <c r="O137" s="12" t="n">
        <f aca="false">IF(E137=0,0,(H137+K137)/E137)</f>
        <v>3</v>
      </c>
      <c r="P137" s="12" t="n">
        <f aca="false">IF(E137=0,0,L137*7/E137)</f>
        <v>3.5</v>
      </c>
      <c r="Q137" s="12" t="n">
        <f aca="false">IF(E137=0,0,K137*7/E137)</f>
        <v>7</v>
      </c>
    </row>
    <row r="138" customFormat="false" ht="14.25" hidden="false" customHeight="true" outlineLevel="0" collapsed="false">
      <c r="A138" s="6" t="n">
        <v>2025</v>
      </c>
      <c r="B138" s="6" t="s">
        <v>166</v>
      </c>
      <c r="C138" s="6" t="s">
        <v>168</v>
      </c>
      <c r="D138" s="7" t="n">
        <v>1</v>
      </c>
      <c r="E138" s="11" t="n">
        <v>0.1</v>
      </c>
      <c r="F138" s="7" t="n">
        <v>0</v>
      </c>
      <c r="G138" s="7" t="n">
        <v>0</v>
      </c>
      <c r="H138" s="7" t="n">
        <v>1</v>
      </c>
      <c r="I138" s="7" t="n">
        <v>3</v>
      </c>
      <c r="J138" s="7" t="n">
        <v>3</v>
      </c>
      <c r="K138" s="7" t="n">
        <v>2</v>
      </c>
      <c r="L138" s="7" t="n">
        <v>0</v>
      </c>
      <c r="M138" s="7" t="n">
        <v>0</v>
      </c>
      <c r="N138" s="12" t="n">
        <v>63</v>
      </c>
      <c r="O138" s="12" t="n">
        <v>9</v>
      </c>
      <c r="P138" s="12" t="n">
        <v>0</v>
      </c>
      <c r="Q138" s="12" t="n">
        <v>42</v>
      </c>
    </row>
    <row r="139" customFormat="false" ht="14.25" hidden="false" customHeight="true" outlineLevel="0" collapsed="false">
      <c r="A139" s="6" t="n">
        <v>2025</v>
      </c>
      <c r="B139" s="6" t="s">
        <v>166</v>
      </c>
      <c r="C139" s="6" t="s">
        <v>173</v>
      </c>
      <c r="D139" s="7" t="n">
        <v>4</v>
      </c>
      <c r="E139" s="11" t="n">
        <v>16.2</v>
      </c>
      <c r="F139" s="7" t="n">
        <v>0</v>
      </c>
      <c r="G139" s="7" t="n">
        <v>2</v>
      </c>
      <c r="H139" s="7" t="n">
        <v>29</v>
      </c>
      <c r="I139" s="7" t="n">
        <v>19</v>
      </c>
      <c r="J139" s="7" t="n">
        <v>14</v>
      </c>
      <c r="K139" s="7" t="n">
        <v>2</v>
      </c>
      <c r="L139" s="7" t="n">
        <v>0</v>
      </c>
      <c r="M139" s="7" t="n">
        <v>8</v>
      </c>
      <c r="N139" s="12" t="n">
        <v>5.88</v>
      </c>
      <c r="O139" s="12" t="n">
        <v>1.86</v>
      </c>
      <c r="P139" s="12" t="n">
        <v>0</v>
      </c>
      <c r="Q139" s="12" t="n">
        <v>0.84</v>
      </c>
    </row>
    <row r="140" customFormat="false" ht="14.25" hidden="false" customHeight="true" outlineLevel="0" collapsed="false">
      <c r="A140" s="6" t="n">
        <v>2025</v>
      </c>
      <c r="B140" s="6" t="s">
        <v>192</v>
      </c>
      <c r="C140" s="6" t="s">
        <v>198</v>
      </c>
      <c r="D140" s="7" t="n">
        <v>11</v>
      </c>
      <c r="E140" s="11" t="n">
        <v>77</v>
      </c>
      <c r="F140" s="7" t="n">
        <v>6</v>
      </c>
      <c r="G140" s="7" t="n">
        <v>3</v>
      </c>
      <c r="H140" s="7" t="n">
        <v>76</v>
      </c>
      <c r="I140" s="7" t="n">
        <v>34</v>
      </c>
      <c r="J140" s="7" t="n">
        <v>26</v>
      </c>
      <c r="K140" s="7" t="n">
        <v>28</v>
      </c>
      <c r="L140" s="7" t="n">
        <v>22</v>
      </c>
      <c r="M140" s="7" t="n">
        <v>8</v>
      </c>
      <c r="N140" s="12" t="n">
        <f aca="false">IF(E140=0,0,J140*7/E140)</f>
        <v>2.36363636363636</v>
      </c>
      <c r="O140" s="12" t="n">
        <f aca="false">IF(E140=0,0,(H140+K140)/E140)</f>
        <v>1.35064935064935</v>
      </c>
      <c r="P140" s="12" t="n">
        <f aca="false">IF(E140=0,0,L140*7/E140)</f>
        <v>2</v>
      </c>
      <c r="Q140" s="12" t="n">
        <f aca="false">IF(E140=0,0,K140*7/E140)</f>
        <v>2.54545454545455</v>
      </c>
    </row>
    <row r="141" customFormat="false" ht="14.25" hidden="false" customHeight="true" outlineLevel="0" collapsed="false">
      <c r="A141" s="6" t="n">
        <v>2025</v>
      </c>
      <c r="B141" s="6" t="s">
        <v>192</v>
      </c>
      <c r="C141" s="6" t="s">
        <v>199</v>
      </c>
      <c r="D141" s="7" t="n">
        <v>1</v>
      </c>
      <c r="E141" s="11" t="n">
        <v>1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12" t="n">
        <f aca="false">IF(E141=0,0,J141*7/E141)</f>
        <v>0</v>
      </c>
      <c r="O141" s="12" t="n">
        <f aca="false">IF(E141=0,0,(H141+K141)/E141)</f>
        <v>0</v>
      </c>
      <c r="P141" s="12" t="n">
        <f aca="false">IF(E141=0,0,L141*7/E141)</f>
        <v>0</v>
      </c>
      <c r="Q141" s="12" t="n">
        <f aca="false">IF(E141=0,0,K141*7/E141)</f>
        <v>0</v>
      </c>
    </row>
    <row r="142" customFormat="false" ht="14.25" hidden="false" customHeight="true" outlineLevel="0" collapsed="false">
      <c r="A142" s="6" t="n">
        <v>2025</v>
      </c>
      <c r="B142" s="6" t="s">
        <v>192</v>
      </c>
      <c r="C142" s="6" t="s">
        <v>208</v>
      </c>
      <c r="D142" s="7" t="n">
        <v>2</v>
      </c>
      <c r="E142" s="11" t="n">
        <v>8.1</v>
      </c>
      <c r="F142" s="7" t="n">
        <v>0</v>
      </c>
      <c r="G142" s="7" t="n">
        <v>0</v>
      </c>
      <c r="H142" s="7" t="n">
        <v>9</v>
      </c>
      <c r="I142" s="7" t="n">
        <v>9</v>
      </c>
      <c r="J142" s="7" t="n">
        <v>9</v>
      </c>
      <c r="K142" s="7" t="n">
        <v>8</v>
      </c>
      <c r="L142" s="7" t="n">
        <v>0</v>
      </c>
      <c r="M142" s="7" t="n">
        <v>3</v>
      </c>
      <c r="N142" s="12" t="n">
        <v>7.56</v>
      </c>
      <c r="O142" s="12" t="n">
        <v>2.04</v>
      </c>
      <c r="P142" s="12" t="n">
        <v>0</v>
      </c>
      <c r="Q142" s="12" t="n">
        <v>6.72</v>
      </c>
    </row>
    <row r="143" customFormat="false" ht="14.25" hidden="false" customHeight="true" outlineLevel="0" collapsed="false">
      <c r="A143" s="6" t="n">
        <v>2025</v>
      </c>
      <c r="B143" s="6" t="s">
        <v>212</v>
      </c>
      <c r="C143" s="6" t="s">
        <v>215</v>
      </c>
      <c r="D143" s="7" t="n">
        <v>5</v>
      </c>
      <c r="E143" s="11" t="n">
        <v>33</v>
      </c>
      <c r="F143" s="7" t="n">
        <v>1</v>
      </c>
      <c r="G143" s="7" t="n">
        <v>3</v>
      </c>
      <c r="H143" s="7" t="n">
        <v>49</v>
      </c>
      <c r="I143" s="7" t="n">
        <v>31</v>
      </c>
      <c r="J143" s="7" t="n">
        <v>20</v>
      </c>
      <c r="K143" s="7" t="n">
        <v>14</v>
      </c>
      <c r="L143" s="7" t="n">
        <v>6</v>
      </c>
      <c r="M143" s="7" t="n">
        <v>4</v>
      </c>
      <c r="N143" s="12" t="n">
        <f aca="false">IF(E143=0,0,J143*7/E143)</f>
        <v>4.24242424242424</v>
      </c>
      <c r="O143" s="12" t="n">
        <f aca="false">IF(E143=0,0,(H143+K143)/E143)</f>
        <v>1.90909090909091</v>
      </c>
      <c r="P143" s="12" t="n">
        <f aca="false">IF(E143=0,0,L143*7/E143)</f>
        <v>1.27272727272727</v>
      </c>
      <c r="Q143" s="12" t="n">
        <f aca="false">IF(E143=0,0,K143*7/E143)</f>
        <v>2.96969696969697</v>
      </c>
    </row>
    <row r="144" customFormat="false" ht="14.25" hidden="false" customHeight="true" outlineLevel="0" collapsed="false">
      <c r="A144" s="6" t="n">
        <v>2025</v>
      </c>
      <c r="B144" s="6" t="s">
        <v>212</v>
      </c>
      <c r="C144" s="6" t="s">
        <v>85</v>
      </c>
      <c r="D144" s="7" t="n">
        <v>5</v>
      </c>
      <c r="E144" s="11" t="n">
        <v>27</v>
      </c>
      <c r="F144" s="7" t="n">
        <v>1</v>
      </c>
      <c r="G144" s="7" t="n">
        <v>3</v>
      </c>
      <c r="H144" s="7" t="n">
        <v>29</v>
      </c>
      <c r="I144" s="7" t="n">
        <v>17</v>
      </c>
      <c r="J144" s="7" t="n">
        <v>14</v>
      </c>
      <c r="K144" s="7" t="n">
        <v>16</v>
      </c>
      <c r="L144" s="7" t="n">
        <v>5</v>
      </c>
      <c r="M144" s="7" t="n">
        <v>3</v>
      </c>
      <c r="N144" s="12" t="n">
        <f aca="false">IF(E144=0,0,J144*7/E144)</f>
        <v>3.62962962962963</v>
      </c>
      <c r="O144" s="12" t="n">
        <f aca="false">IF(E144=0,0,(H144+K144)/E144)</f>
        <v>1.66666666666667</v>
      </c>
      <c r="P144" s="12" t="n">
        <f aca="false">IF(E144=0,0,L144*7/E144)</f>
        <v>1.2962962962963</v>
      </c>
      <c r="Q144" s="12" t="n">
        <f aca="false">IF(E144=0,0,K144*7/E144)</f>
        <v>4.14814814814815</v>
      </c>
    </row>
    <row r="145" customFormat="false" ht="14.25" hidden="false" customHeight="true" outlineLevel="0" collapsed="false">
      <c r="A145" s="6" t="n">
        <v>2025</v>
      </c>
      <c r="B145" s="6" t="s">
        <v>212</v>
      </c>
      <c r="C145" s="6" t="s">
        <v>219</v>
      </c>
      <c r="D145" s="7" t="n">
        <v>1</v>
      </c>
      <c r="E145" s="11" t="n">
        <v>1</v>
      </c>
      <c r="F145" s="7" t="n">
        <v>0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7" t="n">
        <v>0</v>
      </c>
      <c r="N145" s="12" t="n">
        <f aca="false">IF(E145=0,0,J145*7/E145)</f>
        <v>0</v>
      </c>
      <c r="O145" s="12" t="n">
        <f aca="false">IF(E145=0,0,(H145+K145)/E145)</f>
        <v>0</v>
      </c>
      <c r="P145" s="12" t="n">
        <f aca="false">IF(E145=0,0,L145*7/E145)</f>
        <v>0</v>
      </c>
      <c r="Q145" s="12" t="n">
        <f aca="false">IF(E145=0,0,K145*7/E145)</f>
        <v>0</v>
      </c>
    </row>
    <row r="146" customFormat="false" ht="14.25" hidden="false" customHeight="true" outlineLevel="0" collapsed="false">
      <c r="A146" s="6" t="n">
        <v>2025</v>
      </c>
      <c r="B146" s="6" t="s">
        <v>212</v>
      </c>
      <c r="C146" s="6" t="s">
        <v>214</v>
      </c>
      <c r="D146" s="7" t="n">
        <v>1</v>
      </c>
      <c r="E146" s="11" t="n">
        <v>4</v>
      </c>
      <c r="F146" s="7" t="n">
        <v>0</v>
      </c>
      <c r="G146" s="7" t="n">
        <v>1</v>
      </c>
      <c r="H146" s="7" t="n">
        <v>10</v>
      </c>
      <c r="I146" s="7" t="n">
        <v>7</v>
      </c>
      <c r="J146" s="7" t="n">
        <v>6</v>
      </c>
      <c r="K146" s="7" t="n">
        <v>1</v>
      </c>
      <c r="L146" s="7" t="n">
        <v>0</v>
      </c>
      <c r="M146" s="7" t="n">
        <v>2</v>
      </c>
      <c r="N146" s="12" t="n">
        <f aca="false">IF(E146=0,0,J146*7/E146)</f>
        <v>10.5</v>
      </c>
      <c r="O146" s="12" t="n">
        <f aca="false">IF(E146=0,0,(H146+K146)/E146)</f>
        <v>2.75</v>
      </c>
      <c r="P146" s="12" t="n">
        <f aca="false">IF(E146=0,0,L146*7/E146)</f>
        <v>0</v>
      </c>
      <c r="Q146" s="12" t="n">
        <f aca="false">IF(E146=0,0,K146*7/E146)</f>
        <v>1.75</v>
      </c>
    </row>
    <row r="147" customFormat="false" ht="14.25" hidden="false" customHeight="true" outlineLevel="0" collapsed="false">
      <c r="A147" s="6" t="n">
        <v>2025</v>
      </c>
      <c r="B147" s="6" t="s">
        <v>212</v>
      </c>
      <c r="C147" s="6" t="s">
        <v>651</v>
      </c>
      <c r="D147" s="7" t="n">
        <v>1</v>
      </c>
      <c r="E147" s="11" t="n">
        <v>7</v>
      </c>
      <c r="F147" s="7" t="n">
        <v>0</v>
      </c>
      <c r="G147" s="7" t="n">
        <v>0</v>
      </c>
      <c r="H147" s="7" t="n">
        <v>15</v>
      </c>
      <c r="I147" s="7" t="n">
        <v>15</v>
      </c>
      <c r="J147" s="7" t="n">
        <v>13</v>
      </c>
      <c r="K147" s="7" t="n">
        <v>5</v>
      </c>
      <c r="L147" s="7" t="n">
        <v>2</v>
      </c>
      <c r="M147" s="7" t="n">
        <v>3</v>
      </c>
      <c r="N147" s="12" t="n">
        <f aca="false">IF(E147=0,0,J147*7/E147)</f>
        <v>13</v>
      </c>
      <c r="O147" s="12" t="n">
        <f aca="false">IF(E147=0,0,(H147+K147)/E147)</f>
        <v>2.85714285714286</v>
      </c>
      <c r="P147" s="12" t="n">
        <f aca="false">IF(E147=0,0,L147*7/E147)</f>
        <v>2</v>
      </c>
      <c r="Q147" s="12" t="n">
        <f aca="false">IF(E147=0,0,K147*7/E147)</f>
        <v>5</v>
      </c>
    </row>
    <row r="148" customFormat="false" ht="14.25" hidden="false" customHeight="true" outlineLevel="0" collapsed="false">
      <c r="A148" s="6" t="n">
        <v>2026</v>
      </c>
      <c r="B148" s="6" t="s">
        <v>50</v>
      </c>
      <c r="C148" s="6" t="s">
        <v>53</v>
      </c>
      <c r="D148" s="7" t="n">
        <v>8</v>
      </c>
      <c r="E148" s="11" t="n">
        <v>53</v>
      </c>
      <c r="F148" s="7" t="n">
        <v>5</v>
      </c>
      <c r="G148" s="7" t="n">
        <v>3</v>
      </c>
      <c r="H148" s="7" t="n">
        <v>83</v>
      </c>
      <c r="I148" s="7" t="n">
        <v>45</v>
      </c>
      <c r="J148" s="7" t="n">
        <v>39</v>
      </c>
      <c r="K148" s="7" t="n">
        <v>11</v>
      </c>
      <c r="L148" s="7" t="n">
        <v>4</v>
      </c>
      <c r="M148" s="7" t="n">
        <v>16</v>
      </c>
      <c r="N148" s="12" t="n">
        <f aca="false">IF(E148=0,0,J148*7/E148)</f>
        <v>5.15094339622642</v>
      </c>
      <c r="O148" s="12" t="n">
        <f aca="false">IF(E148=0,0,(H148+K148)/E148)</f>
        <v>1.77358490566038</v>
      </c>
      <c r="P148" s="12" t="n">
        <f aca="false">IF(E148=0,0,L148*7/E148)</f>
        <v>0.528301886792453</v>
      </c>
      <c r="Q148" s="12" t="n">
        <f aca="false">IF(E148=0,0,K148*7/E148)</f>
        <v>1.45283018867925</v>
      </c>
    </row>
    <row r="149" customFormat="false" ht="14.25" hidden="false" customHeight="true" outlineLevel="0" collapsed="false">
      <c r="A149" s="6" t="n">
        <v>2026</v>
      </c>
      <c r="B149" s="6" t="s">
        <v>50</v>
      </c>
      <c r="C149" s="6" t="s">
        <v>66</v>
      </c>
      <c r="D149" s="7" t="n">
        <v>4</v>
      </c>
      <c r="E149" s="11" t="n">
        <v>29.2</v>
      </c>
      <c r="F149" s="7" t="n">
        <v>2</v>
      </c>
      <c r="G149" s="7" t="n">
        <v>2</v>
      </c>
      <c r="H149" s="7" t="n">
        <v>29</v>
      </c>
      <c r="I149" s="7" t="n">
        <v>19</v>
      </c>
      <c r="J149" s="7" t="n">
        <v>17</v>
      </c>
      <c r="K149" s="7" t="n">
        <v>9</v>
      </c>
      <c r="L149" s="7" t="n">
        <v>6</v>
      </c>
      <c r="M149" s="7" t="n">
        <v>6</v>
      </c>
      <c r="N149" s="12" t="n">
        <v>4.01</v>
      </c>
      <c r="O149" s="12" t="n">
        <v>1.28</v>
      </c>
      <c r="P149" s="12" t="n">
        <v>1.42</v>
      </c>
      <c r="Q149" s="12" t="n">
        <v>2.12</v>
      </c>
    </row>
    <row r="150" customFormat="false" ht="14.25" hidden="false" customHeight="true" outlineLevel="0" collapsed="false">
      <c r="A150" s="6" t="n">
        <v>2026</v>
      </c>
      <c r="B150" s="6" t="s">
        <v>50</v>
      </c>
      <c r="C150" s="6" t="s">
        <v>64</v>
      </c>
      <c r="D150" s="7" t="n">
        <v>1</v>
      </c>
      <c r="E150" s="11" t="n">
        <v>6</v>
      </c>
      <c r="F150" s="7" t="n">
        <v>0</v>
      </c>
      <c r="G150" s="7" t="n">
        <v>1</v>
      </c>
      <c r="H150" s="7" t="n">
        <v>14</v>
      </c>
      <c r="I150" s="7" t="n">
        <v>9</v>
      </c>
      <c r="J150" s="7" t="n">
        <v>8</v>
      </c>
      <c r="K150" s="7" t="n">
        <v>3</v>
      </c>
      <c r="L150" s="7" t="n">
        <v>1</v>
      </c>
      <c r="M150" s="7" t="n">
        <v>1</v>
      </c>
      <c r="N150" s="12" t="n">
        <f aca="false">IF(E150=0,0,J150*7/E150)</f>
        <v>9.33333333333333</v>
      </c>
      <c r="O150" s="12" t="n">
        <f aca="false">IF(E150=0,0,(H150+K150)/E150)</f>
        <v>2.83333333333333</v>
      </c>
      <c r="P150" s="12" t="n">
        <f aca="false">IF(E150=0,0,L150*7/E150)</f>
        <v>1.16666666666667</v>
      </c>
      <c r="Q150" s="12" t="n">
        <f aca="false">IF(E150=0,0,K150*7/E150)</f>
        <v>3.5</v>
      </c>
    </row>
    <row r="151" customFormat="false" ht="14.25" hidden="false" customHeight="true" outlineLevel="0" collapsed="false">
      <c r="A151" s="6" t="n">
        <v>2026</v>
      </c>
      <c r="B151" s="6" t="s">
        <v>50</v>
      </c>
      <c r="C151" s="6" t="s">
        <v>51</v>
      </c>
      <c r="D151" s="7" t="n">
        <v>3</v>
      </c>
      <c r="E151" s="11" t="n">
        <v>8</v>
      </c>
      <c r="F151" s="7" t="n">
        <v>0</v>
      </c>
      <c r="G151" s="7" t="n">
        <v>1</v>
      </c>
      <c r="H151" s="7" t="n">
        <v>24</v>
      </c>
      <c r="I151" s="7" t="n">
        <v>22</v>
      </c>
      <c r="J151" s="7" t="n">
        <v>17</v>
      </c>
      <c r="K151" s="7" t="n">
        <v>4</v>
      </c>
      <c r="L151" s="7" t="n">
        <v>2</v>
      </c>
      <c r="M151" s="7" t="n">
        <v>6</v>
      </c>
      <c r="N151" s="12" t="n">
        <f aca="false">IF(E151=0,0,J151*7/E151)</f>
        <v>14.875</v>
      </c>
      <c r="O151" s="12" t="n">
        <f aca="false">IF(E151=0,0,(H151+K151)/E151)</f>
        <v>3.5</v>
      </c>
      <c r="P151" s="12" t="n">
        <f aca="false">IF(E151=0,0,L151*7/E151)</f>
        <v>1.75</v>
      </c>
      <c r="Q151" s="12" t="n">
        <f aca="false">IF(E151=0,0,K151*7/E151)</f>
        <v>3.5</v>
      </c>
    </row>
    <row r="152" customFormat="false" ht="14.25" hidden="false" customHeight="true" outlineLevel="0" collapsed="false">
      <c r="A152" s="6" t="n">
        <v>2026</v>
      </c>
      <c r="B152" s="6" t="s">
        <v>71</v>
      </c>
      <c r="C152" s="6" t="s">
        <v>79</v>
      </c>
      <c r="D152" s="7" t="n">
        <v>14</v>
      </c>
      <c r="E152" s="11" t="n">
        <v>94</v>
      </c>
      <c r="F152" s="7" t="n">
        <v>10</v>
      </c>
      <c r="G152" s="7" t="n">
        <v>4</v>
      </c>
      <c r="H152" s="7" t="n">
        <v>130</v>
      </c>
      <c r="I152" s="7" t="n">
        <v>96</v>
      </c>
      <c r="J152" s="7" t="n">
        <v>59</v>
      </c>
      <c r="K152" s="7" t="n">
        <v>28</v>
      </c>
      <c r="L152" s="7" t="n">
        <v>11</v>
      </c>
      <c r="M152" s="7" t="n">
        <v>17</v>
      </c>
      <c r="N152" s="12" t="n">
        <f aca="false">IF(E152=0,0,J152*7/E152)</f>
        <v>4.3936170212766</v>
      </c>
      <c r="O152" s="12" t="n">
        <f aca="false">IF(E152=0,0,(H152+K152)/E152)</f>
        <v>1.68085106382979</v>
      </c>
      <c r="P152" s="12" t="n">
        <f aca="false">IF(E152=0,0,L152*7/E152)</f>
        <v>0.819148936170213</v>
      </c>
      <c r="Q152" s="12" t="n">
        <f aca="false">IF(E152=0,0,K152*7/E152)</f>
        <v>2.08510638297872</v>
      </c>
    </row>
    <row r="153" customFormat="false" ht="14.25" hidden="false" customHeight="true" outlineLevel="0" collapsed="false">
      <c r="A153" s="6" t="n">
        <v>2026</v>
      </c>
      <c r="B153" s="6" t="s">
        <v>71</v>
      </c>
      <c r="C153" s="6" t="s">
        <v>92</v>
      </c>
      <c r="D153" s="7" t="n">
        <v>1</v>
      </c>
      <c r="E153" s="11" t="n">
        <v>2</v>
      </c>
      <c r="F153" s="7" t="n">
        <v>0</v>
      </c>
      <c r="G153" s="7" t="n">
        <v>0</v>
      </c>
      <c r="H153" s="7" t="n">
        <v>4</v>
      </c>
      <c r="I153" s="7" t="n">
        <v>4</v>
      </c>
      <c r="J153" s="7" t="n">
        <v>3</v>
      </c>
      <c r="K153" s="7" t="n">
        <v>2</v>
      </c>
      <c r="L153" s="7" t="n">
        <v>0</v>
      </c>
      <c r="M153" s="7" t="n">
        <v>1</v>
      </c>
      <c r="N153" s="12" t="n">
        <f aca="false">IF(E153=0,0,J153*7/E153)</f>
        <v>10.5</v>
      </c>
      <c r="O153" s="12" t="n">
        <f aca="false">IF(E153=0,0,(H153+K153)/E153)</f>
        <v>3</v>
      </c>
      <c r="P153" s="12" t="n">
        <f aca="false">IF(E153=0,0,L153*7/E153)</f>
        <v>0</v>
      </c>
      <c r="Q153" s="12" t="n">
        <f aca="false">IF(E153=0,0,K153*7/E153)</f>
        <v>7</v>
      </c>
    </row>
    <row r="154" customFormat="false" ht="14.25" hidden="false" customHeight="true" outlineLevel="0" collapsed="false">
      <c r="A154" s="6" t="n">
        <v>2026</v>
      </c>
      <c r="B154" s="6" t="s">
        <v>97</v>
      </c>
      <c r="C154" s="6" t="s">
        <v>100</v>
      </c>
      <c r="D154" s="7" t="n">
        <v>12</v>
      </c>
      <c r="E154" s="11" t="n">
        <v>72.1</v>
      </c>
      <c r="F154" s="7" t="n">
        <v>0</v>
      </c>
      <c r="G154" s="7" t="n">
        <v>11</v>
      </c>
      <c r="H154" s="7" t="n">
        <v>130</v>
      </c>
      <c r="I154" s="7" t="n">
        <v>111</v>
      </c>
      <c r="J154" s="7" t="n">
        <v>79</v>
      </c>
      <c r="K154" s="7" t="n">
        <v>66</v>
      </c>
      <c r="L154" s="7" t="n">
        <v>12</v>
      </c>
      <c r="M154" s="7" t="n">
        <v>18</v>
      </c>
      <c r="N154" s="12" t="n">
        <v>7.65</v>
      </c>
      <c r="O154" s="12" t="n">
        <v>2.71</v>
      </c>
      <c r="P154" s="12" t="n">
        <v>1.16</v>
      </c>
      <c r="Q154" s="12" t="n">
        <v>6.39</v>
      </c>
    </row>
    <row r="155" customFormat="false" ht="14.25" hidden="false" customHeight="true" outlineLevel="0" collapsed="false">
      <c r="A155" s="6" t="n">
        <v>2026</v>
      </c>
      <c r="B155" s="6" t="s">
        <v>97</v>
      </c>
      <c r="C155" s="6" t="s">
        <v>115</v>
      </c>
      <c r="D155" s="7" t="n">
        <v>1</v>
      </c>
      <c r="E155" s="11" t="n">
        <v>3.2</v>
      </c>
      <c r="F155" s="7" t="n">
        <v>0</v>
      </c>
      <c r="G155" s="7" t="n">
        <v>1</v>
      </c>
      <c r="H155" s="7" t="n">
        <v>4</v>
      </c>
      <c r="I155" s="7" t="n">
        <v>8</v>
      </c>
      <c r="J155" s="7" t="n">
        <v>7</v>
      </c>
      <c r="K155" s="7" t="n">
        <v>10</v>
      </c>
      <c r="L155" s="7" t="n">
        <v>1</v>
      </c>
      <c r="M155" s="7" t="n">
        <v>1</v>
      </c>
      <c r="N155" s="12" t="n">
        <v>13.36</v>
      </c>
      <c r="O155" s="12" t="n">
        <v>3.82</v>
      </c>
      <c r="P155" s="12" t="n">
        <v>1.91</v>
      </c>
      <c r="Q155" s="12" t="n">
        <v>19.09</v>
      </c>
    </row>
    <row r="156" customFormat="false" ht="14.25" hidden="false" customHeight="true" outlineLevel="0" collapsed="false">
      <c r="A156" s="6" t="n">
        <v>2026</v>
      </c>
      <c r="B156" s="6" t="s">
        <v>121</v>
      </c>
      <c r="C156" s="6" t="s">
        <v>125</v>
      </c>
      <c r="D156" s="7" t="n">
        <v>14</v>
      </c>
      <c r="E156" s="11" t="n">
        <v>88.1</v>
      </c>
      <c r="F156" s="7" t="n">
        <v>9</v>
      </c>
      <c r="G156" s="7" t="n">
        <v>5</v>
      </c>
      <c r="H156" s="7" t="n">
        <v>108</v>
      </c>
      <c r="I156" s="7" t="n">
        <v>89</v>
      </c>
      <c r="J156" s="7" t="n">
        <v>74</v>
      </c>
      <c r="K156" s="7" t="n">
        <v>81</v>
      </c>
      <c r="L156" s="7" t="n">
        <v>15</v>
      </c>
      <c r="M156" s="7" t="n">
        <v>21</v>
      </c>
      <c r="N156" s="12" t="n">
        <v>5.86</v>
      </c>
      <c r="O156" s="12" t="n">
        <v>2.14</v>
      </c>
      <c r="P156" s="12" t="n">
        <v>1.19</v>
      </c>
      <c r="Q156" s="12" t="n">
        <v>6.42</v>
      </c>
    </row>
    <row r="157" customFormat="false" ht="14.25" hidden="false" customHeight="true" outlineLevel="0" collapsed="false">
      <c r="A157" s="6" t="n">
        <v>2026</v>
      </c>
      <c r="B157" s="6" t="s">
        <v>121</v>
      </c>
      <c r="C157" s="6" t="s">
        <v>137</v>
      </c>
      <c r="D157" s="7" t="n">
        <v>2</v>
      </c>
      <c r="E157" s="11" t="n">
        <v>2.2</v>
      </c>
      <c r="F157" s="7" t="n">
        <v>0</v>
      </c>
      <c r="G157" s="7" t="n">
        <v>0</v>
      </c>
      <c r="H157" s="7" t="n">
        <v>5</v>
      </c>
      <c r="I157" s="7" t="n">
        <v>3</v>
      </c>
      <c r="J157" s="7" t="n">
        <v>3</v>
      </c>
      <c r="K157" s="7" t="n">
        <v>0</v>
      </c>
      <c r="L157" s="7" t="n">
        <v>2</v>
      </c>
      <c r="M157" s="7" t="n">
        <v>2</v>
      </c>
      <c r="N157" s="12" t="n">
        <v>7.88</v>
      </c>
      <c r="O157" s="12" t="n">
        <v>1.88</v>
      </c>
      <c r="P157" s="12" t="n">
        <v>5.25</v>
      </c>
      <c r="Q157" s="12" t="n">
        <v>0</v>
      </c>
    </row>
    <row r="158" customFormat="false" ht="14.25" hidden="false" customHeight="true" outlineLevel="0" collapsed="false">
      <c r="A158" s="6" t="n">
        <v>2026</v>
      </c>
      <c r="B158" s="6" t="s">
        <v>147</v>
      </c>
      <c r="C158" s="6" t="s">
        <v>154</v>
      </c>
      <c r="D158" s="7" t="n">
        <v>13</v>
      </c>
      <c r="E158" s="11" t="n">
        <v>85</v>
      </c>
      <c r="F158" s="7" t="n">
        <v>7</v>
      </c>
      <c r="G158" s="7" t="n">
        <v>6</v>
      </c>
      <c r="H158" s="7" t="n">
        <v>92</v>
      </c>
      <c r="I158" s="7" t="n">
        <v>56</v>
      </c>
      <c r="J158" s="7" t="n">
        <v>36</v>
      </c>
      <c r="K158" s="7" t="n">
        <v>23</v>
      </c>
      <c r="L158" s="7" t="n">
        <v>47</v>
      </c>
      <c r="M158" s="7" t="n">
        <v>13</v>
      </c>
      <c r="N158" s="12" t="n">
        <f aca="false">IF(E158=0,0,J158*7/E158)</f>
        <v>2.96470588235294</v>
      </c>
      <c r="O158" s="12" t="n">
        <f aca="false">IF(E158=0,0,(H158+K158)/E158)</f>
        <v>1.35294117647059</v>
      </c>
      <c r="P158" s="12" t="n">
        <f aca="false">IF(E158=0,0,L158*7/E158)</f>
        <v>3.87058823529412</v>
      </c>
      <c r="Q158" s="12" t="n">
        <f aca="false">IF(E158=0,0,K158*7/E158)</f>
        <v>1.89411764705882</v>
      </c>
    </row>
    <row r="159" customFormat="false" ht="14.25" hidden="false" customHeight="true" outlineLevel="0" collapsed="false">
      <c r="A159" s="6" t="n">
        <v>2026</v>
      </c>
      <c r="B159" s="6" t="s">
        <v>166</v>
      </c>
      <c r="C159" s="6" t="s">
        <v>173</v>
      </c>
      <c r="D159" s="7" t="n">
        <v>9</v>
      </c>
      <c r="E159" s="11" t="n">
        <v>60</v>
      </c>
      <c r="F159" s="7" t="n">
        <v>3</v>
      </c>
      <c r="G159" s="7" t="n">
        <v>6</v>
      </c>
      <c r="H159" s="7" t="n">
        <v>112</v>
      </c>
      <c r="I159" s="7" t="n">
        <v>72</v>
      </c>
      <c r="J159" s="7" t="n">
        <v>62</v>
      </c>
      <c r="K159" s="7" t="n">
        <v>18</v>
      </c>
      <c r="L159" s="7" t="n">
        <v>3</v>
      </c>
      <c r="M159" s="7" t="n">
        <v>17</v>
      </c>
      <c r="N159" s="12" t="n">
        <f aca="false">IF(E159=0,0,J159*7/E159)</f>
        <v>7.23333333333333</v>
      </c>
      <c r="O159" s="12" t="n">
        <f aca="false">IF(E159=0,0,(H159+K159)/E159)</f>
        <v>2.16666666666667</v>
      </c>
      <c r="P159" s="12" t="n">
        <f aca="false">IF(E159=0,0,L159*7/E159)</f>
        <v>0.35</v>
      </c>
      <c r="Q159" s="12" t="n">
        <f aca="false">IF(E159=0,0,K159*7/E159)</f>
        <v>2.1</v>
      </c>
    </row>
    <row r="160" customFormat="false" ht="14.25" hidden="false" customHeight="true" outlineLevel="0" collapsed="false">
      <c r="A160" s="6" t="n">
        <v>2026</v>
      </c>
      <c r="B160" s="6" t="s">
        <v>166</v>
      </c>
      <c r="C160" s="6" t="s">
        <v>178</v>
      </c>
      <c r="D160" s="7" t="n">
        <v>5</v>
      </c>
      <c r="E160" s="11" t="n">
        <v>33</v>
      </c>
      <c r="F160" s="7" t="n">
        <v>3</v>
      </c>
      <c r="G160" s="7" t="n">
        <v>2</v>
      </c>
      <c r="H160" s="7" t="n">
        <v>41</v>
      </c>
      <c r="I160" s="7" t="n">
        <v>25</v>
      </c>
      <c r="J160" s="7" t="n">
        <v>19</v>
      </c>
      <c r="K160" s="7" t="n">
        <v>23</v>
      </c>
      <c r="L160" s="7" t="n">
        <v>17</v>
      </c>
      <c r="M160" s="7" t="n">
        <v>5</v>
      </c>
      <c r="N160" s="12" t="n">
        <f aca="false">IF(E160=0,0,J160*7/E160)</f>
        <v>4.03030303030303</v>
      </c>
      <c r="O160" s="12" t="n">
        <f aca="false">IF(E160=0,0,(H160+K160)/E160)</f>
        <v>1.93939393939394</v>
      </c>
      <c r="P160" s="12" t="n">
        <f aca="false">IF(E160=0,0,L160*7/E160)</f>
        <v>3.60606060606061</v>
      </c>
      <c r="Q160" s="12" t="n">
        <f aca="false">IF(E160=0,0,K160*7/E160)</f>
        <v>4.87878787878788</v>
      </c>
    </row>
    <row r="161" customFormat="false" ht="14.25" hidden="false" customHeight="true" outlineLevel="0" collapsed="false">
      <c r="A161" s="1" t="n">
        <v>2026</v>
      </c>
      <c r="B161" s="1" t="s">
        <v>166</v>
      </c>
      <c r="C161" s="1" t="s">
        <v>175</v>
      </c>
      <c r="D161" s="1" t="n">
        <v>1</v>
      </c>
      <c r="E161" s="1" t="n">
        <v>1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f aca="false">IF(E161=0,0,J161*7/E161)</f>
        <v>0</v>
      </c>
      <c r="O161" s="1" t="n">
        <f aca="false">IF(E161=0,0,(H161+K161)/E161)</f>
        <v>0</v>
      </c>
      <c r="P161" s="1" t="n">
        <f aca="false">IF(E161=0,0,L161*7/E161)</f>
        <v>0</v>
      </c>
      <c r="Q161" s="1" t="n">
        <f aca="false">IF(E161=0,0,K161*7/E161)</f>
        <v>0</v>
      </c>
    </row>
    <row r="162" customFormat="false" ht="14.25" hidden="false" customHeight="true" outlineLevel="0" collapsed="false">
      <c r="A162" s="6" t="n">
        <v>2026</v>
      </c>
      <c r="B162" s="6" t="s">
        <v>192</v>
      </c>
      <c r="C162" s="6" t="s">
        <v>198</v>
      </c>
      <c r="D162" s="7" t="n">
        <v>14</v>
      </c>
      <c r="E162" s="11" t="n">
        <v>100</v>
      </c>
      <c r="F162" s="7" t="n">
        <v>12</v>
      </c>
      <c r="G162" s="7" t="n">
        <v>2</v>
      </c>
      <c r="H162" s="7" t="n">
        <v>97</v>
      </c>
      <c r="I162" s="7" t="n">
        <v>60</v>
      </c>
      <c r="J162" s="7" t="n">
        <v>43</v>
      </c>
      <c r="K162" s="7" t="n">
        <v>35</v>
      </c>
      <c r="L162" s="7" t="n">
        <v>19</v>
      </c>
      <c r="M162" s="7" t="n">
        <v>16</v>
      </c>
      <c r="N162" s="12" t="n">
        <f aca="false">IF(E162=0,0,J162*7/E162)</f>
        <v>3.01</v>
      </c>
      <c r="O162" s="12" t="n">
        <f aca="false">IF(E162=0,0,(H162+K162)/E162)</f>
        <v>1.32</v>
      </c>
      <c r="P162" s="12" t="n">
        <f aca="false">IF(E162=0,0,L162*7/E162)</f>
        <v>1.33</v>
      </c>
      <c r="Q162" s="12" t="n">
        <f aca="false">IF(E162=0,0,K162*7/E162)</f>
        <v>2.45</v>
      </c>
    </row>
    <row r="163" customFormat="false" ht="14.25" hidden="false" customHeight="true" outlineLevel="0" collapsed="false">
      <c r="A163" s="6" t="n">
        <v>2026</v>
      </c>
      <c r="B163" s="6" t="s">
        <v>192</v>
      </c>
      <c r="C163" s="6" t="s">
        <v>194</v>
      </c>
      <c r="D163" s="7" t="n">
        <v>1</v>
      </c>
      <c r="E163" s="11" t="n">
        <v>1</v>
      </c>
      <c r="F163" s="7" t="n">
        <v>0</v>
      </c>
      <c r="G163" s="7" t="n">
        <v>0</v>
      </c>
      <c r="H163" s="7" t="n">
        <v>1</v>
      </c>
      <c r="I163" s="7" t="n">
        <v>0</v>
      </c>
      <c r="J163" s="7" t="n">
        <v>0</v>
      </c>
      <c r="K163" s="7" t="n">
        <v>1</v>
      </c>
      <c r="L163" s="7" t="n">
        <v>0</v>
      </c>
      <c r="M163" s="7" t="n">
        <v>0</v>
      </c>
      <c r="N163" s="12" t="n">
        <f aca="false">IF(E163=0,0,J163*7/E163)</f>
        <v>0</v>
      </c>
      <c r="O163" s="12" t="n">
        <f aca="false">IF(E163=0,0,(H163+K163)/E163)</f>
        <v>2</v>
      </c>
      <c r="P163" s="12" t="n">
        <f aca="false">IF(E163=0,0,L163*7/E163)</f>
        <v>0</v>
      </c>
      <c r="Q163" s="12" t="n">
        <f aca="false">IF(E163=0,0,K163*7/E163)</f>
        <v>7</v>
      </c>
    </row>
    <row r="164" customFormat="false" ht="14.25" hidden="false" customHeight="true" outlineLevel="0" collapsed="false">
      <c r="A164" s="6" t="n">
        <v>2026</v>
      </c>
      <c r="B164" s="6" t="s">
        <v>212</v>
      </c>
      <c r="C164" s="6" t="s">
        <v>214</v>
      </c>
      <c r="D164" s="7" t="n">
        <v>5</v>
      </c>
      <c r="E164" s="11" t="n">
        <v>21.1</v>
      </c>
      <c r="F164" s="7" t="n">
        <v>1</v>
      </c>
      <c r="G164" s="7" t="n">
        <v>3</v>
      </c>
      <c r="H164" s="7" t="n">
        <v>42</v>
      </c>
      <c r="I164" s="7" t="n">
        <v>32</v>
      </c>
      <c r="J164" s="7" t="n">
        <v>27</v>
      </c>
      <c r="K164" s="7" t="n">
        <v>11</v>
      </c>
      <c r="L164" s="7" t="n">
        <v>1</v>
      </c>
      <c r="M164" s="7" t="n">
        <v>8</v>
      </c>
      <c r="N164" s="12" t="n">
        <v>8.86</v>
      </c>
      <c r="O164" s="12" t="n">
        <v>2.48</v>
      </c>
      <c r="P164" s="12" t="n">
        <v>0.33</v>
      </c>
      <c r="Q164" s="12" t="n">
        <v>3.61</v>
      </c>
    </row>
    <row r="165" customFormat="false" ht="14.25" hidden="false" customHeight="true" outlineLevel="0" collapsed="false">
      <c r="A165" s="6" t="n">
        <v>2026</v>
      </c>
      <c r="B165" s="6" t="s">
        <v>212</v>
      </c>
      <c r="C165" s="6" t="s">
        <v>85</v>
      </c>
      <c r="D165" s="7" t="n">
        <v>7</v>
      </c>
      <c r="E165" s="11" t="n">
        <v>35.2</v>
      </c>
      <c r="F165" s="7" t="n">
        <v>1</v>
      </c>
      <c r="G165" s="7" t="n">
        <v>4</v>
      </c>
      <c r="H165" s="7" t="n">
        <v>57</v>
      </c>
      <c r="I165" s="7" t="n">
        <v>46</v>
      </c>
      <c r="J165" s="7" t="n">
        <v>41</v>
      </c>
      <c r="K165" s="7" t="n">
        <v>25</v>
      </c>
      <c r="L165" s="7" t="n">
        <v>6</v>
      </c>
      <c r="M165" s="7" t="n">
        <v>7</v>
      </c>
      <c r="N165" s="12" t="n">
        <v>8.05</v>
      </c>
      <c r="O165" s="12" t="n">
        <v>2.3</v>
      </c>
      <c r="P165" s="12" t="n">
        <v>1.18</v>
      </c>
      <c r="Q165" s="12" t="n">
        <v>4.91</v>
      </c>
    </row>
    <row r="166" customFormat="false" ht="14.25" hidden="false" customHeight="true" outlineLevel="0" collapsed="false">
      <c r="A166" s="6" t="n">
        <v>2026</v>
      </c>
      <c r="B166" s="6" t="s">
        <v>212</v>
      </c>
      <c r="C166" s="6" t="s">
        <v>215</v>
      </c>
      <c r="D166" s="7" t="n">
        <v>2</v>
      </c>
      <c r="E166" s="11" t="n">
        <v>7.2</v>
      </c>
      <c r="F166" s="7" t="n">
        <v>0</v>
      </c>
      <c r="G166" s="7" t="n">
        <v>1</v>
      </c>
      <c r="H166" s="7" t="n">
        <v>10</v>
      </c>
      <c r="I166" s="7" t="n">
        <v>6</v>
      </c>
      <c r="J166" s="7" t="n">
        <v>5</v>
      </c>
      <c r="K166" s="7" t="n">
        <v>6</v>
      </c>
      <c r="L166" s="7" t="n">
        <v>2</v>
      </c>
      <c r="M166" s="7" t="n">
        <v>0</v>
      </c>
      <c r="N166" s="12" t="n">
        <v>4.57</v>
      </c>
      <c r="O166" s="12" t="n">
        <v>2.09</v>
      </c>
      <c r="P166" s="12" t="n">
        <v>1.83</v>
      </c>
      <c r="Q166" s="12" t="n">
        <v>5.48</v>
      </c>
    </row>
    <row r="167" customFormat="false" ht="14.25" hidden="false" customHeight="true" outlineLevel="0" collapsed="false">
      <c r="A167" s="1" t="n">
        <v>2026</v>
      </c>
      <c r="B167" s="1" t="s">
        <v>212</v>
      </c>
      <c r="C167" s="1" t="s">
        <v>217</v>
      </c>
      <c r="D167" s="1" t="n">
        <v>1</v>
      </c>
      <c r="E167" s="1" t="n">
        <v>0.1</v>
      </c>
      <c r="F167" s="1" t="n">
        <v>0</v>
      </c>
      <c r="G167" s="1" t="n">
        <v>1</v>
      </c>
      <c r="H167" s="1" t="n">
        <v>11</v>
      </c>
      <c r="I167" s="1" t="n">
        <v>19</v>
      </c>
      <c r="J167" s="1" t="n">
        <v>12</v>
      </c>
      <c r="K167" s="1" t="n">
        <v>4</v>
      </c>
      <c r="L167" s="1" t="n">
        <v>0</v>
      </c>
      <c r="M167" s="1" t="n">
        <v>4</v>
      </c>
      <c r="N167" s="1" t="n">
        <v>252</v>
      </c>
      <c r="O167" s="1" t="n">
        <v>45</v>
      </c>
      <c r="P167" s="1" t="n">
        <v>0</v>
      </c>
      <c r="Q167" s="1" t="n">
        <v>84</v>
      </c>
    </row>
    <row r="168" customFormat="false" ht="14.25" hidden="false" customHeight="true" outlineLevel="0" collapsed="false">
      <c r="A168" s="1" t="n">
        <v>2026</v>
      </c>
      <c r="B168" s="1" t="s">
        <v>212</v>
      </c>
      <c r="C168" s="1" t="s">
        <v>216</v>
      </c>
      <c r="D168" s="1" t="n">
        <v>1</v>
      </c>
      <c r="E168" s="1" t="n">
        <v>3</v>
      </c>
      <c r="F168" s="1" t="n">
        <v>0</v>
      </c>
      <c r="G168" s="1" t="n">
        <v>0</v>
      </c>
      <c r="H168" s="1" t="n">
        <v>7</v>
      </c>
      <c r="I168" s="1" t="n">
        <v>4</v>
      </c>
      <c r="J168" s="1" t="n">
        <v>4</v>
      </c>
      <c r="K168" s="1" t="n">
        <v>0</v>
      </c>
      <c r="L168" s="1" t="n">
        <v>0</v>
      </c>
      <c r="M168" s="1" t="n">
        <v>1</v>
      </c>
      <c r="N168" s="1" t="n">
        <f aca="false">IF(E168=0,0,J168*7/E168)</f>
        <v>9.33333333333333</v>
      </c>
      <c r="O168" s="1" t="n">
        <f aca="false">IF(E168=0,0,(H168+K168)/E168)</f>
        <v>2.33333333333333</v>
      </c>
      <c r="P168" s="1" t="n">
        <f aca="false">IF(E168=0,0,L168*7/E168)</f>
        <v>0</v>
      </c>
      <c r="Q168" s="1" t="n">
        <f aca="false">IF(E168=0,0,K168*7/E168)</f>
        <v>0</v>
      </c>
    </row>
    <row r="169" customFormat="false" ht="14.25" hidden="false" customHeight="true" outlineLevel="0" collapsed="false">
      <c r="A169" s="6" t="n">
        <v>2026</v>
      </c>
      <c r="B169" s="6" t="s">
        <v>121</v>
      </c>
      <c r="C169" s="6" t="s">
        <v>122</v>
      </c>
      <c r="D169" s="7" t="n">
        <v>1</v>
      </c>
      <c r="E169" s="11" t="n">
        <v>1</v>
      </c>
      <c r="F169" s="7" t="n">
        <v>0</v>
      </c>
      <c r="G169" s="7" t="n">
        <v>0</v>
      </c>
      <c r="H169" s="7" t="n">
        <v>2</v>
      </c>
      <c r="I169" s="7" t="n">
        <v>1</v>
      </c>
      <c r="J169" s="7" t="n">
        <v>1</v>
      </c>
      <c r="K169" s="7" t="n">
        <v>0</v>
      </c>
      <c r="L169" s="7" t="n">
        <v>0</v>
      </c>
      <c r="M169" s="7" t="n">
        <v>0</v>
      </c>
      <c r="N169" s="12" t="n">
        <f aca="false">IF(E169=0,0,J169*7/E169)</f>
        <v>7</v>
      </c>
      <c r="O169" s="12" t="n">
        <f aca="false">IF(E169=0,0,(H169+K169)/E169)</f>
        <v>2</v>
      </c>
      <c r="P169" s="12" t="n">
        <f aca="false">IF(E169=0,0,L169*7/E169)</f>
        <v>0</v>
      </c>
      <c r="Q169" s="12" t="n">
        <f aca="false">IF(E169=0,0,K169*7/E169)</f>
        <v>0</v>
      </c>
    </row>
    <row r="170" customFormat="false" ht="14.25" hidden="false" customHeight="true" outlineLevel="0" collapsed="false">
      <c r="A170" s="6" t="n">
        <v>2026</v>
      </c>
      <c r="B170" s="6" t="s">
        <v>212</v>
      </c>
      <c r="C170" s="6" t="s">
        <v>219</v>
      </c>
      <c r="D170" s="7" t="n">
        <v>1</v>
      </c>
      <c r="E170" s="11" t="n">
        <v>2</v>
      </c>
      <c r="F170" s="7" t="n">
        <v>0</v>
      </c>
      <c r="G170" s="7" t="n">
        <v>0</v>
      </c>
      <c r="H170" s="7" t="n">
        <v>1</v>
      </c>
      <c r="I170" s="7" t="n">
        <v>0</v>
      </c>
      <c r="J170" s="7" t="n">
        <v>0</v>
      </c>
      <c r="K170" s="7" t="n">
        <v>1</v>
      </c>
      <c r="L170" s="7" t="n">
        <v>0</v>
      </c>
      <c r="M170" s="7" t="n">
        <v>0</v>
      </c>
      <c r="N170" s="12" t="n">
        <f aca="false">IF(E170=0,0,J170*7/E170)</f>
        <v>0</v>
      </c>
      <c r="O170" s="12" t="n">
        <f aca="false">IF(E170=0,0,(H170+K170)/E170)</f>
        <v>1</v>
      </c>
      <c r="P170" s="12" t="n">
        <f aca="false">IF(E170=0,0,L170*7/E170)</f>
        <v>0</v>
      </c>
      <c r="Q170" s="12" t="n">
        <f aca="false">IF(E170=0,0,K170*7/E170)</f>
        <v>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16"/>
    <col collapsed="false" customWidth="true" hidden="false" outlineLevel="0" max="3" min="3" style="1" width="9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7"/>
    <col collapsed="false" customWidth="true" hidden="false" outlineLevel="0" max="14" min="7" style="1" width="6"/>
    <col collapsed="false" customWidth="true" hidden="false" outlineLevel="0" max="15" min="15" style="1" width="7"/>
    <col collapsed="false" customWidth="true" hidden="false" outlineLevel="0" max="18" min="16" style="1" width="6"/>
  </cols>
  <sheetData>
    <row r="1" customFormat="false" ht="14.25" hidden="false" customHeight="true" outlineLevel="0" collapsed="false">
      <c r="A1" s="5" t="s">
        <v>641</v>
      </c>
      <c r="B1" s="5" t="s">
        <v>31</v>
      </c>
      <c r="C1" s="5" t="s">
        <v>530</v>
      </c>
      <c r="D1" s="5" t="s">
        <v>531</v>
      </c>
      <c r="E1" s="5" t="s">
        <v>33</v>
      </c>
      <c r="F1" s="5" t="s">
        <v>642</v>
      </c>
      <c r="G1" s="5" t="s">
        <v>643</v>
      </c>
      <c r="H1" s="5" t="s">
        <v>644</v>
      </c>
      <c r="I1" s="5" t="s">
        <v>36</v>
      </c>
      <c r="J1" s="5" t="s">
        <v>35</v>
      </c>
      <c r="K1" s="5" t="s">
        <v>645</v>
      </c>
      <c r="L1" s="5" t="s">
        <v>43</v>
      </c>
      <c r="M1" s="5" t="s">
        <v>44</v>
      </c>
      <c r="N1" s="5" t="s">
        <v>39</v>
      </c>
      <c r="O1" s="5" t="s">
        <v>646</v>
      </c>
      <c r="P1" s="5" t="s">
        <v>647</v>
      </c>
      <c r="Q1" s="5" t="s">
        <v>648</v>
      </c>
      <c r="R1" s="5" t="s">
        <v>649</v>
      </c>
    </row>
    <row r="2" customFormat="false" ht="14.25" hidden="false" customHeight="true" outlineLevel="0" collapsed="false">
      <c r="A2" s="6" t="s">
        <v>154</v>
      </c>
      <c r="B2" s="6" t="s">
        <v>147</v>
      </c>
      <c r="C2" s="7" t="n">
        <v>7</v>
      </c>
      <c r="D2" s="7" t="s">
        <v>536</v>
      </c>
      <c r="E2" s="7" t="n">
        <v>82</v>
      </c>
      <c r="F2" s="11" t="n">
        <v>561.2</v>
      </c>
      <c r="G2" s="7" t="n">
        <v>56</v>
      </c>
      <c r="H2" s="7" t="n">
        <v>20</v>
      </c>
      <c r="I2" s="7" t="n">
        <v>557</v>
      </c>
      <c r="J2" s="7" t="n">
        <v>311</v>
      </c>
      <c r="K2" s="7" t="n">
        <v>222</v>
      </c>
      <c r="L2" s="7" t="n">
        <v>213</v>
      </c>
      <c r="M2" s="7" t="n">
        <v>243</v>
      </c>
      <c r="N2" s="7" t="n">
        <v>71</v>
      </c>
      <c r="O2" s="12" t="n">
        <v>2.77</v>
      </c>
      <c r="P2" s="12" t="n">
        <v>1.37</v>
      </c>
      <c r="Q2" s="12" t="n">
        <v>3.03</v>
      </c>
      <c r="R2" s="12" t="n">
        <v>2.65</v>
      </c>
    </row>
    <row r="3" customFormat="false" ht="14.25" hidden="false" customHeight="true" outlineLevel="0" collapsed="false">
      <c r="A3" s="6" t="s">
        <v>178</v>
      </c>
      <c r="B3" s="6" t="s">
        <v>548</v>
      </c>
      <c r="C3" s="7" t="n">
        <v>7</v>
      </c>
      <c r="D3" s="7" t="s">
        <v>536</v>
      </c>
      <c r="E3" s="7" t="n">
        <v>73</v>
      </c>
      <c r="F3" s="11" t="n">
        <v>490.1</v>
      </c>
      <c r="G3" s="7" t="n">
        <v>39</v>
      </c>
      <c r="H3" s="7" t="n">
        <v>26</v>
      </c>
      <c r="I3" s="7" t="n">
        <v>529</v>
      </c>
      <c r="J3" s="7" t="n">
        <v>330</v>
      </c>
      <c r="K3" s="7" t="n">
        <v>222</v>
      </c>
      <c r="L3" s="7" t="n">
        <v>243</v>
      </c>
      <c r="M3" s="7" t="n">
        <v>192</v>
      </c>
      <c r="N3" s="7" t="n">
        <v>43</v>
      </c>
      <c r="O3" s="12" t="n">
        <v>3.17</v>
      </c>
      <c r="P3" s="12" t="n">
        <v>1.57</v>
      </c>
      <c r="Q3" s="12" t="n">
        <v>2.74</v>
      </c>
      <c r="R3" s="12" t="n">
        <v>3.47</v>
      </c>
    </row>
    <row r="4" customFormat="false" ht="14.25" hidden="false" customHeight="true" outlineLevel="0" collapsed="false">
      <c r="A4" s="6" t="s">
        <v>79</v>
      </c>
      <c r="B4" s="6" t="s">
        <v>71</v>
      </c>
      <c r="C4" s="7" t="n">
        <v>7</v>
      </c>
      <c r="D4" s="7" t="s">
        <v>536</v>
      </c>
      <c r="E4" s="7" t="n">
        <v>82</v>
      </c>
      <c r="F4" s="11" t="n">
        <v>539.1</v>
      </c>
      <c r="G4" s="7" t="n">
        <v>40</v>
      </c>
      <c r="H4" s="7" t="n">
        <v>30</v>
      </c>
      <c r="I4" s="7" t="n">
        <v>725</v>
      </c>
      <c r="J4" s="7" t="n">
        <v>465</v>
      </c>
      <c r="K4" s="7" t="n">
        <v>323</v>
      </c>
      <c r="L4" s="7" t="n">
        <v>223</v>
      </c>
      <c r="M4" s="7" t="n">
        <v>82</v>
      </c>
      <c r="N4" s="7" t="n">
        <v>86</v>
      </c>
      <c r="O4" s="12" t="n">
        <v>4.19</v>
      </c>
      <c r="P4" s="12" t="n">
        <v>1.76</v>
      </c>
      <c r="Q4" s="12" t="n">
        <v>1.06</v>
      </c>
      <c r="R4" s="12" t="n">
        <v>2.89</v>
      </c>
    </row>
    <row r="5" customFormat="false" ht="14.25" hidden="false" customHeight="true" outlineLevel="0" collapsed="false">
      <c r="A5" s="6" t="s">
        <v>198</v>
      </c>
      <c r="B5" s="6" t="s">
        <v>192</v>
      </c>
      <c r="C5" s="7" t="n">
        <v>7</v>
      </c>
      <c r="D5" s="7" t="s">
        <v>536</v>
      </c>
      <c r="E5" s="7" t="n">
        <v>70</v>
      </c>
      <c r="F5" s="11" t="n">
        <v>480.2</v>
      </c>
      <c r="G5" s="7" t="n">
        <v>34</v>
      </c>
      <c r="H5" s="7" t="n">
        <v>29</v>
      </c>
      <c r="I5" s="7" t="n">
        <v>493</v>
      </c>
      <c r="J5" s="7" t="n">
        <v>324</v>
      </c>
      <c r="K5" s="7" t="n">
        <v>245</v>
      </c>
      <c r="L5" s="7" t="n">
        <v>257</v>
      </c>
      <c r="M5" s="7" t="n">
        <v>113</v>
      </c>
      <c r="N5" s="7" t="n">
        <v>72</v>
      </c>
      <c r="O5" s="12" t="n">
        <v>3.57</v>
      </c>
      <c r="P5" s="12" t="n">
        <v>1.56</v>
      </c>
      <c r="Q5" s="12" t="n">
        <v>1.65</v>
      </c>
      <c r="R5" s="12" t="n">
        <v>3.74</v>
      </c>
    </row>
    <row r="6" customFormat="false" ht="14.25" hidden="false" customHeight="true" outlineLevel="0" collapsed="false">
      <c r="A6" s="6" t="s">
        <v>125</v>
      </c>
      <c r="B6" s="6" t="s">
        <v>121</v>
      </c>
      <c r="C6" s="7" t="n">
        <v>6</v>
      </c>
      <c r="D6" s="7" t="s">
        <v>541</v>
      </c>
      <c r="E6" s="7" t="n">
        <v>65</v>
      </c>
      <c r="F6" s="11" t="n">
        <v>410.1</v>
      </c>
      <c r="G6" s="7" t="n">
        <v>32</v>
      </c>
      <c r="H6" s="7" t="n">
        <v>22</v>
      </c>
      <c r="I6" s="7" t="n">
        <v>496</v>
      </c>
      <c r="J6" s="7" t="n">
        <v>355</v>
      </c>
      <c r="K6" s="7" t="n">
        <v>292</v>
      </c>
      <c r="L6" s="7" t="n">
        <v>298</v>
      </c>
      <c r="M6" s="7" t="n">
        <v>67</v>
      </c>
      <c r="N6" s="7" t="n">
        <v>60</v>
      </c>
      <c r="O6" s="12" t="n">
        <v>4.98</v>
      </c>
      <c r="P6" s="12" t="n">
        <v>1.94</v>
      </c>
      <c r="Q6" s="12" t="n">
        <v>1.14</v>
      </c>
      <c r="R6" s="12" t="n">
        <v>5.08</v>
      </c>
    </row>
    <row r="7" customFormat="false" ht="14.25" hidden="false" customHeight="true" outlineLevel="0" collapsed="false">
      <c r="A7" s="6" t="s">
        <v>53</v>
      </c>
      <c r="B7" s="6" t="s">
        <v>50</v>
      </c>
      <c r="C7" s="7" t="n">
        <v>6</v>
      </c>
      <c r="D7" s="7" t="s">
        <v>541</v>
      </c>
      <c r="E7" s="7" t="n">
        <v>45</v>
      </c>
      <c r="F7" s="11" t="n">
        <v>308.2</v>
      </c>
      <c r="G7" s="7" t="n">
        <v>26</v>
      </c>
      <c r="H7" s="7" t="n">
        <v>12</v>
      </c>
      <c r="I7" s="7" t="n">
        <v>365</v>
      </c>
      <c r="J7" s="7" t="n">
        <v>188</v>
      </c>
      <c r="K7" s="7" t="n">
        <v>149</v>
      </c>
      <c r="L7" s="7" t="n">
        <v>65</v>
      </c>
      <c r="M7" s="7" t="n">
        <v>34</v>
      </c>
      <c r="N7" s="7" t="n">
        <v>60</v>
      </c>
      <c r="O7" s="12" t="n">
        <v>3.38</v>
      </c>
      <c r="P7" s="12" t="n">
        <v>1.39</v>
      </c>
      <c r="Q7" s="12" t="n">
        <v>0.77</v>
      </c>
      <c r="R7" s="12" t="n">
        <v>1.47</v>
      </c>
    </row>
    <row r="8" customFormat="false" ht="14.25" hidden="false" customHeight="true" outlineLevel="0" collapsed="false">
      <c r="A8" s="6" t="s">
        <v>66</v>
      </c>
      <c r="B8" s="6" t="s">
        <v>50</v>
      </c>
      <c r="C8" s="7" t="n">
        <v>7</v>
      </c>
      <c r="D8" s="7" t="s">
        <v>536</v>
      </c>
      <c r="E8" s="7" t="n">
        <v>28</v>
      </c>
      <c r="F8" s="11" t="n">
        <v>185.2</v>
      </c>
      <c r="G8" s="7" t="n">
        <v>13</v>
      </c>
      <c r="H8" s="7" t="n">
        <v>11</v>
      </c>
      <c r="I8" s="7" t="n">
        <v>220</v>
      </c>
      <c r="J8" s="7" t="n">
        <v>135</v>
      </c>
      <c r="K8" s="7" t="n">
        <v>98</v>
      </c>
      <c r="L8" s="7" t="n">
        <v>72</v>
      </c>
      <c r="M8" s="7" t="n">
        <v>27</v>
      </c>
      <c r="N8" s="7" t="n">
        <v>27</v>
      </c>
      <c r="O8" s="12" t="n">
        <v>3.69</v>
      </c>
      <c r="P8" s="12" t="n">
        <v>1.57</v>
      </c>
      <c r="Q8" s="12" t="n">
        <v>1.02</v>
      </c>
      <c r="R8" s="12" t="n">
        <v>2.71</v>
      </c>
    </row>
    <row r="9" customFormat="false" ht="14.25" hidden="false" customHeight="true" outlineLevel="0" collapsed="false">
      <c r="A9" s="6" t="s">
        <v>85</v>
      </c>
      <c r="B9" s="6" t="s">
        <v>212</v>
      </c>
      <c r="C9" s="7" t="n">
        <v>7</v>
      </c>
      <c r="D9" s="7" t="s">
        <v>536</v>
      </c>
      <c r="E9" s="7" t="n">
        <v>38</v>
      </c>
      <c r="F9" s="11" t="n">
        <v>214</v>
      </c>
      <c r="G9" s="7" t="n">
        <v>9</v>
      </c>
      <c r="H9" s="7" t="n">
        <v>22</v>
      </c>
      <c r="I9" s="7" t="n">
        <v>302</v>
      </c>
      <c r="J9" s="7" t="n">
        <v>233</v>
      </c>
      <c r="K9" s="7" t="n">
        <v>180</v>
      </c>
      <c r="L9" s="7" t="n">
        <v>178</v>
      </c>
      <c r="M9" s="7" t="n">
        <v>33</v>
      </c>
      <c r="N9" s="7" t="n">
        <v>44</v>
      </c>
      <c r="O9" s="12" t="n">
        <f aca="false">IF(F9=0,0,K9*7/F9)</f>
        <v>5.88785046728972</v>
      </c>
      <c r="P9" s="12" t="n">
        <f aca="false">IF(F9=0,0,(I9+L9)/F9)</f>
        <v>2.24299065420561</v>
      </c>
      <c r="Q9" s="12" t="n">
        <f aca="false">IF(F9=0,0,M9*7/F9)</f>
        <v>1.07943925233645</v>
      </c>
      <c r="R9" s="12" t="n">
        <f aca="false">IF(F9=0,0,L9*7/F9)</f>
        <v>5.82242990654206</v>
      </c>
    </row>
    <row r="10" customFormat="false" ht="14.25" hidden="false" customHeight="true" outlineLevel="0" collapsed="false">
      <c r="A10" s="6" t="s">
        <v>173</v>
      </c>
      <c r="B10" s="6" t="s">
        <v>166</v>
      </c>
      <c r="C10" s="7" t="n">
        <v>5</v>
      </c>
      <c r="D10" s="7" t="s">
        <v>652</v>
      </c>
      <c r="E10" s="7" t="n">
        <v>27</v>
      </c>
      <c r="F10" s="11" t="n">
        <v>173.1</v>
      </c>
      <c r="G10" s="7" t="n">
        <v>8</v>
      </c>
      <c r="H10" s="7" t="n">
        <v>17</v>
      </c>
      <c r="I10" s="7" t="n">
        <v>286</v>
      </c>
      <c r="J10" s="7" t="n">
        <v>180</v>
      </c>
      <c r="K10" s="7" t="n">
        <v>137</v>
      </c>
      <c r="L10" s="7" t="n">
        <v>65</v>
      </c>
      <c r="M10" s="7" t="n">
        <v>22</v>
      </c>
      <c r="N10" s="7" t="n">
        <v>38</v>
      </c>
      <c r="O10" s="12" t="n">
        <v>5.53</v>
      </c>
      <c r="P10" s="12" t="n">
        <v>2.03</v>
      </c>
      <c r="Q10" s="12" t="n">
        <v>0.89</v>
      </c>
      <c r="R10" s="12" t="n">
        <v>2.63</v>
      </c>
    </row>
    <row r="11" customFormat="false" ht="14.25" hidden="false" customHeight="true" outlineLevel="0" collapsed="false">
      <c r="A11" s="6" t="s">
        <v>64</v>
      </c>
      <c r="B11" s="6" t="s">
        <v>50</v>
      </c>
      <c r="C11" s="7" t="n">
        <v>5</v>
      </c>
      <c r="D11" s="7" t="s">
        <v>653</v>
      </c>
      <c r="E11" s="7" t="n">
        <v>11</v>
      </c>
      <c r="F11" s="11" t="n">
        <v>72</v>
      </c>
      <c r="G11" s="7" t="n">
        <v>7</v>
      </c>
      <c r="H11" s="7" t="n">
        <v>2</v>
      </c>
      <c r="I11" s="7" t="n">
        <v>85</v>
      </c>
      <c r="J11" s="7" t="n">
        <v>52</v>
      </c>
      <c r="K11" s="7" t="n">
        <v>38</v>
      </c>
      <c r="L11" s="7" t="n">
        <v>13</v>
      </c>
      <c r="M11" s="7" t="n">
        <v>7</v>
      </c>
      <c r="N11" s="7" t="n">
        <v>12</v>
      </c>
      <c r="O11" s="12" t="n">
        <f aca="false">IF(F11=0,0,K11*7/F11)</f>
        <v>3.69444444444444</v>
      </c>
      <c r="P11" s="12" t="n">
        <f aca="false">IF(F11=0,0,(I11+L11)/F11)</f>
        <v>1.36111111111111</v>
      </c>
      <c r="Q11" s="12" t="n">
        <f aca="false">IF(F11=0,0,M11*7/F11)</f>
        <v>0.680555555555556</v>
      </c>
      <c r="R11" s="12" t="n">
        <f aca="false">IF(F11=0,0,L11*7/F11)</f>
        <v>1.26388888888889</v>
      </c>
    </row>
    <row r="12" customFormat="false" ht="14.25" hidden="false" customHeight="true" outlineLevel="0" collapsed="false">
      <c r="A12" s="6" t="s">
        <v>122</v>
      </c>
      <c r="B12" s="6" t="s">
        <v>121</v>
      </c>
      <c r="C12" s="7" t="n">
        <v>6</v>
      </c>
      <c r="D12" s="7" t="s">
        <v>654</v>
      </c>
      <c r="E12" s="7" t="n">
        <v>19</v>
      </c>
      <c r="F12" s="11" t="n">
        <v>103</v>
      </c>
      <c r="G12" s="7" t="n">
        <v>5</v>
      </c>
      <c r="H12" s="7" t="n">
        <v>5</v>
      </c>
      <c r="I12" s="7" t="n">
        <v>121</v>
      </c>
      <c r="J12" s="7" t="n">
        <v>85</v>
      </c>
      <c r="K12" s="7" t="n">
        <v>78</v>
      </c>
      <c r="L12" s="7" t="n">
        <v>49</v>
      </c>
      <c r="M12" s="7" t="n">
        <v>17</v>
      </c>
      <c r="N12" s="7" t="n">
        <v>22</v>
      </c>
      <c r="O12" s="12" t="n">
        <f aca="false">IF(F12=0,0,K12*7/F12)</f>
        <v>5.30097087378641</v>
      </c>
      <c r="P12" s="12" t="n">
        <f aca="false">IF(F12=0,0,(I12+L12)/F12)</f>
        <v>1.6504854368932</v>
      </c>
      <c r="Q12" s="12" t="n">
        <f aca="false">IF(F12=0,0,M12*7/F12)</f>
        <v>1.15533980582524</v>
      </c>
      <c r="R12" s="12" t="n">
        <f aca="false">IF(F12=0,0,L12*7/F12)</f>
        <v>3.33009708737864</v>
      </c>
    </row>
    <row r="13" customFormat="false" ht="14.25" hidden="false" customHeight="true" outlineLevel="0" collapsed="false">
      <c r="A13" s="6" t="s">
        <v>215</v>
      </c>
      <c r="B13" s="6" t="s">
        <v>212</v>
      </c>
      <c r="C13" s="7" t="n">
        <v>6</v>
      </c>
      <c r="D13" s="7" t="s">
        <v>541</v>
      </c>
      <c r="E13" s="7" t="n">
        <v>26</v>
      </c>
      <c r="F13" s="11" t="n">
        <v>142</v>
      </c>
      <c r="G13" s="7" t="n">
        <v>5</v>
      </c>
      <c r="H13" s="7" t="n">
        <v>14</v>
      </c>
      <c r="I13" s="7" t="n">
        <v>201</v>
      </c>
      <c r="J13" s="7" t="n">
        <v>145</v>
      </c>
      <c r="K13" s="7" t="n">
        <v>100</v>
      </c>
      <c r="L13" s="7" t="n">
        <v>61</v>
      </c>
      <c r="M13" s="7" t="n">
        <v>18</v>
      </c>
      <c r="N13" s="7" t="n">
        <v>26</v>
      </c>
      <c r="O13" s="12" t="n">
        <f aca="false">IF(F13=0,0,K13*7/F13)</f>
        <v>4.92957746478873</v>
      </c>
      <c r="P13" s="12" t="n">
        <f aca="false">IF(F13=0,0,(I13+L13)/F13)</f>
        <v>1.84507042253521</v>
      </c>
      <c r="Q13" s="12" t="n">
        <f aca="false">IF(F13=0,0,M13*7/F13)</f>
        <v>0.887323943661972</v>
      </c>
      <c r="R13" s="12" t="n">
        <f aca="false">IF(F13=0,0,L13*7/F13)</f>
        <v>3.00704225352113</v>
      </c>
    </row>
    <row r="14" customFormat="false" ht="14.25" hidden="false" customHeight="true" outlineLevel="0" collapsed="false">
      <c r="A14" s="6" t="s">
        <v>214</v>
      </c>
      <c r="B14" s="6" t="s">
        <v>212</v>
      </c>
      <c r="C14" s="7" t="n">
        <v>7</v>
      </c>
      <c r="D14" s="7" t="s">
        <v>536</v>
      </c>
      <c r="E14" s="7" t="n">
        <v>23</v>
      </c>
      <c r="F14" s="11" t="n">
        <v>100.2</v>
      </c>
      <c r="G14" s="7" t="n">
        <v>4</v>
      </c>
      <c r="H14" s="7" t="n">
        <v>9</v>
      </c>
      <c r="I14" s="7" t="n">
        <v>147</v>
      </c>
      <c r="J14" s="7" t="n">
        <v>106</v>
      </c>
      <c r="K14" s="7" t="n">
        <v>73</v>
      </c>
      <c r="L14" s="7" t="n">
        <v>46</v>
      </c>
      <c r="M14" s="7" t="n">
        <v>9</v>
      </c>
      <c r="N14" s="7" t="n">
        <v>22</v>
      </c>
      <c r="O14" s="12" t="n">
        <v>5.08</v>
      </c>
      <c r="P14" s="12" t="n">
        <v>1.92</v>
      </c>
      <c r="Q14" s="12" t="n">
        <v>0.63</v>
      </c>
      <c r="R14" s="12" t="n">
        <v>3.2</v>
      </c>
    </row>
    <row r="15" customFormat="false" ht="14.25" hidden="false" customHeight="true" outlineLevel="0" collapsed="false">
      <c r="A15" s="6" t="s">
        <v>285</v>
      </c>
      <c r="B15" s="6" t="s">
        <v>97</v>
      </c>
      <c r="C15" s="7" t="n">
        <v>4</v>
      </c>
      <c r="D15" s="7" t="s">
        <v>561</v>
      </c>
      <c r="E15" s="7" t="n">
        <v>17</v>
      </c>
      <c r="F15" s="11" t="n">
        <v>89.2</v>
      </c>
      <c r="G15" s="7" t="n">
        <v>3</v>
      </c>
      <c r="H15" s="7" t="n">
        <v>7</v>
      </c>
      <c r="I15" s="7" t="n">
        <v>113</v>
      </c>
      <c r="J15" s="7" t="n">
        <v>106</v>
      </c>
      <c r="K15" s="7" t="n">
        <v>71</v>
      </c>
      <c r="L15" s="7" t="n">
        <v>80</v>
      </c>
      <c r="M15" s="7" t="n">
        <v>12</v>
      </c>
      <c r="N15" s="7" t="n">
        <v>16</v>
      </c>
      <c r="O15" s="12" t="n">
        <v>5.54</v>
      </c>
      <c r="P15" s="12" t="n">
        <v>2.15</v>
      </c>
      <c r="Q15" s="12" t="n">
        <v>0.94</v>
      </c>
      <c r="R15" s="12" t="n">
        <v>6.25</v>
      </c>
    </row>
    <row r="16" customFormat="false" ht="14.25" hidden="false" customHeight="true" outlineLevel="0" collapsed="false">
      <c r="A16" s="6" t="s">
        <v>132</v>
      </c>
      <c r="B16" s="6" t="s">
        <v>121</v>
      </c>
      <c r="C16" s="7" t="n">
        <v>4</v>
      </c>
      <c r="D16" s="7" t="s">
        <v>655</v>
      </c>
      <c r="E16" s="7" t="n">
        <v>7</v>
      </c>
      <c r="F16" s="11" t="n">
        <v>41</v>
      </c>
      <c r="G16" s="7" t="n">
        <v>2</v>
      </c>
      <c r="H16" s="7" t="n">
        <v>4</v>
      </c>
      <c r="I16" s="7" t="n">
        <v>56</v>
      </c>
      <c r="J16" s="7" t="n">
        <v>41</v>
      </c>
      <c r="K16" s="7" t="n">
        <v>32</v>
      </c>
      <c r="L16" s="7" t="n">
        <v>17</v>
      </c>
      <c r="M16" s="7" t="n">
        <v>2</v>
      </c>
      <c r="N16" s="7" t="n">
        <v>13</v>
      </c>
      <c r="O16" s="12" t="n">
        <f aca="false">IF(F16=0,0,K16*7/F16)</f>
        <v>5.46341463414634</v>
      </c>
      <c r="P16" s="12" t="n">
        <f aca="false">IF(F16=0,0,(I16+L16)/F16)</f>
        <v>1.78048780487805</v>
      </c>
      <c r="Q16" s="12" t="n">
        <f aca="false">IF(F16=0,0,M16*7/F16)</f>
        <v>0.341463414634146</v>
      </c>
      <c r="R16" s="12" t="n">
        <f aca="false">IF(F16=0,0,L16*7/F16)</f>
        <v>2.90243902439024</v>
      </c>
    </row>
    <row r="17" customFormat="false" ht="14.25" hidden="false" customHeight="true" outlineLevel="0" collapsed="false">
      <c r="A17" s="6" t="s">
        <v>144</v>
      </c>
      <c r="B17" s="6" t="s">
        <v>121</v>
      </c>
      <c r="C17" s="7" t="n">
        <v>3</v>
      </c>
      <c r="D17" s="7" t="s">
        <v>656</v>
      </c>
      <c r="E17" s="7" t="n">
        <v>9</v>
      </c>
      <c r="F17" s="11" t="n">
        <v>40.1</v>
      </c>
      <c r="G17" s="7" t="n">
        <v>2</v>
      </c>
      <c r="H17" s="7" t="n">
        <v>3</v>
      </c>
      <c r="I17" s="7" t="n">
        <v>59</v>
      </c>
      <c r="J17" s="7" t="n">
        <v>43</v>
      </c>
      <c r="K17" s="7" t="n">
        <v>33</v>
      </c>
      <c r="L17" s="7" t="n">
        <v>6</v>
      </c>
      <c r="M17" s="7" t="n">
        <v>2</v>
      </c>
      <c r="N17" s="7" t="n">
        <v>15</v>
      </c>
      <c r="O17" s="12" t="n">
        <v>5.73</v>
      </c>
      <c r="P17" s="12" t="n">
        <v>1.61</v>
      </c>
      <c r="Q17" s="12" t="n">
        <v>0.35</v>
      </c>
      <c r="R17" s="12" t="n">
        <v>1.04</v>
      </c>
    </row>
    <row r="18" customFormat="false" ht="14.25" hidden="false" customHeight="true" outlineLevel="0" collapsed="false">
      <c r="A18" s="6" t="s">
        <v>52</v>
      </c>
      <c r="B18" s="6" t="s">
        <v>50</v>
      </c>
      <c r="C18" s="7" t="n">
        <v>1</v>
      </c>
      <c r="D18" s="7" t="s">
        <v>571</v>
      </c>
      <c r="E18" s="7" t="n">
        <v>5</v>
      </c>
      <c r="F18" s="11" t="n">
        <v>27.1</v>
      </c>
      <c r="G18" s="7" t="n">
        <v>1</v>
      </c>
      <c r="H18" s="7" t="n">
        <v>4</v>
      </c>
      <c r="I18" s="7" t="n">
        <v>44</v>
      </c>
      <c r="J18" s="7" t="n">
        <v>38</v>
      </c>
      <c r="K18" s="7" t="n">
        <v>31</v>
      </c>
      <c r="L18" s="7" t="n">
        <v>18</v>
      </c>
      <c r="M18" s="7" t="n">
        <v>5</v>
      </c>
      <c r="N18" s="7" t="n">
        <v>9</v>
      </c>
      <c r="O18" s="12" t="n">
        <v>7.94</v>
      </c>
      <c r="P18" s="12" t="n">
        <v>2.27</v>
      </c>
      <c r="Q18" s="12" t="n">
        <v>1.28</v>
      </c>
      <c r="R18" s="12" t="n">
        <v>4.61</v>
      </c>
    </row>
    <row r="19" customFormat="false" ht="14.25" hidden="false" customHeight="true" outlineLevel="0" collapsed="false">
      <c r="A19" s="6" t="s">
        <v>51</v>
      </c>
      <c r="B19" s="6" t="s">
        <v>50</v>
      </c>
      <c r="C19" s="7" t="n">
        <v>3</v>
      </c>
      <c r="D19" s="7" t="s">
        <v>552</v>
      </c>
      <c r="E19" s="7" t="n">
        <v>8</v>
      </c>
      <c r="F19" s="11" t="n">
        <v>21</v>
      </c>
      <c r="G19" s="7" t="n">
        <v>1</v>
      </c>
      <c r="H19" s="7" t="n">
        <v>1</v>
      </c>
      <c r="I19" s="7" t="n">
        <v>31</v>
      </c>
      <c r="J19" s="7" t="n">
        <v>26</v>
      </c>
      <c r="K19" s="7" t="n">
        <v>19</v>
      </c>
      <c r="L19" s="7" t="n">
        <v>10</v>
      </c>
      <c r="M19" s="7" t="n">
        <v>5</v>
      </c>
      <c r="N19" s="7" t="n">
        <v>6</v>
      </c>
      <c r="O19" s="12" t="n">
        <f aca="false">IF(F19=0,0,K19*7/F19)</f>
        <v>6.33333333333333</v>
      </c>
      <c r="P19" s="12" t="n">
        <f aca="false">IF(F19=0,0,(I19+L19)/F19)</f>
        <v>1.95238095238095</v>
      </c>
      <c r="Q19" s="12" t="n">
        <f aca="false">IF(F19=0,0,M19*7/F19)</f>
        <v>1.66666666666667</v>
      </c>
      <c r="R19" s="12" t="n">
        <f aca="false">IF(F19=0,0,L19*7/F19)</f>
        <v>3.33333333333333</v>
      </c>
    </row>
    <row r="20" customFormat="false" ht="14.25" hidden="false" customHeight="true" outlineLevel="0" collapsed="false">
      <c r="A20" s="6" t="s">
        <v>73</v>
      </c>
      <c r="B20" s="6" t="s">
        <v>71</v>
      </c>
      <c r="C20" s="7" t="n">
        <v>1</v>
      </c>
      <c r="D20" s="7" t="s">
        <v>568</v>
      </c>
      <c r="E20" s="7" t="n">
        <v>4</v>
      </c>
      <c r="F20" s="11" t="n">
        <v>10</v>
      </c>
      <c r="G20" s="7" t="n">
        <v>1</v>
      </c>
      <c r="H20" s="7" t="n">
        <v>0</v>
      </c>
      <c r="I20" s="7" t="n">
        <v>16</v>
      </c>
      <c r="J20" s="7" t="n">
        <v>9</v>
      </c>
      <c r="K20" s="7" t="n">
        <v>7</v>
      </c>
      <c r="L20" s="7" t="n">
        <v>6</v>
      </c>
      <c r="M20" s="7" t="n">
        <v>3</v>
      </c>
      <c r="N20" s="7" t="n">
        <v>1</v>
      </c>
      <c r="O20" s="12" t="n">
        <f aca="false">IF(F20=0,0,K20*7/F20)</f>
        <v>4.9</v>
      </c>
      <c r="P20" s="12" t="n">
        <f aca="false">IF(F20=0,0,(I20+L20)/F20)</f>
        <v>2.2</v>
      </c>
      <c r="Q20" s="12" t="n">
        <f aca="false">IF(F20=0,0,M20*7/F20)</f>
        <v>2.1</v>
      </c>
      <c r="R20" s="12" t="n">
        <f aca="false">IF(F20=0,0,L20*7/F20)</f>
        <v>4.2</v>
      </c>
    </row>
    <row r="21" customFormat="false" ht="14.25" hidden="false" customHeight="true" outlineLevel="0" collapsed="false">
      <c r="A21" s="6" t="s">
        <v>100</v>
      </c>
      <c r="B21" s="6" t="s">
        <v>97</v>
      </c>
      <c r="C21" s="7" t="n">
        <v>2</v>
      </c>
      <c r="D21" s="7" t="s">
        <v>562</v>
      </c>
      <c r="E21" s="7" t="n">
        <v>18</v>
      </c>
      <c r="F21" s="11" t="n">
        <v>104.1</v>
      </c>
      <c r="G21" s="7" t="n">
        <v>1</v>
      </c>
      <c r="H21" s="7" t="n">
        <v>14</v>
      </c>
      <c r="I21" s="7" t="n">
        <v>172</v>
      </c>
      <c r="J21" s="7" t="n">
        <v>135</v>
      </c>
      <c r="K21" s="7" t="n">
        <v>102</v>
      </c>
      <c r="L21" s="7" t="n">
        <v>81</v>
      </c>
      <c r="M21" s="7" t="n">
        <v>15</v>
      </c>
      <c r="N21" s="7" t="n">
        <v>22</v>
      </c>
      <c r="O21" s="12" t="n">
        <v>6.84</v>
      </c>
      <c r="P21" s="12" t="n">
        <v>2.42</v>
      </c>
      <c r="Q21" s="12" t="n">
        <v>1.01</v>
      </c>
      <c r="R21" s="12" t="n">
        <v>5.43</v>
      </c>
    </row>
    <row r="22" customFormat="false" ht="14.25" hidden="false" customHeight="true" outlineLevel="0" collapsed="false">
      <c r="A22" s="6" t="s">
        <v>418</v>
      </c>
      <c r="B22" s="6" t="s">
        <v>97</v>
      </c>
      <c r="C22" s="7" t="n">
        <v>1</v>
      </c>
      <c r="D22" s="7" t="s">
        <v>568</v>
      </c>
      <c r="E22" s="7" t="n">
        <v>5</v>
      </c>
      <c r="F22" s="11" t="n">
        <v>26.2</v>
      </c>
      <c r="G22" s="7" t="n">
        <v>1</v>
      </c>
      <c r="H22" s="7" t="n">
        <v>2</v>
      </c>
      <c r="I22" s="7" t="n">
        <v>40</v>
      </c>
      <c r="J22" s="7" t="n">
        <v>34</v>
      </c>
      <c r="K22" s="7" t="n">
        <v>23</v>
      </c>
      <c r="L22" s="7" t="n">
        <v>19</v>
      </c>
      <c r="M22" s="7" t="n">
        <v>2</v>
      </c>
      <c r="N22" s="7" t="n">
        <v>6</v>
      </c>
      <c r="O22" s="12" t="n">
        <v>6.04</v>
      </c>
      <c r="P22" s="12" t="n">
        <v>2.21</v>
      </c>
      <c r="Q22" s="12" t="n">
        <v>0.53</v>
      </c>
      <c r="R22" s="12" t="n">
        <v>4.99</v>
      </c>
    </row>
    <row r="23" customFormat="false" ht="14.25" hidden="false" customHeight="true" outlineLevel="0" collapsed="false">
      <c r="A23" s="6" t="s">
        <v>289</v>
      </c>
      <c r="B23" s="6" t="s">
        <v>97</v>
      </c>
      <c r="C23" s="7" t="n">
        <v>1</v>
      </c>
      <c r="D23" s="7" t="s">
        <v>568</v>
      </c>
      <c r="E23" s="7" t="n">
        <v>4</v>
      </c>
      <c r="F23" s="11" t="n">
        <v>22</v>
      </c>
      <c r="G23" s="7" t="n">
        <v>1</v>
      </c>
      <c r="H23" s="7" t="n">
        <v>3</v>
      </c>
      <c r="I23" s="7" t="n">
        <v>43</v>
      </c>
      <c r="J23" s="7" t="n">
        <v>33</v>
      </c>
      <c r="K23" s="7" t="n">
        <v>25</v>
      </c>
      <c r="L23" s="7" t="n">
        <v>10</v>
      </c>
      <c r="M23" s="7" t="n">
        <v>0</v>
      </c>
      <c r="N23" s="7" t="n">
        <v>10</v>
      </c>
      <c r="O23" s="12" t="n">
        <f aca="false">IF(F23=0,0,K23*7/F23)</f>
        <v>7.95454545454545</v>
      </c>
      <c r="P23" s="12" t="n">
        <f aca="false">IF(F23=0,0,(I23+L23)/F23)</f>
        <v>2.40909090909091</v>
      </c>
      <c r="Q23" s="12" t="n">
        <f aca="false">IF(F23=0,0,M23*7/F23)</f>
        <v>0</v>
      </c>
      <c r="R23" s="12" t="n">
        <f aca="false">IF(F23=0,0,L23*7/F23)</f>
        <v>3.18181818181818</v>
      </c>
    </row>
    <row r="24" customFormat="false" ht="14.25" hidden="false" customHeight="true" outlineLevel="0" collapsed="false">
      <c r="A24" s="6" t="s">
        <v>325</v>
      </c>
      <c r="B24" s="6" t="s">
        <v>97</v>
      </c>
      <c r="C24" s="7" t="n">
        <v>2</v>
      </c>
      <c r="D24" s="7" t="s">
        <v>635</v>
      </c>
      <c r="E24" s="7" t="n">
        <v>3</v>
      </c>
      <c r="F24" s="11" t="n">
        <v>21</v>
      </c>
      <c r="G24" s="7" t="n">
        <v>1</v>
      </c>
      <c r="H24" s="7" t="n">
        <v>2</v>
      </c>
      <c r="I24" s="7" t="n">
        <v>27</v>
      </c>
      <c r="J24" s="7" t="n">
        <v>24</v>
      </c>
      <c r="K24" s="7" t="n">
        <v>19</v>
      </c>
      <c r="L24" s="7" t="n">
        <v>14</v>
      </c>
      <c r="M24" s="7" t="n">
        <v>6</v>
      </c>
      <c r="N24" s="7" t="n">
        <v>6</v>
      </c>
      <c r="O24" s="12" t="n">
        <f aca="false">IF(F24=0,0,K24*7/F24)</f>
        <v>6.33333333333333</v>
      </c>
      <c r="P24" s="12" t="n">
        <f aca="false">IF(F24=0,0,(I24+L24)/F24)</f>
        <v>1.95238095238095</v>
      </c>
      <c r="Q24" s="12" t="n">
        <f aca="false">IF(F24=0,0,M24*7/F24)</f>
        <v>2</v>
      </c>
      <c r="R24" s="12" t="n">
        <f aca="false">IF(F24=0,0,L24*7/F24)</f>
        <v>4.66666666666667</v>
      </c>
    </row>
    <row r="25" customFormat="false" ht="14.25" hidden="false" customHeight="true" outlineLevel="0" collapsed="false">
      <c r="A25" s="6" t="s">
        <v>253</v>
      </c>
      <c r="B25" s="6" t="s">
        <v>97</v>
      </c>
      <c r="C25" s="7" t="n">
        <v>1</v>
      </c>
      <c r="D25" s="7" t="s">
        <v>601</v>
      </c>
      <c r="E25" s="7" t="n">
        <v>9</v>
      </c>
      <c r="F25" s="11" t="n">
        <v>41</v>
      </c>
      <c r="G25" s="7" t="n">
        <v>1</v>
      </c>
      <c r="H25" s="7" t="n">
        <v>7</v>
      </c>
      <c r="I25" s="7" t="n">
        <v>76</v>
      </c>
      <c r="J25" s="7" t="n">
        <v>59</v>
      </c>
      <c r="K25" s="7" t="n">
        <v>37</v>
      </c>
      <c r="L25" s="7" t="n">
        <v>19</v>
      </c>
      <c r="M25" s="7" t="n">
        <v>4</v>
      </c>
      <c r="N25" s="7" t="n">
        <v>6</v>
      </c>
      <c r="O25" s="12" t="n">
        <f aca="false">IF(F25=0,0,K25*7/F25)</f>
        <v>6.31707317073171</v>
      </c>
      <c r="P25" s="12" t="n">
        <f aca="false">IF(F25=0,0,(I25+L25)/F25)</f>
        <v>2.31707317073171</v>
      </c>
      <c r="Q25" s="12" t="n">
        <f aca="false">IF(F25=0,0,M25*7/F25)</f>
        <v>0.682926829268293</v>
      </c>
      <c r="R25" s="12" t="n">
        <f aca="false">IF(F25=0,0,L25*7/F25)</f>
        <v>3.24390243902439</v>
      </c>
    </row>
    <row r="26" customFormat="false" ht="14.25" hidden="false" customHeight="true" outlineLevel="0" collapsed="false">
      <c r="A26" s="6" t="s">
        <v>133</v>
      </c>
      <c r="B26" s="6" t="s">
        <v>121</v>
      </c>
      <c r="C26" s="7" t="n">
        <v>1</v>
      </c>
      <c r="D26" s="7" t="s">
        <v>571</v>
      </c>
      <c r="E26" s="7" t="n">
        <v>1</v>
      </c>
      <c r="F26" s="11" t="n">
        <v>7</v>
      </c>
      <c r="G26" s="7" t="n">
        <v>1</v>
      </c>
      <c r="H26" s="7" t="n">
        <v>0</v>
      </c>
      <c r="I26" s="7" t="n">
        <v>6</v>
      </c>
      <c r="J26" s="7" t="n">
        <v>2</v>
      </c>
      <c r="K26" s="7" t="n">
        <v>2</v>
      </c>
      <c r="L26" s="7" t="n">
        <v>2</v>
      </c>
      <c r="M26" s="7" t="n">
        <v>0</v>
      </c>
      <c r="N26" s="7" t="n">
        <v>0</v>
      </c>
      <c r="O26" s="12" t="n">
        <f aca="false">IF(F26=0,0,K26*7/F26)</f>
        <v>2</v>
      </c>
      <c r="P26" s="12" t="n">
        <f aca="false">IF(F26=0,0,(I26+L26)/F26)</f>
        <v>1.14285714285714</v>
      </c>
      <c r="Q26" s="12" t="n">
        <f aca="false">IF(F26=0,0,M26*7/F26)</f>
        <v>0</v>
      </c>
      <c r="R26" s="12" t="n">
        <f aca="false">IF(F26=0,0,L26*7/F26)</f>
        <v>2</v>
      </c>
    </row>
    <row r="27" customFormat="false" ht="14.25" hidden="false" customHeight="true" outlineLevel="0" collapsed="false">
      <c r="A27" s="6" t="s">
        <v>150</v>
      </c>
      <c r="B27" s="6" t="s">
        <v>147</v>
      </c>
      <c r="C27" s="7" t="n">
        <v>3</v>
      </c>
      <c r="D27" s="7" t="s">
        <v>656</v>
      </c>
      <c r="E27" s="7" t="n">
        <v>5</v>
      </c>
      <c r="F27" s="11" t="n">
        <v>19</v>
      </c>
      <c r="G27" s="7" t="n">
        <v>1</v>
      </c>
      <c r="H27" s="7" t="n">
        <v>1</v>
      </c>
      <c r="I27" s="7" t="n">
        <v>27</v>
      </c>
      <c r="J27" s="7" t="n">
        <v>25</v>
      </c>
      <c r="K27" s="7" t="n">
        <v>22</v>
      </c>
      <c r="L27" s="7" t="n">
        <v>20</v>
      </c>
      <c r="M27" s="7" t="n">
        <v>5</v>
      </c>
      <c r="N27" s="7" t="n">
        <v>5</v>
      </c>
      <c r="O27" s="12" t="n">
        <f aca="false">IF(F27=0,0,K27*7/F27)</f>
        <v>8.10526315789474</v>
      </c>
      <c r="P27" s="12" t="n">
        <f aca="false">IF(F27=0,0,(I27+L27)/F27)</f>
        <v>2.47368421052632</v>
      </c>
      <c r="Q27" s="12" t="n">
        <f aca="false">IF(F27=0,0,M27*7/F27)</f>
        <v>1.84210526315789</v>
      </c>
      <c r="R27" s="12" t="n">
        <f aca="false">IF(F27=0,0,L27*7/F27)</f>
        <v>7.36842105263158</v>
      </c>
    </row>
    <row r="28" customFormat="false" ht="14.25" hidden="false" customHeight="true" outlineLevel="0" collapsed="false">
      <c r="A28" s="6" t="s">
        <v>195</v>
      </c>
      <c r="B28" s="6" t="s">
        <v>192</v>
      </c>
      <c r="C28" s="7" t="n">
        <v>5</v>
      </c>
      <c r="D28" s="7" t="s">
        <v>577</v>
      </c>
      <c r="E28" s="7" t="n">
        <v>6</v>
      </c>
      <c r="F28" s="11" t="n">
        <v>23</v>
      </c>
      <c r="G28" s="7" t="n">
        <v>1</v>
      </c>
      <c r="H28" s="7" t="n">
        <v>2</v>
      </c>
      <c r="I28" s="7" t="n">
        <v>36</v>
      </c>
      <c r="J28" s="7" t="n">
        <v>29</v>
      </c>
      <c r="K28" s="7" t="n">
        <v>14</v>
      </c>
      <c r="L28" s="7" t="n">
        <v>11</v>
      </c>
      <c r="M28" s="7" t="n">
        <v>3</v>
      </c>
      <c r="N28" s="7" t="n">
        <v>4</v>
      </c>
      <c r="O28" s="12" t="n">
        <f aca="false">IF(F28=0,0,K28*7/F28)</f>
        <v>4.26086956521739</v>
      </c>
      <c r="P28" s="12" t="n">
        <f aca="false">IF(F28=0,0,(I28+L28)/F28)</f>
        <v>2.04347826086957</v>
      </c>
      <c r="Q28" s="12" t="n">
        <f aca="false">IF(F28=0,0,M28*7/F28)</f>
        <v>0.91304347826087</v>
      </c>
      <c r="R28" s="12" t="n">
        <f aca="false">IF(F28=0,0,L28*7/F28)</f>
        <v>3.34782608695652</v>
      </c>
    </row>
    <row r="29" customFormat="false" ht="14.25" hidden="false" customHeight="true" outlineLevel="0" collapsed="false">
      <c r="A29" s="6" t="s">
        <v>208</v>
      </c>
      <c r="B29" s="6" t="s">
        <v>192</v>
      </c>
      <c r="C29" s="7" t="n">
        <v>2</v>
      </c>
      <c r="D29" s="7" t="s">
        <v>564</v>
      </c>
      <c r="E29" s="7" t="n">
        <v>4</v>
      </c>
      <c r="F29" s="11" t="n">
        <v>15.2</v>
      </c>
      <c r="G29" s="7" t="n">
        <v>1</v>
      </c>
      <c r="H29" s="7" t="n">
        <v>0</v>
      </c>
      <c r="I29" s="7" t="n">
        <v>15</v>
      </c>
      <c r="J29" s="7" t="n">
        <v>9</v>
      </c>
      <c r="K29" s="7" t="n">
        <v>9</v>
      </c>
      <c r="L29" s="7" t="n">
        <v>9</v>
      </c>
      <c r="M29" s="7" t="n">
        <v>2</v>
      </c>
      <c r="N29" s="7" t="n">
        <v>3</v>
      </c>
      <c r="O29" s="12" t="n">
        <v>4.02</v>
      </c>
      <c r="P29" s="12" t="n">
        <v>1.53</v>
      </c>
      <c r="Q29" s="12" t="n">
        <v>0.89</v>
      </c>
      <c r="R29" s="12" t="n">
        <v>4.02</v>
      </c>
    </row>
    <row r="30" customFormat="false" ht="14.25" hidden="false" customHeight="true" outlineLevel="0" collapsed="false">
      <c r="A30" s="6" t="s">
        <v>85</v>
      </c>
      <c r="B30" s="6" t="s">
        <v>71</v>
      </c>
      <c r="C30" s="7" t="n">
        <v>3</v>
      </c>
      <c r="D30" s="7" t="s">
        <v>615</v>
      </c>
      <c r="E30" s="7" t="n">
        <v>6</v>
      </c>
      <c r="F30" s="11" t="n">
        <v>24</v>
      </c>
      <c r="G30" s="7" t="n">
        <v>0</v>
      </c>
      <c r="H30" s="7" t="n">
        <v>2</v>
      </c>
      <c r="I30" s="7" t="n">
        <v>40</v>
      </c>
      <c r="J30" s="7" t="n">
        <v>30</v>
      </c>
      <c r="K30" s="7" t="n">
        <v>17</v>
      </c>
      <c r="L30" s="7" t="n">
        <v>13</v>
      </c>
      <c r="M30" s="7" t="n">
        <v>4</v>
      </c>
      <c r="N30" s="7" t="n">
        <v>6</v>
      </c>
      <c r="O30" s="12" t="n">
        <f aca="false">IF(F30=0,0,K30*7/F30)</f>
        <v>4.95833333333333</v>
      </c>
      <c r="P30" s="12" t="n">
        <f aca="false">IF(F30=0,0,(I30+L30)/F30)</f>
        <v>2.20833333333333</v>
      </c>
      <c r="Q30" s="12" t="n">
        <f aca="false">IF(F30=0,0,M30*7/F30)</f>
        <v>1.16666666666667</v>
      </c>
      <c r="R30" s="12" t="n">
        <f aca="false">IF(F30=0,0,L30*7/F30)</f>
        <v>3.79166666666667</v>
      </c>
    </row>
    <row r="31" customFormat="false" ht="14.25" hidden="false" customHeight="true" outlineLevel="0" collapsed="false">
      <c r="A31" s="6" t="s">
        <v>92</v>
      </c>
      <c r="B31" s="6" t="s">
        <v>71</v>
      </c>
      <c r="C31" s="7" t="n">
        <v>1</v>
      </c>
      <c r="D31" s="7" t="s">
        <v>555</v>
      </c>
      <c r="E31" s="7" t="n">
        <v>1</v>
      </c>
      <c r="F31" s="11" t="n">
        <v>2</v>
      </c>
      <c r="G31" s="7" t="n">
        <v>0</v>
      </c>
      <c r="H31" s="7" t="n">
        <v>0</v>
      </c>
      <c r="I31" s="7" t="n">
        <v>4</v>
      </c>
      <c r="J31" s="7" t="n">
        <v>4</v>
      </c>
      <c r="K31" s="7" t="n">
        <v>3</v>
      </c>
      <c r="L31" s="7" t="n">
        <v>2</v>
      </c>
      <c r="M31" s="7" t="n">
        <v>0</v>
      </c>
      <c r="N31" s="7" t="n">
        <v>1</v>
      </c>
      <c r="O31" s="12" t="n">
        <f aca="false">IF(F31=0,0,K31*7/F31)</f>
        <v>10.5</v>
      </c>
      <c r="P31" s="12" t="n">
        <f aca="false">IF(F31=0,0,(I31+L31)/F31)</f>
        <v>3</v>
      </c>
      <c r="Q31" s="12" t="n">
        <f aca="false">IF(F31=0,0,M31*7/F31)</f>
        <v>0</v>
      </c>
      <c r="R31" s="12" t="n">
        <f aca="false">IF(F31=0,0,L31*7/F31)</f>
        <v>7</v>
      </c>
    </row>
    <row r="32" customFormat="false" ht="14.25" hidden="false" customHeight="true" outlineLevel="0" collapsed="false">
      <c r="A32" s="6" t="s">
        <v>281</v>
      </c>
      <c r="B32" s="6" t="s">
        <v>71</v>
      </c>
      <c r="C32" s="7" t="n">
        <v>1</v>
      </c>
      <c r="D32" s="7" t="s">
        <v>613</v>
      </c>
      <c r="E32" s="7" t="n">
        <v>1</v>
      </c>
      <c r="F32" s="11" t="n">
        <v>2</v>
      </c>
      <c r="G32" s="7" t="n">
        <v>0</v>
      </c>
      <c r="H32" s="7" t="n">
        <v>0</v>
      </c>
      <c r="I32" s="7" t="n">
        <v>3</v>
      </c>
      <c r="J32" s="7" t="n">
        <v>0</v>
      </c>
      <c r="K32" s="7" t="n">
        <v>0</v>
      </c>
      <c r="L32" s="7" t="n">
        <v>0</v>
      </c>
      <c r="M32" s="7" t="n">
        <v>0</v>
      </c>
      <c r="N32" s="7" t="n">
        <v>0</v>
      </c>
      <c r="O32" s="12" t="n">
        <f aca="false">IF(F32=0,0,K32*7/F32)</f>
        <v>0</v>
      </c>
      <c r="P32" s="12" t="n">
        <f aca="false">IF(F32=0,0,(I32+L32)/F32)</f>
        <v>1.5</v>
      </c>
      <c r="Q32" s="12" t="n">
        <f aca="false">IF(F32=0,0,M32*7/F32)</f>
        <v>0</v>
      </c>
      <c r="R32" s="12" t="n">
        <f aca="false">IF(F32=0,0,L32*7/F32)</f>
        <v>0</v>
      </c>
    </row>
    <row r="33" customFormat="false" ht="14.25" hidden="false" customHeight="true" outlineLevel="0" collapsed="false">
      <c r="A33" s="6" t="s">
        <v>86</v>
      </c>
      <c r="B33" s="6" t="s">
        <v>71</v>
      </c>
      <c r="C33" s="7" t="n">
        <v>1</v>
      </c>
      <c r="D33" s="7" t="s">
        <v>571</v>
      </c>
      <c r="E33" s="7" t="n">
        <v>1</v>
      </c>
      <c r="F33" s="11" t="n">
        <v>1</v>
      </c>
      <c r="G33" s="7" t="n">
        <v>0</v>
      </c>
      <c r="H33" s="7" t="n">
        <v>0</v>
      </c>
      <c r="I33" s="7" t="n">
        <v>3</v>
      </c>
      <c r="J33" s="7" t="n">
        <v>1</v>
      </c>
      <c r="K33" s="7" t="n">
        <v>1</v>
      </c>
      <c r="L33" s="7" t="n">
        <v>1</v>
      </c>
      <c r="M33" s="7" t="n">
        <v>0</v>
      </c>
      <c r="N33" s="7" t="n">
        <v>0</v>
      </c>
      <c r="O33" s="12" t="n">
        <f aca="false">IF(F33=0,0,K33*7/F33)</f>
        <v>7</v>
      </c>
      <c r="P33" s="12" t="n">
        <f aca="false">IF(F33=0,0,(I33+L33)/F33)</f>
        <v>4</v>
      </c>
      <c r="Q33" s="12" t="n">
        <f aca="false">IF(F33=0,0,M33*7/F33)</f>
        <v>0</v>
      </c>
      <c r="R33" s="12" t="n">
        <f aca="false">IF(F33=0,0,L33*7/F33)</f>
        <v>7</v>
      </c>
    </row>
    <row r="34" customFormat="false" ht="14.25" hidden="false" customHeight="true" outlineLevel="0" collapsed="false">
      <c r="A34" s="6" t="s">
        <v>117</v>
      </c>
      <c r="B34" s="6" t="s">
        <v>97</v>
      </c>
      <c r="C34" s="7" t="n">
        <v>2</v>
      </c>
      <c r="D34" s="7" t="s">
        <v>564</v>
      </c>
      <c r="E34" s="7" t="n">
        <v>11</v>
      </c>
      <c r="F34" s="11" t="n">
        <v>55.1</v>
      </c>
      <c r="G34" s="7" t="n">
        <v>0</v>
      </c>
      <c r="H34" s="7" t="n">
        <v>6</v>
      </c>
      <c r="I34" s="7" t="n">
        <v>83</v>
      </c>
      <c r="J34" s="7" t="n">
        <v>77</v>
      </c>
      <c r="K34" s="7" t="n">
        <v>57</v>
      </c>
      <c r="L34" s="7" t="n">
        <v>45</v>
      </c>
      <c r="M34" s="7" t="n">
        <v>12</v>
      </c>
      <c r="N34" s="7" t="n">
        <v>20</v>
      </c>
      <c r="O34" s="12" t="n">
        <v>7.21</v>
      </c>
      <c r="P34" s="12" t="n">
        <v>2.31</v>
      </c>
      <c r="Q34" s="12" t="n">
        <v>1.52</v>
      </c>
      <c r="R34" s="12" t="n">
        <v>5.69</v>
      </c>
    </row>
    <row r="35" customFormat="false" ht="14.25" hidden="false" customHeight="true" outlineLevel="0" collapsed="false">
      <c r="A35" s="6" t="s">
        <v>257</v>
      </c>
      <c r="B35" s="6" t="s">
        <v>97</v>
      </c>
      <c r="C35" s="7" t="n">
        <v>2</v>
      </c>
      <c r="D35" s="7" t="s">
        <v>609</v>
      </c>
      <c r="E35" s="7" t="n">
        <v>7</v>
      </c>
      <c r="F35" s="11" t="n">
        <v>27.1</v>
      </c>
      <c r="G35" s="7" t="n">
        <v>0</v>
      </c>
      <c r="H35" s="7" t="n">
        <v>1</v>
      </c>
      <c r="I35" s="7" t="n">
        <v>51</v>
      </c>
      <c r="J35" s="7" t="n">
        <v>45</v>
      </c>
      <c r="K35" s="7" t="n">
        <v>39</v>
      </c>
      <c r="L35" s="7" t="n">
        <v>23</v>
      </c>
      <c r="M35" s="7" t="n">
        <v>1</v>
      </c>
      <c r="N35" s="7" t="n">
        <v>11</v>
      </c>
      <c r="O35" s="12" t="n">
        <v>9.99</v>
      </c>
      <c r="P35" s="12" t="n">
        <v>2.71</v>
      </c>
      <c r="Q35" s="12" t="n">
        <v>0.26</v>
      </c>
      <c r="R35" s="12" t="n">
        <v>5.89</v>
      </c>
    </row>
    <row r="36" customFormat="false" ht="14.25" hidden="false" customHeight="true" outlineLevel="0" collapsed="false">
      <c r="A36" s="6" t="s">
        <v>327</v>
      </c>
      <c r="B36" s="6" t="s">
        <v>97</v>
      </c>
      <c r="C36" s="7" t="n">
        <v>1</v>
      </c>
      <c r="D36" s="7" t="s">
        <v>570</v>
      </c>
      <c r="E36" s="7" t="n">
        <v>2</v>
      </c>
      <c r="F36" s="11" t="n">
        <v>7.2</v>
      </c>
      <c r="G36" s="7" t="n">
        <v>0</v>
      </c>
      <c r="H36" s="7" t="n">
        <v>1</v>
      </c>
      <c r="I36" s="7" t="n">
        <v>12</v>
      </c>
      <c r="J36" s="7" t="n">
        <v>13</v>
      </c>
      <c r="K36" s="7" t="n">
        <v>12</v>
      </c>
      <c r="L36" s="7" t="n">
        <v>7</v>
      </c>
      <c r="M36" s="7" t="n">
        <v>1</v>
      </c>
      <c r="N36" s="7" t="n">
        <v>3</v>
      </c>
      <c r="O36" s="12" t="n">
        <v>10.96</v>
      </c>
      <c r="P36" s="12" t="n">
        <v>2.48</v>
      </c>
      <c r="Q36" s="12" t="n">
        <v>0.91</v>
      </c>
      <c r="R36" s="12" t="n">
        <v>6.39</v>
      </c>
    </row>
    <row r="37" customFormat="false" ht="14.25" hidden="false" customHeight="true" outlineLevel="0" collapsed="false">
      <c r="A37" s="6" t="s">
        <v>102</v>
      </c>
      <c r="B37" s="6" t="s">
        <v>97</v>
      </c>
      <c r="C37" s="7" t="n">
        <v>2</v>
      </c>
      <c r="D37" s="7" t="s">
        <v>657</v>
      </c>
      <c r="E37" s="7" t="n">
        <v>6</v>
      </c>
      <c r="F37" s="11" t="n">
        <v>21.2</v>
      </c>
      <c r="G37" s="7" t="n">
        <v>0</v>
      </c>
      <c r="H37" s="7" t="n">
        <v>3</v>
      </c>
      <c r="I37" s="7" t="n">
        <v>51</v>
      </c>
      <c r="J37" s="7" t="n">
        <v>61</v>
      </c>
      <c r="K37" s="7" t="n">
        <v>39</v>
      </c>
      <c r="L37" s="7" t="n">
        <v>25</v>
      </c>
      <c r="M37" s="7" t="n">
        <v>1</v>
      </c>
      <c r="N37" s="7" t="n">
        <v>15</v>
      </c>
      <c r="O37" s="12" t="n">
        <v>12.6</v>
      </c>
      <c r="P37" s="12" t="n">
        <v>3.51</v>
      </c>
      <c r="Q37" s="12" t="n">
        <v>0.32</v>
      </c>
      <c r="R37" s="12" t="n">
        <v>8.08</v>
      </c>
    </row>
    <row r="38" customFormat="false" ht="14.25" hidden="false" customHeight="true" outlineLevel="0" collapsed="false">
      <c r="A38" s="6" t="s">
        <v>328</v>
      </c>
      <c r="B38" s="6" t="s">
        <v>97</v>
      </c>
      <c r="C38" s="7" t="n">
        <v>1</v>
      </c>
      <c r="D38" s="7" t="s">
        <v>570</v>
      </c>
      <c r="E38" s="7" t="n">
        <v>1</v>
      </c>
      <c r="F38" s="11" t="n">
        <v>1</v>
      </c>
      <c r="G38" s="7" t="n">
        <v>0</v>
      </c>
      <c r="H38" s="7" t="n">
        <v>0</v>
      </c>
      <c r="I38" s="7" t="n">
        <v>1</v>
      </c>
      <c r="J38" s="7" t="n">
        <v>0</v>
      </c>
      <c r="K38" s="7" t="n">
        <v>0</v>
      </c>
      <c r="L38" s="7" t="n">
        <v>0</v>
      </c>
      <c r="M38" s="7" t="n">
        <v>1</v>
      </c>
      <c r="N38" s="7" t="n">
        <v>0</v>
      </c>
      <c r="O38" s="12" t="n">
        <f aca="false">IF(F38=0,0,K38*7/F38)</f>
        <v>0</v>
      </c>
      <c r="P38" s="12" t="n">
        <f aca="false">IF(F38=0,0,(I38+L38)/F38)</f>
        <v>1</v>
      </c>
      <c r="Q38" s="12" t="n">
        <f aca="false">IF(F38=0,0,M38*7/F38)</f>
        <v>7</v>
      </c>
      <c r="R38" s="12" t="n">
        <f aca="false">IF(F38=0,0,L38*7/F38)</f>
        <v>0</v>
      </c>
    </row>
    <row r="39" customFormat="false" ht="14.25" hidden="false" customHeight="true" outlineLevel="0" collapsed="false">
      <c r="A39" s="6" t="s">
        <v>108</v>
      </c>
      <c r="B39" s="6" t="s">
        <v>97</v>
      </c>
      <c r="C39" s="7" t="n">
        <v>1</v>
      </c>
      <c r="D39" s="7" t="s">
        <v>568</v>
      </c>
      <c r="E39" s="7" t="n">
        <v>1</v>
      </c>
      <c r="F39" s="11" t="n">
        <v>1</v>
      </c>
      <c r="G39" s="7" t="n">
        <v>0</v>
      </c>
      <c r="H39" s="7" t="n">
        <v>1</v>
      </c>
      <c r="I39" s="7" t="n">
        <v>3</v>
      </c>
      <c r="J39" s="7" t="n">
        <v>4</v>
      </c>
      <c r="K39" s="7" t="n">
        <v>4</v>
      </c>
      <c r="L39" s="7" t="n">
        <v>3</v>
      </c>
      <c r="M39" s="7" t="n">
        <v>0</v>
      </c>
      <c r="N39" s="7" t="n">
        <v>0</v>
      </c>
      <c r="O39" s="12" t="n">
        <f aca="false">IF(F39=0,0,K39*7/F39)</f>
        <v>28</v>
      </c>
      <c r="P39" s="12" t="n">
        <f aca="false">IF(F39=0,0,(I39+L39)/F39)</f>
        <v>6</v>
      </c>
      <c r="Q39" s="12" t="n">
        <f aca="false">IF(F39=0,0,M39*7/F39)</f>
        <v>0</v>
      </c>
      <c r="R39" s="12" t="n">
        <f aca="false">IF(F39=0,0,L39*7/F39)</f>
        <v>21</v>
      </c>
    </row>
    <row r="40" customFormat="false" ht="14.25" hidden="false" customHeight="true" outlineLevel="0" collapsed="false">
      <c r="A40" s="6" t="s">
        <v>137</v>
      </c>
      <c r="B40" s="6" t="s">
        <v>121</v>
      </c>
      <c r="C40" s="7" t="n">
        <v>1</v>
      </c>
      <c r="D40" s="7" t="s">
        <v>555</v>
      </c>
      <c r="E40" s="7" t="n">
        <v>2</v>
      </c>
      <c r="F40" s="11" t="n">
        <v>2.2</v>
      </c>
      <c r="G40" s="7" t="n">
        <v>0</v>
      </c>
      <c r="H40" s="7" t="n">
        <v>0</v>
      </c>
      <c r="I40" s="7" t="n">
        <v>5</v>
      </c>
      <c r="J40" s="7" t="n">
        <v>3</v>
      </c>
      <c r="K40" s="7" t="n">
        <v>3</v>
      </c>
      <c r="L40" s="7" t="n">
        <v>0</v>
      </c>
      <c r="M40" s="7" t="n">
        <v>2</v>
      </c>
      <c r="N40" s="7" t="n">
        <v>2</v>
      </c>
      <c r="O40" s="12" t="n">
        <v>7.88</v>
      </c>
      <c r="P40" s="12" t="n">
        <v>1.88</v>
      </c>
      <c r="Q40" s="12" t="n">
        <v>5.25</v>
      </c>
      <c r="R40" s="12" t="n">
        <v>0</v>
      </c>
    </row>
    <row r="41" customFormat="false" ht="14.25" hidden="false" customHeight="true" outlineLevel="0" collapsed="false">
      <c r="A41" s="6" t="s">
        <v>152</v>
      </c>
      <c r="B41" s="6" t="s">
        <v>147</v>
      </c>
      <c r="C41" s="7" t="n">
        <v>1</v>
      </c>
      <c r="D41" s="7" t="s">
        <v>570</v>
      </c>
      <c r="E41" s="7" t="n">
        <v>1</v>
      </c>
      <c r="F41" s="11" t="n">
        <v>7</v>
      </c>
      <c r="G41" s="7" t="n">
        <v>0</v>
      </c>
      <c r="H41" s="7" t="n">
        <v>0</v>
      </c>
      <c r="I41" s="7" t="n">
        <v>10</v>
      </c>
      <c r="J41" s="7" t="n">
        <v>5</v>
      </c>
      <c r="K41" s="7" t="n">
        <v>3</v>
      </c>
      <c r="L41" s="7" t="n">
        <v>6</v>
      </c>
      <c r="M41" s="7" t="n">
        <v>3</v>
      </c>
      <c r="N41" s="7" t="n">
        <v>0</v>
      </c>
      <c r="O41" s="12" t="n">
        <f aca="false">IF(F41=0,0,K41*7/F41)</f>
        <v>3</v>
      </c>
      <c r="P41" s="12" t="n">
        <f aca="false">IF(F41=0,0,(I41+L41)/F41)</f>
        <v>2.28571428571429</v>
      </c>
      <c r="Q41" s="12" t="n">
        <f aca="false">IF(F41=0,0,M41*7/F41)</f>
        <v>3</v>
      </c>
      <c r="R41" s="12" t="n">
        <f aca="false">IF(F41=0,0,L41*7/F41)</f>
        <v>6</v>
      </c>
    </row>
    <row r="42" customFormat="false" ht="14.25" hidden="false" customHeight="true" outlineLevel="0" collapsed="false">
      <c r="A42" s="6" t="s">
        <v>175</v>
      </c>
      <c r="B42" s="6" t="s">
        <v>166</v>
      </c>
      <c r="C42" s="7" t="n">
        <v>3</v>
      </c>
      <c r="D42" s="7" t="s">
        <v>658</v>
      </c>
      <c r="E42" s="7" t="n">
        <v>4</v>
      </c>
      <c r="F42" s="11" t="n">
        <v>9</v>
      </c>
      <c r="G42" s="7" t="n">
        <v>0</v>
      </c>
      <c r="H42" s="7" t="n">
        <v>1</v>
      </c>
      <c r="I42" s="7" t="n">
        <v>11</v>
      </c>
      <c r="J42" s="7" t="n">
        <v>10</v>
      </c>
      <c r="K42" s="7" t="n">
        <v>8</v>
      </c>
      <c r="L42" s="7" t="n">
        <v>7</v>
      </c>
      <c r="M42" s="7" t="n">
        <v>1</v>
      </c>
      <c r="N42" s="7" t="n">
        <v>1</v>
      </c>
      <c r="O42" s="12" t="n">
        <f aca="false">IF(F42=0,0,K42*7/F42)</f>
        <v>6.22222222222222</v>
      </c>
      <c r="P42" s="12" t="n">
        <f aca="false">IF(F42=0,0,(I42+L42)/F42)</f>
        <v>2</v>
      </c>
      <c r="Q42" s="12" t="n">
        <f aca="false">IF(F42=0,0,M42*7/F42)</f>
        <v>0.777777777777778</v>
      </c>
      <c r="R42" s="12" t="n">
        <f aca="false">IF(F42=0,0,L42*7/F42)</f>
        <v>5.44444444444445</v>
      </c>
    </row>
    <row r="43" customFormat="false" ht="14.25" hidden="false" customHeight="true" outlineLevel="0" collapsed="false">
      <c r="A43" s="6" t="s">
        <v>168</v>
      </c>
      <c r="B43" s="6" t="s">
        <v>166</v>
      </c>
      <c r="C43" s="7" t="n">
        <v>1</v>
      </c>
      <c r="D43" s="7" t="s">
        <v>607</v>
      </c>
      <c r="E43" s="7" t="n">
        <v>1</v>
      </c>
      <c r="F43" s="11" t="n">
        <v>0.1</v>
      </c>
      <c r="G43" s="7" t="n">
        <v>0</v>
      </c>
      <c r="H43" s="7" t="n">
        <v>0</v>
      </c>
      <c r="I43" s="7" t="n">
        <v>1</v>
      </c>
      <c r="J43" s="7" t="n">
        <v>3</v>
      </c>
      <c r="K43" s="7" t="n">
        <v>3</v>
      </c>
      <c r="L43" s="7" t="n">
        <v>2</v>
      </c>
      <c r="M43" s="7" t="n">
        <v>0</v>
      </c>
      <c r="N43" s="7" t="n">
        <v>0</v>
      </c>
      <c r="O43" s="12" t="n">
        <v>63</v>
      </c>
      <c r="P43" s="12" t="n">
        <v>9</v>
      </c>
      <c r="Q43" s="12" t="n">
        <v>0</v>
      </c>
      <c r="R43" s="12" t="n">
        <v>42</v>
      </c>
    </row>
    <row r="44" customFormat="false" ht="14.25" hidden="false" customHeight="true" outlineLevel="0" collapsed="false">
      <c r="A44" s="6" t="s">
        <v>311</v>
      </c>
      <c r="B44" s="6" t="s">
        <v>192</v>
      </c>
      <c r="C44" s="7" t="n">
        <v>2</v>
      </c>
      <c r="D44" s="7" t="s">
        <v>569</v>
      </c>
      <c r="E44" s="7" t="n">
        <v>2</v>
      </c>
      <c r="F44" s="11" t="n">
        <v>8</v>
      </c>
      <c r="G44" s="7" t="n">
        <v>0</v>
      </c>
      <c r="H44" s="7" t="n">
        <v>1</v>
      </c>
      <c r="I44" s="7" t="n">
        <v>11</v>
      </c>
      <c r="J44" s="7" t="n">
        <v>9</v>
      </c>
      <c r="K44" s="7" t="n">
        <v>9</v>
      </c>
      <c r="L44" s="7" t="n">
        <v>6</v>
      </c>
      <c r="M44" s="7" t="n">
        <v>0</v>
      </c>
      <c r="N44" s="7" t="n">
        <v>2</v>
      </c>
      <c r="O44" s="12" t="n">
        <f aca="false">IF(F44=0,0,K44*7/F44)</f>
        <v>7.875</v>
      </c>
      <c r="P44" s="12" t="n">
        <f aca="false">IF(F44=0,0,(I44+L44)/F44)</f>
        <v>2.125</v>
      </c>
      <c r="Q44" s="12" t="n">
        <f aca="false">IF(F44=0,0,M44*7/F44)</f>
        <v>0</v>
      </c>
      <c r="R44" s="12" t="n">
        <f aca="false">IF(F44=0,0,L44*7/F44)</f>
        <v>5.25</v>
      </c>
    </row>
    <row r="45" customFormat="false" ht="14.25" hidden="false" customHeight="true" outlineLevel="0" collapsed="false">
      <c r="A45" s="6" t="s">
        <v>200</v>
      </c>
      <c r="B45" s="6" t="s">
        <v>192</v>
      </c>
      <c r="C45" s="7" t="n">
        <v>1</v>
      </c>
      <c r="D45" s="7" t="s">
        <v>570</v>
      </c>
      <c r="E45" s="7" t="n">
        <v>1</v>
      </c>
      <c r="F45" s="11" t="n">
        <v>6</v>
      </c>
      <c r="G45" s="7" t="n">
        <v>0</v>
      </c>
      <c r="H45" s="7" t="n">
        <v>0</v>
      </c>
      <c r="I45" s="7" t="n">
        <v>9</v>
      </c>
      <c r="J45" s="7" t="n">
        <v>4</v>
      </c>
      <c r="K45" s="7" t="n">
        <v>3</v>
      </c>
      <c r="L45" s="7" t="n">
        <v>1</v>
      </c>
      <c r="M45" s="7" t="n">
        <v>1</v>
      </c>
      <c r="N45" s="7" t="n">
        <v>2</v>
      </c>
      <c r="O45" s="12" t="n">
        <f aca="false">IF(F45=0,0,K45*7/F45)</f>
        <v>3.5</v>
      </c>
      <c r="P45" s="12" t="n">
        <f aca="false">IF(F45=0,0,(I45+L45)/F45)</f>
        <v>1.66666666666667</v>
      </c>
      <c r="Q45" s="12" t="n">
        <f aca="false">IF(F45=0,0,M45*7/F45)</f>
        <v>1.16666666666667</v>
      </c>
      <c r="R45" s="12" t="n">
        <f aca="false">IF(F45=0,0,L45*7/F45)</f>
        <v>1.16666666666667</v>
      </c>
    </row>
    <row r="46" customFormat="false" ht="14.25" hidden="false" customHeight="true" outlineLevel="0" collapsed="false">
      <c r="A46" s="6" t="s">
        <v>196</v>
      </c>
      <c r="B46" s="6" t="s">
        <v>192</v>
      </c>
      <c r="C46" s="7" t="n">
        <v>2</v>
      </c>
      <c r="D46" s="7" t="s">
        <v>659</v>
      </c>
      <c r="E46" s="7" t="n">
        <v>3</v>
      </c>
      <c r="F46" s="11" t="n">
        <v>7.1</v>
      </c>
      <c r="G46" s="7" t="n">
        <v>0</v>
      </c>
      <c r="H46" s="7" t="n">
        <v>1</v>
      </c>
      <c r="I46" s="7" t="n">
        <v>10</v>
      </c>
      <c r="J46" s="7" t="n">
        <v>9</v>
      </c>
      <c r="K46" s="7" t="n">
        <v>6</v>
      </c>
      <c r="L46" s="7" t="n">
        <v>6</v>
      </c>
      <c r="M46" s="7" t="n">
        <v>2</v>
      </c>
      <c r="N46" s="7" t="n">
        <v>2</v>
      </c>
      <c r="O46" s="12" t="n">
        <v>5.73</v>
      </c>
      <c r="P46" s="12" t="n">
        <v>2.18</v>
      </c>
      <c r="Q46" s="12" t="n">
        <v>1.91</v>
      </c>
      <c r="R46" s="12" t="n">
        <v>5.73</v>
      </c>
    </row>
    <row r="47" customFormat="false" ht="14.25" hidden="false" customHeight="true" outlineLevel="0" collapsed="false">
      <c r="A47" s="6" t="s">
        <v>199</v>
      </c>
      <c r="B47" s="6" t="s">
        <v>192</v>
      </c>
      <c r="C47" s="7" t="n">
        <v>1</v>
      </c>
      <c r="D47" s="7" t="s">
        <v>607</v>
      </c>
      <c r="E47" s="7" t="n">
        <v>1</v>
      </c>
      <c r="F47" s="11" t="n">
        <v>1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12" t="n">
        <f aca="false">IF(F47=0,0,K47*7/F47)</f>
        <v>0</v>
      </c>
      <c r="P47" s="12" t="n">
        <f aca="false">IF(F47=0,0,(I47+L47)/F47)</f>
        <v>0</v>
      </c>
      <c r="Q47" s="12" t="n">
        <f aca="false">IF(F47=0,0,M47*7/F47)</f>
        <v>0</v>
      </c>
      <c r="R47" s="12" t="n">
        <f aca="false">IF(F47=0,0,L47*7/F47)</f>
        <v>0</v>
      </c>
    </row>
    <row r="48" customFormat="false" ht="14.25" hidden="false" customHeight="true" outlineLevel="0" collapsed="false">
      <c r="A48" s="6" t="s">
        <v>201</v>
      </c>
      <c r="B48" s="6" t="s">
        <v>192</v>
      </c>
      <c r="C48" s="7" t="n">
        <v>1</v>
      </c>
      <c r="D48" s="7" t="s">
        <v>601</v>
      </c>
      <c r="E48" s="7" t="n">
        <v>1</v>
      </c>
      <c r="F48" s="11" t="n">
        <v>1</v>
      </c>
      <c r="G48" s="7" t="n">
        <v>0</v>
      </c>
      <c r="H48" s="7" t="n">
        <v>0</v>
      </c>
      <c r="I48" s="7" t="n">
        <v>2</v>
      </c>
      <c r="J48" s="7" t="n">
        <v>1</v>
      </c>
      <c r="K48" s="7" t="n">
        <v>1</v>
      </c>
      <c r="L48" s="7" t="n">
        <v>0</v>
      </c>
      <c r="M48" s="7" t="n">
        <v>0</v>
      </c>
      <c r="N48" s="7" t="n">
        <v>1</v>
      </c>
      <c r="O48" s="12" t="n">
        <f aca="false">IF(F48=0,0,K48*7/F48)</f>
        <v>7</v>
      </c>
      <c r="P48" s="12" t="n">
        <f aca="false">IF(F48=0,0,(I48+L48)/F48)</f>
        <v>2</v>
      </c>
      <c r="Q48" s="12" t="n">
        <f aca="false">IF(F48=0,0,M48*7/F48)</f>
        <v>0</v>
      </c>
      <c r="R48" s="12" t="n">
        <f aca="false">IF(F48=0,0,L48*7/F48)</f>
        <v>0</v>
      </c>
    </row>
    <row r="49" customFormat="false" ht="14.25" hidden="false" customHeight="true" outlineLevel="0" collapsed="false">
      <c r="A49" s="6" t="s">
        <v>450</v>
      </c>
      <c r="B49" s="6" t="s">
        <v>212</v>
      </c>
      <c r="C49" s="7" t="n">
        <v>2</v>
      </c>
      <c r="D49" s="7" t="s">
        <v>569</v>
      </c>
      <c r="E49" s="7" t="n">
        <v>2</v>
      </c>
      <c r="F49" s="11" t="n">
        <v>8.2</v>
      </c>
      <c r="G49" s="7" t="n">
        <v>0</v>
      </c>
      <c r="H49" s="7" t="n">
        <v>1</v>
      </c>
      <c r="I49" s="7" t="n">
        <v>15</v>
      </c>
      <c r="J49" s="7" t="n">
        <v>11</v>
      </c>
      <c r="K49" s="7" t="n">
        <v>11</v>
      </c>
      <c r="L49" s="7" t="n">
        <v>4</v>
      </c>
      <c r="M49" s="7" t="n">
        <v>0</v>
      </c>
      <c r="N49" s="7" t="n">
        <v>6</v>
      </c>
      <c r="O49" s="12" t="n">
        <v>8.88</v>
      </c>
      <c r="P49" s="12" t="n">
        <v>2.19</v>
      </c>
      <c r="Q49" s="12" t="n">
        <v>0</v>
      </c>
      <c r="R49" s="12" t="n">
        <v>3.23</v>
      </c>
    </row>
    <row r="50" customFormat="false" ht="14.25" hidden="false" customHeight="true" outlineLevel="0" collapsed="false">
      <c r="A50" s="6" t="s">
        <v>651</v>
      </c>
      <c r="B50" s="6" t="s">
        <v>212</v>
      </c>
      <c r="C50" s="7" t="n">
        <v>1</v>
      </c>
      <c r="D50" s="7" t="s">
        <v>607</v>
      </c>
      <c r="E50" s="7" t="n">
        <v>1</v>
      </c>
      <c r="F50" s="11" t="n">
        <v>7</v>
      </c>
      <c r="G50" s="7" t="n">
        <v>0</v>
      </c>
      <c r="H50" s="7" t="n">
        <v>0</v>
      </c>
      <c r="I50" s="7" t="n">
        <v>15</v>
      </c>
      <c r="J50" s="7" t="n">
        <v>15</v>
      </c>
      <c r="K50" s="7" t="n">
        <v>13</v>
      </c>
      <c r="L50" s="7" t="n">
        <v>5</v>
      </c>
      <c r="M50" s="7" t="n">
        <v>2</v>
      </c>
      <c r="N50" s="7" t="n">
        <v>3</v>
      </c>
      <c r="O50" s="12" t="n">
        <f aca="false">IF(F50=0,0,K50*7/F50)</f>
        <v>13</v>
      </c>
      <c r="P50" s="12" t="n">
        <f aca="false">IF(F50=0,0,(I50+L50)/F50)</f>
        <v>2.85714285714286</v>
      </c>
      <c r="Q50" s="12" t="n">
        <f aca="false">IF(F50=0,0,M50*7/F50)</f>
        <v>2</v>
      </c>
      <c r="R50" s="12" t="n">
        <f aca="false">IF(F50=0,0,L50*7/F50)</f>
        <v>5</v>
      </c>
    </row>
    <row r="51" customFormat="false" ht="14.25" hidden="false" customHeight="true" outlineLevel="0" collapsed="false">
      <c r="A51" s="6" t="s">
        <v>460</v>
      </c>
      <c r="B51" s="6" t="s">
        <v>212</v>
      </c>
      <c r="C51" s="7" t="n">
        <v>1</v>
      </c>
      <c r="D51" s="7" t="s">
        <v>571</v>
      </c>
      <c r="E51" s="7" t="n">
        <v>1</v>
      </c>
      <c r="F51" s="11" t="n">
        <v>6</v>
      </c>
      <c r="G51" s="7" t="n">
        <v>0</v>
      </c>
      <c r="H51" s="7" t="n">
        <v>1</v>
      </c>
      <c r="I51" s="7" t="n">
        <v>6</v>
      </c>
      <c r="J51" s="7" t="n">
        <v>6</v>
      </c>
      <c r="K51" s="7" t="n">
        <v>5</v>
      </c>
      <c r="L51" s="7" t="n">
        <v>4</v>
      </c>
      <c r="M51" s="7" t="n">
        <v>0</v>
      </c>
      <c r="N51" s="7" t="n">
        <v>1</v>
      </c>
      <c r="O51" s="12" t="n">
        <f aca="false">IF(F51=0,0,K51*7/F51)</f>
        <v>5.83333333333333</v>
      </c>
      <c r="P51" s="12" t="n">
        <f aca="false">IF(F51=0,0,(I51+L51)/F51)</f>
        <v>1.66666666666667</v>
      </c>
      <c r="Q51" s="12" t="n">
        <f aca="false">IF(F51=0,0,M51*7/F51)</f>
        <v>0</v>
      </c>
      <c r="R51" s="12" t="n">
        <f aca="false">IF(F51=0,0,L51*7/F51)</f>
        <v>4.66666666666667</v>
      </c>
    </row>
    <row r="52" customFormat="false" ht="14.25" hidden="false" customHeight="true" outlineLevel="0" collapsed="false">
      <c r="A52" s="6" t="s">
        <v>213</v>
      </c>
      <c r="B52" s="6" t="s">
        <v>212</v>
      </c>
      <c r="C52" s="7" t="n">
        <v>2</v>
      </c>
      <c r="D52" s="7" t="s">
        <v>635</v>
      </c>
      <c r="E52" s="7" t="n">
        <v>2</v>
      </c>
      <c r="F52" s="11" t="n">
        <v>5</v>
      </c>
      <c r="G52" s="7" t="n">
        <v>0</v>
      </c>
      <c r="H52" s="7" t="n">
        <v>2</v>
      </c>
      <c r="I52" s="7" t="n">
        <v>5</v>
      </c>
      <c r="J52" s="7" t="n">
        <v>15</v>
      </c>
      <c r="K52" s="7" t="n">
        <v>11</v>
      </c>
      <c r="L52" s="7" t="n">
        <v>17</v>
      </c>
      <c r="M52" s="7" t="n">
        <v>1</v>
      </c>
      <c r="N52" s="7" t="n">
        <v>0</v>
      </c>
      <c r="O52" s="12" t="n">
        <f aca="false">IF(F52=0,0,K52*7/F52)</f>
        <v>15.4</v>
      </c>
      <c r="P52" s="12" t="n">
        <f aca="false">IF(F52=0,0,(I52+L52)/F52)</f>
        <v>4.4</v>
      </c>
      <c r="Q52" s="12" t="n">
        <f aca="false">IF(F52=0,0,M52*7/F52)</f>
        <v>1.4</v>
      </c>
      <c r="R52" s="12" t="n">
        <f aca="false">IF(F52=0,0,L52*7/F52)</f>
        <v>23.8</v>
      </c>
    </row>
    <row r="53" customFormat="false" ht="14.25" hidden="false" customHeight="true" outlineLevel="0" collapsed="false">
      <c r="A53" s="6" t="s">
        <v>219</v>
      </c>
      <c r="B53" s="6" t="s">
        <v>212</v>
      </c>
      <c r="C53" s="7" t="n">
        <v>4</v>
      </c>
      <c r="D53" s="7" t="s">
        <v>600</v>
      </c>
      <c r="E53" s="7" t="n">
        <v>4</v>
      </c>
      <c r="F53" s="11" t="n">
        <v>5</v>
      </c>
      <c r="G53" s="7" t="n">
        <v>0</v>
      </c>
      <c r="H53" s="7" t="n">
        <v>0</v>
      </c>
      <c r="I53" s="7" t="n">
        <v>5</v>
      </c>
      <c r="J53" s="7" t="n">
        <v>3</v>
      </c>
      <c r="K53" s="7" t="n">
        <v>2</v>
      </c>
      <c r="L53" s="7" t="n">
        <v>4</v>
      </c>
      <c r="M53" s="7" t="n">
        <v>0</v>
      </c>
      <c r="N53" s="7" t="n">
        <v>0</v>
      </c>
      <c r="O53" s="12" t="n">
        <f aca="false">IF(F53=0,0,K53*7/F53)</f>
        <v>2.8</v>
      </c>
      <c r="P53" s="12" t="n">
        <f aca="false">IF(F53=0,0,(I53+L53)/F53)</f>
        <v>1.8</v>
      </c>
      <c r="Q53" s="12" t="n">
        <f aca="false">IF(F53=0,0,M53*7/F53)</f>
        <v>0</v>
      </c>
      <c r="R53" s="12" t="n">
        <f aca="false">IF(F53=0,0,L53*7/F53)</f>
        <v>5.6</v>
      </c>
    </row>
    <row r="54" customFormat="false" ht="14.25" hidden="false" customHeight="true" outlineLevel="0" collapsed="false">
      <c r="A54" s="6" t="s">
        <v>148</v>
      </c>
      <c r="B54" s="6" t="s">
        <v>147</v>
      </c>
      <c r="C54" s="7" t="n">
        <v>1</v>
      </c>
      <c r="D54" s="7" t="s">
        <v>601</v>
      </c>
      <c r="E54" s="7" t="n">
        <v>1</v>
      </c>
      <c r="F54" s="11" t="n">
        <v>1</v>
      </c>
      <c r="G54" s="7" t="n">
        <v>0</v>
      </c>
      <c r="H54" s="7" t="n">
        <v>0</v>
      </c>
      <c r="I54" s="7" t="n">
        <v>1</v>
      </c>
      <c r="J54" s="7" t="n">
        <v>1</v>
      </c>
      <c r="K54" s="7" t="n">
        <v>1</v>
      </c>
      <c r="L54" s="7" t="n">
        <v>3</v>
      </c>
      <c r="M54" s="7" t="n">
        <v>0</v>
      </c>
      <c r="N54" s="7" t="n">
        <v>0</v>
      </c>
      <c r="O54" s="12" t="n">
        <f aca="false">IF(F54=0,0,K54*7/F54)</f>
        <v>7</v>
      </c>
      <c r="P54" s="12" t="n">
        <f aca="false">IF(F54=0,0,(I54+L54)/F54)</f>
        <v>4</v>
      </c>
      <c r="Q54" s="12" t="n">
        <f aca="false">IF(F54=0,0,M54*7/F54)</f>
        <v>0</v>
      </c>
      <c r="R54" s="12" t="n">
        <f aca="false">IF(F54=0,0,L54*7/F54)</f>
        <v>21</v>
      </c>
    </row>
    <row r="55" customFormat="false" ht="14.25" hidden="false" customHeight="true" outlineLevel="0" collapsed="false">
      <c r="A55" s="6" t="s">
        <v>177</v>
      </c>
      <c r="B55" s="6" t="s">
        <v>166</v>
      </c>
      <c r="C55" s="7" t="n">
        <v>1</v>
      </c>
      <c r="D55" s="7" t="s">
        <v>601</v>
      </c>
      <c r="E55" s="7" t="n">
        <v>2</v>
      </c>
      <c r="F55" s="11" t="n">
        <v>13</v>
      </c>
      <c r="G55" s="7" t="n">
        <v>0</v>
      </c>
      <c r="H55" s="7" t="n">
        <v>2</v>
      </c>
      <c r="I55" s="7" t="n">
        <v>19</v>
      </c>
      <c r="J55" s="7" t="n">
        <v>15</v>
      </c>
      <c r="K55" s="7" t="n">
        <v>15</v>
      </c>
      <c r="L55" s="7" t="n">
        <v>14</v>
      </c>
      <c r="M55" s="7" t="n">
        <v>1</v>
      </c>
      <c r="N55" s="7" t="n">
        <v>2</v>
      </c>
      <c r="O55" s="12" t="n">
        <f aca="false">IF(F55=0,0,K55*7/F55)</f>
        <v>8.07692307692308</v>
      </c>
      <c r="P55" s="12" t="n">
        <f aca="false">IF(F55=0,0,(I55+L55)/F55)</f>
        <v>2.53846153846154</v>
      </c>
      <c r="Q55" s="12" t="n">
        <f aca="false">IF(F55=0,0,M55*7/F55)</f>
        <v>0.538461538461538</v>
      </c>
      <c r="R55" s="12" t="n">
        <f aca="false">IF(F55=0,0,L55*7/F55)</f>
        <v>7.53846153846154</v>
      </c>
    </row>
    <row r="56" customFormat="false" ht="14.25" hidden="false" customHeight="true" outlineLevel="0" collapsed="false">
      <c r="A56" s="6" t="s">
        <v>109</v>
      </c>
      <c r="B56" s="6" t="s">
        <v>97</v>
      </c>
      <c r="C56" s="7" t="n">
        <v>1</v>
      </c>
      <c r="D56" s="7" t="s">
        <v>601</v>
      </c>
      <c r="E56" s="7" t="n">
        <v>1</v>
      </c>
      <c r="F56" s="11" t="n">
        <v>4</v>
      </c>
      <c r="G56" s="7" t="n">
        <v>0</v>
      </c>
      <c r="H56" s="7" t="n">
        <v>0</v>
      </c>
      <c r="I56" s="7" t="n">
        <v>4</v>
      </c>
      <c r="J56" s="7" t="n">
        <v>2</v>
      </c>
      <c r="K56" s="7" t="n">
        <v>1</v>
      </c>
      <c r="L56" s="7" t="n">
        <v>2</v>
      </c>
      <c r="M56" s="7" t="n">
        <v>0</v>
      </c>
      <c r="N56" s="7" t="n">
        <v>0</v>
      </c>
      <c r="O56" s="12" t="n">
        <f aca="false">IF(F56=0,0,K56*7/F56)</f>
        <v>1.75</v>
      </c>
      <c r="P56" s="12" t="n">
        <f aca="false">IF(F56=0,0,(I56+L56)/F56)</f>
        <v>1.5</v>
      </c>
      <c r="Q56" s="12" t="n">
        <f aca="false">IF(F56=0,0,M56*7/F56)</f>
        <v>0</v>
      </c>
      <c r="R56" s="12" t="n">
        <f aca="false">IF(F56=0,0,L56*7/F56)</f>
        <v>3.5</v>
      </c>
    </row>
    <row r="57" customFormat="false" ht="14.25" hidden="false" customHeight="true" outlineLevel="0" collapsed="false">
      <c r="A57" s="6" t="s">
        <v>402</v>
      </c>
      <c r="B57" s="6" t="s">
        <v>192</v>
      </c>
      <c r="C57" s="7" t="n">
        <v>1</v>
      </c>
      <c r="D57" s="7" t="s">
        <v>601</v>
      </c>
      <c r="E57" s="7" t="n">
        <v>1</v>
      </c>
      <c r="F57" s="11" t="n">
        <v>7</v>
      </c>
      <c r="G57" s="7" t="n">
        <v>0</v>
      </c>
      <c r="H57" s="7" t="n">
        <v>1</v>
      </c>
      <c r="I57" s="7" t="n">
        <v>15</v>
      </c>
      <c r="J57" s="7" t="n">
        <v>14</v>
      </c>
      <c r="K57" s="7" t="n">
        <v>14</v>
      </c>
      <c r="L57" s="7" t="n">
        <v>9</v>
      </c>
      <c r="M57" s="7" t="n">
        <v>2</v>
      </c>
      <c r="N57" s="7" t="n">
        <v>2</v>
      </c>
      <c r="O57" s="12" t="n">
        <f aca="false">IF(F57=0,0,K57*7/F57)</f>
        <v>14</v>
      </c>
      <c r="P57" s="12" t="n">
        <f aca="false">IF(F57=0,0,(I57+L57)/F57)</f>
        <v>3.42857142857143</v>
      </c>
      <c r="Q57" s="12" t="n">
        <f aca="false">IF(F57=0,0,M57*7/F57)</f>
        <v>2</v>
      </c>
      <c r="R57" s="12" t="n">
        <f aca="false">IF(F57=0,0,L57*7/F57)</f>
        <v>9</v>
      </c>
    </row>
    <row r="58" customFormat="false" ht="14.25" hidden="false" customHeight="true" outlineLevel="0" collapsed="false">
      <c r="A58" s="6" t="s">
        <v>194</v>
      </c>
      <c r="B58" s="6" t="s">
        <v>192</v>
      </c>
      <c r="C58" s="7" t="n">
        <v>1</v>
      </c>
      <c r="D58" s="9" t="s">
        <v>555</v>
      </c>
      <c r="E58" s="7" t="n">
        <v>1</v>
      </c>
      <c r="F58" s="11" t="n">
        <v>1</v>
      </c>
      <c r="G58" s="7" t="n">
        <v>0</v>
      </c>
      <c r="H58" s="7" t="n">
        <v>0</v>
      </c>
      <c r="I58" s="7" t="n">
        <v>1</v>
      </c>
      <c r="J58" s="7" t="n">
        <v>0</v>
      </c>
      <c r="K58" s="7" t="n">
        <v>0</v>
      </c>
      <c r="L58" s="7" t="n">
        <v>1</v>
      </c>
      <c r="M58" s="7" t="n">
        <v>0</v>
      </c>
      <c r="N58" s="7" t="n">
        <v>0</v>
      </c>
      <c r="O58" s="12" t="n">
        <f aca="false">IF(F58=0,0,K58*7/F58)</f>
        <v>0</v>
      </c>
      <c r="P58" s="12" t="n">
        <f aca="false">IF(F58=0,0,(I58+L58)/F58)</f>
        <v>2</v>
      </c>
      <c r="Q58" s="12" t="n">
        <f aca="false">IF(F58=0,0,M58*7/F58)</f>
        <v>0</v>
      </c>
      <c r="R58" s="12" t="n">
        <f aca="false">IF(F58=0,0,L58*7/F58)</f>
        <v>7</v>
      </c>
    </row>
    <row r="59" customFormat="false" ht="14.25" hidden="false" customHeight="true" outlineLevel="0" collapsed="false">
      <c r="A59" s="6" t="s">
        <v>115</v>
      </c>
      <c r="B59" s="6" t="s">
        <v>97</v>
      </c>
      <c r="C59" s="7" t="n">
        <v>1</v>
      </c>
      <c r="D59" s="9" t="s">
        <v>555</v>
      </c>
      <c r="E59" s="7" t="n">
        <v>1</v>
      </c>
      <c r="F59" s="11" t="n">
        <v>3.2</v>
      </c>
      <c r="G59" s="7" t="n">
        <v>0</v>
      </c>
      <c r="H59" s="7" t="n">
        <v>1</v>
      </c>
      <c r="I59" s="7" t="n">
        <v>4</v>
      </c>
      <c r="J59" s="7" t="n">
        <v>8</v>
      </c>
      <c r="K59" s="7" t="n">
        <v>7</v>
      </c>
      <c r="L59" s="7" t="n">
        <v>10</v>
      </c>
      <c r="M59" s="7" t="n">
        <v>1</v>
      </c>
      <c r="N59" s="7" t="n">
        <v>1</v>
      </c>
      <c r="O59" s="12" t="n">
        <v>13.36</v>
      </c>
      <c r="P59" s="12" t="n">
        <v>3.82</v>
      </c>
      <c r="Q59" s="12" t="n">
        <v>1.91</v>
      </c>
      <c r="R59" s="12" t="n">
        <v>19.09</v>
      </c>
    </row>
    <row r="60" customFormat="false" ht="14.25" hidden="false" customHeight="true" outlineLevel="0" collapsed="false">
      <c r="A60" s="1" t="s">
        <v>217</v>
      </c>
      <c r="B60" s="1" t="s">
        <v>212</v>
      </c>
      <c r="C60" s="1" t="n">
        <v>1</v>
      </c>
      <c r="D60" s="1" t="s">
        <v>555</v>
      </c>
      <c r="E60" s="1" t="n">
        <v>1</v>
      </c>
      <c r="F60" s="1" t="n">
        <v>0.1</v>
      </c>
      <c r="G60" s="1" t="n">
        <v>0</v>
      </c>
      <c r="H60" s="1" t="n">
        <v>1</v>
      </c>
      <c r="I60" s="1" t="n">
        <v>11</v>
      </c>
      <c r="J60" s="1" t="n">
        <v>19</v>
      </c>
      <c r="K60" s="1" t="n">
        <v>12</v>
      </c>
      <c r="L60" s="1" t="n">
        <v>4</v>
      </c>
      <c r="M60" s="1" t="n">
        <v>0</v>
      </c>
      <c r="N60" s="1" t="n">
        <v>4</v>
      </c>
      <c r="O60" s="1" t="n">
        <v>252</v>
      </c>
      <c r="P60" s="1" t="n">
        <v>45</v>
      </c>
      <c r="Q60" s="1" t="n">
        <v>0</v>
      </c>
      <c r="R60" s="1" t="n">
        <v>84</v>
      </c>
    </row>
    <row r="61" customFormat="false" ht="14.25" hidden="false" customHeight="true" outlineLevel="0" collapsed="false">
      <c r="A61" s="1" t="s">
        <v>216</v>
      </c>
      <c r="B61" s="1" t="s">
        <v>212</v>
      </c>
      <c r="C61" s="1" t="n">
        <v>1</v>
      </c>
      <c r="D61" s="1" t="s">
        <v>555</v>
      </c>
      <c r="E61" s="1" t="n">
        <v>1</v>
      </c>
      <c r="F61" s="1" t="n">
        <v>3</v>
      </c>
      <c r="G61" s="1" t="n">
        <v>0</v>
      </c>
      <c r="H61" s="1" t="n">
        <v>0</v>
      </c>
      <c r="I61" s="1" t="n">
        <v>7</v>
      </c>
      <c r="J61" s="1" t="n">
        <v>4</v>
      </c>
      <c r="K61" s="1" t="n">
        <v>4</v>
      </c>
      <c r="L61" s="1" t="n">
        <v>0</v>
      </c>
      <c r="M61" s="1" t="n">
        <v>0</v>
      </c>
      <c r="N61" s="1" t="n">
        <v>1</v>
      </c>
      <c r="O61" s="1" t="n">
        <f aca="false">IF(F61=0,0,K61*7/F61)</f>
        <v>9.33333333333333</v>
      </c>
      <c r="P61" s="1" t="n">
        <f aca="false">IF(F61=0,0,(I61+L61)/F61)</f>
        <v>2.33333333333333</v>
      </c>
      <c r="Q61" s="1" t="n">
        <f aca="false">IF(F61=0,0,M61*7/F61)</f>
        <v>0</v>
      </c>
      <c r="R61" s="1" t="n">
        <f aca="false">IF(F61=0,0,L61*7/F61)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V18" activeCellId="0" sqref="V18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5" min="3" style="1" width="6"/>
    <col collapsed="false" customWidth="true" hidden="false" outlineLevel="0" max="6" min="6" style="1" width="7"/>
    <col collapsed="false" customWidth="true" hidden="false" outlineLevel="0" max="10" min="7" style="1" width="6"/>
    <col collapsed="false" customWidth="true" hidden="false" outlineLevel="0" max="11" min="11" style="1" width="7"/>
    <col collapsed="false" customWidth="true" hidden="false" outlineLevel="0" max="16" min="12" style="1" width="6"/>
    <col collapsed="false" customWidth="true" hidden="false" outlineLevel="0" max="17" min="17" style="1" width="10"/>
    <col collapsed="false" customWidth="true" hidden="false" outlineLevel="0" max="18" min="18" style="1" width="7"/>
    <col collapsed="false" customWidth="true" hidden="false" outlineLevel="0" max="21" min="19" style="1" width="6"/>
  </cols>
  <sheetData>
    <row r="1" customFormat="false" ht="23.25" hidden="false" customHeight="true" outlineLevel="0" collapsed="false">
      <c r="A1" s="5" t="s">
        <v>30</v>
      </c>
      <c r="B1" s="5" t="s">
        <v>31</v>
      </c>
      <c r="C1" s="5" t="s">
        <v>643</v>
      </c>
      <c r="D1" s="5" t="s">
        <v>644</v>
      </c>
      <c r="E1" s="5" t="s">
        <v>371</v>
      </c>
      <c r="F1" s="5" t="s">
        <v>660</v>
      </c>
      <c r="G1" s="5" t="s">
        <v>661</v>
      </c>
      <c r="H1" s="5" t="s">
        <v>662</v>
      </c>
      <c r="I1" s="5" t="s">
        <v>663</v>
      </c>
      <c r="J1" s="5" t="s">
        <v>664</v>
      </c>
      <c r="K1" s="5" t="s">
        <v>665</v>
      </c>
      <c r="L1" s="5" t="s">
        <v>34</v>
      </c>
      <c r="M1" s="5" t="s">
        <v>36</v>
      </c>
      <c r="N1" s="5" t="s">
        <v>37</v>
      </c>
      <c r="O1" s="5" t="s">
        <v>38</v>
      </c>
      <c r="P1" s="5" t="s">
        <v>39</v>
      </c>
      <c r="Q1" s="5" t="s">
        <v>666</v>
      </c>
      <c r="R1" s="5" t="s">
        <v>642</v>
      </c>
      <c r="S1" s="5" t="s">
        <v>646</v>
      </c>
      <c r="T1" s="5" t="s">
        <v>667</v>
      </c>
      <c r="U1" s="5" t="s">
        <v>43</v>
      </c>
    </row>
    <row r="2" customFormat="false" ht="14.25" hidden="false" customHeight="true" outlineLevel="0" collapsed="false">
      <c r="A2" s="6" t="n">
        <v>2026</v>
      </c>
      <c r="B2" s="6" t="s">
        <v>192</v>
      </c>
      <c r="C2" s="7" t="n">
        <v>12</v>
      </c>
      <c r="D2" s="7" t="n">
        <v>2</v>
      </c>
      <c r="E2" s="7" t="n">
        <v>0</v>
      </c>
      <c r="F2" s="8" t="n">
        <f aca="false">IF(C2+D2+E2=0,0,C2/(C2+D2+E2))</f>
        <v>0.857142857142857</v>
      </c>
      <c r="G2" s="7" t="n">
        <f aca="false">SUMIFS('Batting by Season'!$F:$F,'Batting by Season'!$A:$A,$A2,'Batting by Season'!$B:$B,$B2)</f>
        <v>135</v>
      </c>
      <c r="H2" s="7" t="n">
        <f aca="false">SUMIFS('Pitching by Season'!$I:$I,'Pitching by Season'!$A:$A,$A2,'Pitching by Season'!$B:$B,$B2)</f>
        <v>60</v>
      </c>
      <c r="I2" s="7" t="n">
        <f aca="false">G2-H2</f>
        <v>75</v>
      </c>
      <c r="J2" s="12" t="n">
        <f aca="false">IF(C2+D2+E2=0,0,G2/(C2+D2+E2))</f>
        <v>9.64285714285714</v>
      </c>
      <c r="K2" s="12" t="n">
        <f aca="false">IF(C2+D2+E2=0,0,H2/(C2+D2+E2))</f>
        <v>4.28571428571429</v>
      </c>
      <c r="L2" s="7" t="n">
        <f aca="false">SUMIFS('Batting by Season'!$E:$E,'Batting by Season'!$A:$A,$A2,'Batting by Season'!$B:$B,$B2)</f>
        <v>474</v>
      </c>
      <c r="M2" s="7" t="n">
        <f aca="false">SUMIFS('Batting by Season'!$G:$G,'Batting by Season'!$A:$A,$A2,'Batting by Season'!$B:$B,$B2)</f>
        <v>173</v>
      </c>
      <c r="N2" s="7" t="n">
        <f aca="false">SUMIFS('Batting by Season'!$H:$H,'Batting by Season'!$A:$A,$A2,'Batting by Season'!$B:$B,$B2)</f>
        <v>41</v>
      </c>
      <c r="O2" s="7" t="n">
        <f aca="false">SUMIFS('Batting by Season'!$I:$I,'Batting by Season'!$A:$A,$A2,'Batting by Season'!$B:$B,$B2)</f>
        <v>1</v>
      </c>
      <c r="P2" s="7" t="n">
        <f aca="false">SUMIFS('Batting by Season'!$J:$J,'Batting by Season'!$A:$A,$A2,'Batting by Season'!$B:$B,$B2)</f>
        <v>22</v>
      </c>
      <c r="Q2" s="8" t="n">
        <f aca="false">IF(L2=0,0,M2/L2)</f>
        <v>0.364978902953587</v>
      </c>
      <c r="R2" s="11" t="n">
        <f aca="false">SUMIFS('Pitching by Season'!$E:$E,'Pitching by Season'!$A:$A,$A2,'Pitching by Season'!$B:$B,$B2)</f>
        <v>101</v>
      </c>
      <c r="S2" s="12" t="n">
        <f aca="false">IF(R2=0,0,SUMIFS('Pitching by Season'!$J:$J,'Pitching by Season'!$A:$A,$A2,'Pitching by Season'!$B:$B,$B2)*7/R2)</f>
        <v>2.98019801980198</v>
      </c>
      <c r="T2" s="7" t="n">
        <f aca="false">SUMIFS('Pitching by Season'!$L:$L,'Pitching by Season'!$A:$A,$A2,'Pitching by Season'!$B:$B,$B2)</f>
        <v>19</v>
      </c>
      <c r="U2" s="7" t="n">
        <f aca="false">SUMIFS('Pitching by Season'!$K:$K,'Pitching by Season'!$A:$A,$A2,'Pitching by Season'!$B:$B,$B2)</f>
        <v>36</v>
      </c>
    </row>
    <row r="3" customFormat="false" ht="14.25" hidden="false" customHeight="true" outlineLevel="0" collapsed="false">
      <c r="A3" s="6" t="n">
        <v>2026</v>
      </c>
      <c r="B3" s="6" t="s">
        <v>147</v>
      </c>
      <c r="C3" s="7" t="n">
        <v>7</v>
      </c>
      <c r="D3" s="7" t="n">
        <v>6</v>
      </c>
      <c r="E3" s="7" t="n">
        <v>0</v>
      </c>
      <c r="F3" s="8" t="n">
        <f aca="false">IF(C3+D3+E3=0,0,C3/(C3+D3+E3))</f>
        <v>0.538461538461538</v>
      </c>
      <c r="G3" s="7" t="n">
        <f aca="false">SUMIFS('Batting by Season'!$F:$F,'Batting by Season'!$A:$A,$A3,'Batting by Season'!$B:$B,$B3)</f>
        <v>89</v>
      </c>
      <c r="H3" s="7" t="n">
        <f aca="false">SUMIFS('Pitching by Season'!$I:$I,'Pitching by Season'!$A:$A,$A3,'Pitching by Season'!$B:$B,$B3)</f>
        <v>56</v>
      </c>
      <c r="I3" s="7" t="n">
        <f aca="false">G3-H3</f>
        <v>33</v>
      </c>
      <c r="J3" s="12" t="n">
        <f aca="false">IF(C3+D3+E3=0,0,G3/(C3+D3+E3))</f>
        <v>6.84615384615385</v>
      </c>
      <c r="K3" s="12" t="n">
        <f aca="false">IF(C3+D3+E3=0,0,H3/(C3+D3+E3))</f>
        <v>4.30769230769231</v>
      </c>
      <c r="L3" s="7" t="n">
        <f aca="false">SUMIFS('Batting by Season'!$E:$E,'Batting by Season'!$A:$A,$A3,'Batting by Season'!$B:$B,$B3)</f>
        <v>379</v>
      </c>
      <c r="M3" s="7" t="n">
        <f aca="false">SUMIFS('Batting by Season'!$G:$G,'Batting by Season'!$A:$A,$A3,'Batting by Season'!$B:$B,$B3)</f>
        <v>114</v>
      </c>
      <c r="N3" s="7" t="n">
        <f aca="false">SUMIFS('Batting by Season'!$H:$H,'Batting by Season'!$A:$A,$A3,'Batting by Season'!$B:$B,$B3)</f>
        <v>28</v>
      </c>
      <c r="O3" s="7" t="n">
        <f aca="false">SUMIFS('Batting by Season'!$I:$I,'Batting by Season'!$A:$A,$A3,'Batting by Season'!$B:$B,$B3)</f>
        <v>1</v>
      </c>
      <c r="P3" s="7" t="n">
        <f aca="false">SUMIFS('Batting by Season'!$J:$J,'Batting by Season'!$A:$A,$A3,'Batting by Season'!$B:$B,$B3)</f>
        <v>27</v>
      </c>
      <c r="Q3" s="8" t="n">
        <f aca="false">IF(L3=0,0,M3/L3)</f>
        <v>0.300791556728232</v>
      </c>
      <c r="R3" s="11" t="n">
        <f aca="false">SUMIFS('Pitching by Season'!$E:$E,'Pitching by Season'!$A:$A,$A3,'Pitching by Season'!$B:$B,$B3)</f>
        <v>85</v>
      </c>
      <c r="S3" s="12" t="n">
        <f aca="false">IF(R3=0,0,SUMIFS('Pitching by Season'!$J:$J,'Pitching by Season'!$A:$A,$A3,'Pitching by Season'!$B:$B,$B3)*7/R3)</f>
        <v>2.96470588235294</v>
      </c>
      <c r="T3" s="7" t="n">
        <f aca="false">SUMIFS('Pitching by Season'!$L:$L,'Pitching by Season'!$A:$A,$A3,'Pitching by Season'!$B:$B,$B3)</f>
        <v>47</v>
      </c>
      <c r="U3" s="7" t="n">
        <f aca="false">SUMIFS('Pitching by Season'!$K:$K,'Pitching by Season'!$A:$A,$A3,'Pitching by Season'!$B:$B,$B3)</f>
        <v>23</v>
      </c>
    </row>
    <row r="4" customFormat="false" ht="14.25" hidden="false" customHeight="true" outlineLevel="0" collapsed="false">
      <c r="A4" s="6" t="n">
        <v>2026</v>
      </c>
      <c r="B4" s="6" t="s">
        <v>71</v>
      </c>
      <c r="C4" s="7" t="n">
        <v>10</v>
      </c>
      <c r="D4" s="7" t="n">
        <v>4</v>
      </c>
      <c r="E4" s="7" t="n">
        <v>0</v>
      </c>
      <c r="F4" s="8" t="n">
        <f aca="false">IF(C4+D4+E4=0,0,C4/(C4+D4+E4))</f>
        <v>0.714285714285714</v>
      </c>
      <c r="G4" s="7" t="n">
        <f aca="false">SUMIFS('Batting by Season'!$F:$F,'Batting by Season'!$A:$A,$A4,'Batting by Season'!$B:$B,$B4)</f>
        <v>141</v>
      </c>
      <c r="H4" s="7" t="n">
        <f aca="false">SUMIFS('Pitching by Season'!$I:$I,'Pitching by Season'!$A:$A,$A4,'Pitching by Season'!$B:$B,$B4)</f>
        <v>100</v>
      </c>
      <c r="I4" s="7" t="n">
        <f aca="false">G4-H4</f>
        <v>41</v>
      </c>
      <c r="J4" s="12" t="n">
        <f aca="false">IF(C4+D4+E4=0,0,G4/(C4+D4+E4))</f>
        <v>10.0714285714286</v>
      </c>
      <c r="K4" s="12" t="n">
        <f aca="false">IF(C4+D4+E4=0,0,H4/(C4+D4+E4))</f>
        <v>7.14285714285714</v>
      </c>
      <c r="L4" s="7" t="n">
        <f aca="false">SUMIFS('Batting by Season'!$E:$E,'Batting by Season'!$A:$A,$A4,'Batting by Season'!$B:$B,$B4)</f>
        <v>477</v>
      </c>
      <c r="M4" s="7" t="n">
        <f aca="false">SUMIFS('Batting by Season'!$G:$G,'Batting by Season'!$A:$A,$A4,'Batting by Season'!$B:$B,$B4)</f>
        <v>181</v>
      </c>
      <c r="N4" s="7" t="n">
        <f aca="false">SUMIFS('Batting by Season'!$H:$H,'Batting by Season'!$A:$A,$A4,'Batting by Season'!$B:$B,$B4)</f>
        <v>33</v>
      </c>
      <c r="O4" s="7" t="n">
        <f aca="false">SUMIFS('Batting by Season'!$I:$I,'Batting by Season'!$A:$A,$A4,'Batting by Season'!$B:$B,$B4)</f>
        <v>0</v>
      </c>
      <c r="P4" s="7" t="n">
        <f aca="false">SUMIFS('Batting by Season'!$J:$J,'Batting by Season'!$A:$A,$A4,'Batting by Season'!$B:$B,$B4)</f>
        <v>36</v>
      </c>
      <c r="Q4" s="8" t="n">
        <f aca="false">IF(L4=0,0,M4/L4)</f>
        <v>0.379454926624738</v>
      </c>
      <c r="R4" s="11" t="n">
        <f aca="false">SUMIFS('Pitching by Season'!$E:$E,'Pitching by Season'!$A:$A,$A4,'Pitching by Season'!$B:$B,$B4)</f>
        <v>96</v>
      </c>
      <c r="S4" s="12" t="n">
        <f aca="false">IF(R4=0,0,SUMIFS('Pitching by Season'!$J:$J,'Pitching by Season'!$A:$A,$A4,'Pitching by Season'!$B:$B,$B4)*7/R4)</f>
        <v>4.52083333333333</v>
      </c>
      <c r="T4" s="7" t="n">
        <f aca="false">SUMIFS('Pitching by Season'!$L:$L,'Pitching by Season'!$A:$A,$A4,'Pitching by Season'!$B:$B,$B4)</f>
        <v>11</v>
      </c>
      <c r="U4" s="7" t="n">
        <f aca="false">SUMIFS('Pitching by Season'!$K:$K,'Pitching by Season'!$A:$A,$A4,'Pitching by Season'!$B:$B,$B4)</f>
        <v>30</v>
      </c>
    </row>
    <row r="5" customFormat="false" ht="14.25" hidden="false" customHeight="true" outlineLevel="0" collapsed="false">
      <c r="A5" s="6" t="n">
        <v>2026</v>
      </c>
      <c r="B5" s="6" t="s">
        <v>121</v>
      </c>
      <c r="C5" s="7" t="n">
        <v>9</v>
      </c>
      <c r="D5" s="7" t="n">
        <v>5</v>
      </c>
      <c r="E5" s="7" t="n">
        <v>0</v>
      </c>
      <c r="F5" s="8" t="n">
        <v>0.643</v>
      </c>
      <c r="G5" s="7" t="n">
        <v>109</v>
      </c>
      <c r="H5" s="7" t="n">
        <v>93</v>
      </c>
      <c r="I5" s="7" t="n">
        <v>16</v>
      </c>
      <c r="J5" s="12" t="n">
        <v>7.79</v>
      </c>
      <c r="K5" s="12" t="n">
        <v>6.64</v>
      </c>
      <c r="L5" s="7" t="n">
        <v>427</v>
      </c>
      <c r="M5" s="7" t="n">
        <v>145</v>
      </c>
      <c r="N5" s="7" t="n">
        <v>46</v>
      </c>
      <c r="O5" s="7" t="n">
        <v>1</v>
      </c>
      <c r="P5" s="7" t="n">
        <v>14</v>
      </c>
      <c r="Q5" s="8" t="n">
        <v>0.34</v>
      </c>
      <c r="R5" s="11" t="n">
        <v>92</v>
      </c>
      <c r="S5" s="12" t="n">
        <v>5.93</v>
      </c>
      <c r="T5" s="7" t="n">
        <v>17</v>
      </c>
      <c r="U5" s="7" t="n">
        <v>81</v>
      </c>
    </row>
    <row r="6" customFormat="false" ht="14.25" hidden="false" customHeight="true" outlineLevel="0" collapsed="false">
      <c r="A6" s="6" t="n">
        <v>2026</v>
      </c>
      <c r="B6" s="6" t="s">
        <v>166</v>
      </c>
      <c r="C6" s="7" t="n">
        <v>6</v>
      </c>
      <c r="D6" s="7" t="n">
        <v>8</v>
      </c>
      <c r="E6" s="7" t="n">
        <v>0</v>
      </c>
      <c r="F6" s="8" t="n">
        <f aca="false">IF(C6+D6+E6=0,0,C6/(C6+D6+E6))</f>
        <v>0.428571428571429</v>
      </c>
      <c r="G6" s="7" t="n">
        <f aca="false">SUMIFS('Batting by Season'!$F:$F,'Batting by Season'!$A:$A,$A6,'Batting by Season'!$B:$B,$B6)</f>
        <v>69</v>
      </c>
      <c r="H6" s="7" t="n">
        <f aca="false">SUMIFS('Pitching by Season'!$I:$I,'Pitching by Season'!$A:$A,$A6,'Pitching by Season'!$B:$B,$B6)</f>
        <v>97</v>
      </c>
      <c r="I6" s="7" t="n">
        <f aca="false">G6-H6</f>
        <v>-28</v>
      </c>
      <c r="J6" s="12" t="n">
        <f aca="false">IF(C6+D6+E6=0,0,G6/(C6+D6+E6))</f>
        <v>4.92857142857143</v>
      </c>
      <c r="K6" s="12" t="n">
        <f aca="false">IF(C6+D6+E6=0,0,H6/(C6+D6+E6))</f>
        <v>6.92857142857143</v>
      </c>
      <c r="L6" s="7" t="n">
        <f aca="false">SUMIFS('Batting by Season'!$E:$E,'Batting by Season'!$A:$A,$A6,'Batting by Season'!$B:$B,$B6)</f>
        <v>396</v>
      </c>
      <c r="M6" s="7" t="n">
        <f aca="false">SUMIFS('Batting by Season'!$G:$G,'Batting by Season'!$A:$A,$A6,'Batting by Season'!$B:$B,$B6)</f>
        <v>104</v>
      </c>
      <c r="N6" s="7" t="n">
        <f aca="false">SUMIFS('Batting by Season'!$H:$H,'Batting by Season'!$A:$A,$A6,'Batting by Season'!$B:$B,$B6)</f>
        <v>11</v>
      </c>
      <c r="O6" s="7" t="n">
        <f aca="false">SUMIFS('Batting by Season'!$I:$I,'Batting by Season'!$A:$A,$A6,'Batting by Season'!$B:$B,$B6)</f>
        <v>1</v>
      </c>
      <c r="P6" s="7" t="n">
        <f aca="false">SUMIFS('Batting by Season'!$J:$J,'Batting by Season'!$A:$A,$A6,'Batting by Season'!$B:$B,$B6)</f>
        <v>15</v>
      </c>
      <c r="Q6" s="8" t="n">
        <f aca="false">IF(L6=0,0,M6/L6)</f>
        <v>0.262626262626263</v>
      </c>
      <c r="R6" s="11" t="n">
        <f aca="false">SUMIFS('Pitching by Season'!$E:$E,'Pitching by Season'!$A:$A,$A6,'Pitching by Season'!$B:$B,$B6)</f>
        <v>94</v>
      </c>
      <c r="S6" s="12" t="n">
        <f aca="false">IF(R6=0,0,SUMIFS('Pitching by Season'!$J:$J,'Pitching by Season'!$A:$A,$A6,'Pitching by Season'!$B:$B,$B6)*7/R6)</f>
        <v>6.03191489361702</v>
      </c>
      <c r="T6" s="7" t="n">
        <f aca="false">SUMIFS('Pitching by Season'!$L:$L,'Pitching by Season'!$A:$A,$A6,'Pitching by Season'!$B:$B,$B6)</f>
        <v>20</v>
      </c>
      <c r="U6" s="7" t="n">
        <f aca="false">SUMIFS('Pitching by Season'!$K:$K,'Pitching by Season'!$A:$A,$A6,'Pitching by Season'!$B:$B,$B6)</f>
        <v>41</v>
      </c>
    </row>
    <row r="7" customFormat="false" ht="14.25" hidden="false" customHeight="true" outlineLevel="0" collapsed="false">
      <c r="A7" s="6" t="n">
        <v>2026</v>
      </c>
      <c r="B7" s="6" t="s">
        <v>50</v>
      </c>
      <c r="C7" s="7" t="n">
        <v>7</v>
      </c>
      <c r="D7" s="7" t="n">
        <v>7</v>
      </c>
      <c r="E7" s="7" t="n">
        <v>0</v>
      </c>
      <c r="F7" s="8" t="n">
        <f aca="false">IF(C7+D7+E7=0,0,C7/(C7+D7+E7))</f>
        <v>0.5</v>
      </c>
      <c r="G7" s="7" t="n">
        <f aca="false">SUMIFS('Batting by Season'!$F:$F,'Batting by Season'!$A:$A,$A7,'Batting by Season'!$B:$B,$B7)</f>
        <v>84</v>
      </c>
      <c r="H7" s="7" t="n">
        <f aca="false">SUMIFS('Pitching by Season'!$I:$I,'Pitching by Season'!$A:$A,$A7,'Pitching by Season'!$B:$B,$B7)</f>
        <v>95</v>
      </c>
      <c r="I7" s="7" t="n">
        <f aca="false">G7-H7</f>
        <v>-11</v>
      </c>
      <c r="J7" s="12" t="n">
        <f aca="false">IF(C7+D7+E7=0,0,G7/(C7+D7+E7))</f>
        <v>6</v>
      </c>
      <c r="K7" s="12" t="n">
        <f aca="false">IF(C7+D7+E7=0,0,H7/(C7+D7+E7))</f>
        <v>6.78571428571429</v>
      </c>
      <c r="L7" s="7" t="n">
        <f aca="false">SUMIFS('Batting by Season'!$E:$E,'Batting by Season'!$A:$A,$A7,'Batting by Season'!$B:$B,$B7)</f>
        <v>418</v>
      </c>
      <c r="M7" s="7" t="n">
        <f aca="false">SUMIFS('Batting by Season'!$G:$G,'Batting by Season'!$A:$A,$A7,'Batting by Season'!$B:$B,$B7)</f>
        <v>116</v>
      </c>
      <c r="N7" s="7" t="n">
        <f aca="false">SUMIFS('Batting by Season'!$H:$H,'Batting by Season'!$A:$A,$A7,'Batting by Season'!$B:$B,$B7)</f>
        <v>21</v>
      </c>
      <c r="O7" s="7" t="n">
        <f aca="false">SUMIFS('Batting by Season'!$I:$I,'Batting by Season'!$A:$A,$A7,'Batting by Season'!$B:$B,$B7)</f>
        <v>0</v>
      </c>
      <c r="P7" s="7" t="n">
        <f aca="false">SUMIFS('Batting by Season'!$J:$J,'Batting by Season'!$A:$A,$A7,'Batting by Season'!$B:$B,$B7)</f>
        <v>20</v>
      </c>
      <c r="Q7" s="8" t="n">
        <f aca="false">IF(L7=0,0,M7/L7)</f>
        <v>0.277511961722488</v>
      </c>
      <c r="R7" s="11" t="n">
        <v>96.7</v>
      </c>
      <c r="S7" s="12" t="n">
        <f aca="false">IF(R7=0,0,SUMIFS('Pitching by Season'!$J:$J,'Pitching by Season'!$A:$A,$A7,'Pitching by Season'!$B:$B,$B7)*7/R7)</f>
        <v>5.86349534643226</v>
      </c>
      <c r="T7" s="7" t="n">
        <f aca="false">SUMIFS('Pitching by Season'!$L:$L,'Pitching by Season'!$A:$A,$A7,'Pitching by Season'!$B:$B,$B7)</f>
        <v>13</v>
      </c>
      <c r="U7" s="7" t="n">
        <f aca="false">SUMIFS('Pitching by Season'!$K:$K,'Pitching by Season'!$A:$A,$A7,'Pitching by Season'!$B:$B,$B7)</f>
        <v>27</v>
      </c>
    </row>
    <row r="8" customFormat="false" ht="14.25" hidden="false" customHeight="true" outlineLevel="0" collapsed="false">
      <c r="A8" s="6" t="n">
        <v>2026</v>
      </c>
      <c r="B8" s="6" t="s">
        <v>212</v>
      </c>
      <c r="C8" s="7" t="n">
        <v>2</v>
      </c>
      <c r="D8" s="7" t="n">
        <v>9</v>
      </c>
      <c r="E8" s="7" t="n">
        <v>0</v>
      </c>
      <c r="F8" s="8" t="n">
        <f aca="false">IF(C8+D8+E8=0,0,C8/(C8+D8+E8))</f>
        <v>0.181818181818182</v>
      </c>
      <c r="G8" s="7" t="n">
        <f aca="false">SUMIFS('Batting by Season'!$F:$F,'Batting by Season'!$A:$A,$A8,'Batting by Season'!$B:$B,$B8)</f>
        <v>60</v>
      </c>
      <c r="H8" s="7" t="n">
        <f aca="false">SUMIFS('Pitching by Season'!$I:$I,'Pitching by Season'!$A:$A,$A8,'Pitching by Season'!$B:$B,$B8)</f>
        <v>107</v>
      </c>
      <c r="I8" s="7" t="n">
        <f aca="false">G8-H8</f>
        <v>-47</v>
      </c>
      <c r="J8" s="12" t="n">
        <f aca="false">IF(C8+D8+E8=0,0,G8/(C8+D8+E8))</f>
        <v>5.45454545454545</v>
      </c>
      <c r="K8" s="12" t="n">
        <f aca="false">IF(C8+D8+E8=0,0,H8/(C8+D8+E8))</f>
        <v>9.72727272727273</v>
      </c>
      <c r="L8" s="7" t="n">
        <f aca="false">SUMIFS('Batting by Season'!$E:$E,'Batting by Season'!$A:$A,$A8,'Batting by Season'!$B:$B,$B8)</f>
        <v>321</v>
      </c>
      <c r="M8" s="7" t="n">
        <f aca="false">SUMIFS('Batting by Season'!$G:$G,'Batting by Season'!$A:$A,$A8,'Batting by Season'!$B:$B,$B8)</f>
        <v>79</v>
      </c>
      <c r="N8" s="7" t="n">
        <f aca="false">SUMIFS('Batting by Season'!$H:$H,'Batting by Season'!$A:$A,$A8,'Batting by Season'!$B:$B,$B8)</f>
        <v>9</v>
      </c>
      <c r="O8" s="7" t="n">
        <f aca="false">SUMIFS('Batting by Season'!$I:$I,'Batting by Season'!$A:$A,$A8,'Batting by Season'!$B:$B,$B8)</f>
        <v>0</v>
      </c>
      <c r="P8" s="7" t="n">
        <f aca="false">SUMIFS('Batting by Season'!$J:$J,'Batting by Season'!$A:$A,$A8,'Batting by Season'!$B:$B,$B8)</f>
        <v>17</v>
      </c>
      <c r="Q8" s="8" t="n">
        <f aca="false">IF(L8=0,0,M8/L8)</f>
        <v>0.246105919003115</v>
      </c>
      <c r="R8" s="11" t="n">
        <v>70</v>
      </c>
      <c r="S8" s="12" t="n">
        <f aca="false">IF(R8=0,0,SUMIFS('Pitching by Season'!$J:$J,'Pitching by Season'!$A:$A,$A8,'Pitching by Season'!$B:$B,$B8)*7/R8)</f>
        <v>8.9</v>
      </c>
      <c r="T8" s="7" t="n">
        <f aca="false">SUMIFS('Pitching by Season'!$L:$L,'Pitching by Season'!$A:$A,$A8,'Pitching by Season'!$B:$B,$B8)</f>
        <v>9</v>
      </c>
      <c r="U8" s="7" t="n">
        <f aca="false">SUMIFS('Pitching by Season'!$K:$K,'Pitching by Season'!$A:$A,$A8,'Pitching by Season'!$B:$B,$B8)</f>
        <v>47</v>
      </c>
    </row>
    <row r="9" customFormat="false" ht="14.25" hidden="false" customHeight="true" outlineLevel="0" collapsed="false">
      <c r="A9" s="6" t="n">
        <v>2026</v>
      </c>
      <c r="B9" s="6" t="s">
        <v>97</v>
      </c>
      <c r="C9" s="7" t="n">
        <v>0</v>
      </c>
      <c r="D9" s="7" t="n">
        <v>12</v>
      </c>
      <c r="E9" s="7" t="n">
        <v>0</v>
      </c>
      <c r="F9" s="8" t="n">
        <f aca="false">IF(C9+D9+E9=0,0,C9/(C9+D9+E9))</f>
        <v>0</v>
      </c>
      <c r="G9" s="7" t="n">
        <f aca="false">SUMIFS('Batting by Season'!$F:$F,'Batting by Season'!$A:$A,$A9,'Batting by Season'!$B:$B,$B9)</f>
        <v>40</v>
      </c>
      <c r="H9" s="7" t="n">
        <f aca="false">SUMIFS('Pitching by Season'!$I:$I,'Pitching by Season'!$A:$A,$A9,'Pitching by Season'!$B:$B,$B9)</f>
        <v>119</v>
      </c>
      <c r="I9" s="7" t="n">
        <f aca="false">G9-H9</f>
        <v>-79</v>
      </c>
      <c r="J9" s="12" t="n">
        <f aca="false">IF(C9+D9+E9=0,0,G9/(C9+D9+E9))</f>
        <v>3.33333333333333</v>
      </c>
      <c r="K9" s="12" t="n">
        <f aca="false">IF(C9+D9+E9=0,0,H9/(C9+D9+E9))</f>
        <v>9.91666666666667</v>
      </c>
      <c r="L9" s="7" t="n">
        <f aca="false">SUMIFS('Batting by Season'!$E:$E,'Batting by Season'!$A:$A,$A9,'Batting by Season'!$B:$B,$B9)</f>
        <v>341</v>
      </c>
      <c r="M9" s="7" t="n">
        <f aca="false">SUMIFS('Batting by Season'!$G:$G,'Batting by Season'!$A:$A,$A9,'Batting by Season'!$B:$B,$B9)</f>
        <v>92</v>
      </c>
      <c r="N9" s="7" t="n">
        <f aca="false">SUMIFS('Batting by Season'!$H:$H,'Batting by Season'!$A:$A,$A9,'Batting by Season'!$B:$B,$B9)</f>
        <v>11</v>
      </c>
      <c r="O9" s="7" t="n">
        <f aca="false">SUMIFS('Batting by Season'!$I:$I,'Batting by Season'!$A:$A,$A9,'Batting by Season'!$B:$B,$B9)</f>
        <v>0</v>
      </c>
      <c r="P9" s="7" t="n">
        <f aca="false">SUMIFS('Batting by Season'!$J:$J,'Batting by Season'!$A:$A,$A9,'Batting by Season'!$B:$B,$B9)</f>
        <v>9</v>
      </c>
      <c r="Q9" s="8" t="n">
        <f aca="false">IF(L9=0,0,M9/L9)</f>
        <v>0.269794721407625</v>
      </c>
      <c r="R9" s="11" t="n">
        <v>76</v>
      </c>
      <c r="S9" s="12" t="n">
        <f aca="false">IF(R9=0,0,SUMIFS('Pitching by Season'!$J:$J,'Pitching by Season'!$A:$A,$A9,'Pitching by Season'!$B:$B,$B9)*7/R9)</f>
        <v>7.92105263157895</v>
      </c>
      <c r="T9" s="7" t="n">
        <f aca="false">SUMIFS('Pitching by Season'!$L:$L,'Pitching by Season'!$A:$A,$A9,'Pitching by Season'!$B:$B,$B9)</f>
        <v>13</v>
      </c>
      <c r="U9" s="7" t="n">
        <f aca="false">SUMIFS('Pitching by Season'!$K:$K,'Pitching by Season'!$A:$A,$A9,'Pitching by Season'!$B:$B,$B9)</f>
        <v>76</v>
      </c>
    </row>
    <row r="10" customFormat="false" ht="14.25" hidden="false" customHeight="true" outlineLevel="0" collapsed="false">
      <c r="A10" s="6" t="n">
        <v>2025</v>
      </c>
      <c r="B10" s="6" t="s">
        <v>147</v>
      </c>
      <c r="C10" s="7" t="n">
        <v>11</v>
      </c>
      <c r="D10" s="7" t="n">
        <v>3</v>
      </c>
      <c r="E10" s="7" t="n">
        <v>0</v>
      </c>
      <c r="F10" s="8" t="n">
        <v>0.786</v>
      </c>
      <c r="G10" s="7" t="n">
        <v>104</v>
      </c>
      <c r="H10" s="7" t="n">
        <v>43</v>
      </c>
      <c r="I10" s="7" t="n">
        <v>61</v>
      </c>
      <c r="J10" s="12" t="n">
        <v>7.43</v>
      </c>
      <c r="K10" s="12" t="n">
        <v>3.07</v>
      </c>
      <c r="L10" s="7" t="n">
        <v>423</v>
      </c>
      <c r="M10" s="7" t="n">
        <v>134</v>
      </c>
      <c r="N10" s="7" t="n">
        <v>31</v>
      </c>
      <c r="O10" s="7" t="n">
        <v>2</v>
      </c>
      <c r="P10" s="7" t="n">
        <v>21</v>
      </c>
      <c r="Q10" s="8" t="n">
        <v>0.317</v>
      </c>
      <c r="R10" s="11" t="n">
        <v>97.7</v>
      </c>
      <c r="S10" s="12" t="n">
        <v>2.51</v>
      </c>
      <c r="T10" s="7" t="n">
        <v>49</v>
      </c>
      <c r="U10" s="7" t="n">
        <v>20</v>
      </c>
    </row>
    <row r="11" customFormat="false" ht="14.25" hidden="false" customHeight="true" outlineLevel="0" collapsed="false">
      <c r="A11" s="6" t="n">
        <v>2025</v>
      </c>
      <c r="B11" s="6" t="s">
        <v>50</v>
      </c>
      <c r="C11" s="7" t="n">
        <v>10</v>
      </c>
      <c r="D11" s="7" t="n">
        <v>4</v>
      </c>
      <c r="E11" s="7" t="n">
        <v>0</v>
      </c>
      <c r="F11" s="8" t="n">
        <v>0.714</v>
      </c>
      <c r="G11" s="7" t="n">
        <v>100</v>
      </c>
      <c r="H11" s="7" t="n">
        <v>57</v>
      </c>
      <c r="I11" s="7" t="n">
        <v>43</v>
      </c>
      <c r="J11" s="12" t="n">
        <v>7.14</v>
      </c>
      <c r="K11" s="12" t="n">
        <v>4.07</v>
      </c>
      <c r="L11" s="7" t="n">
        <v>432</v>
      </c>
      <c r="M11" s="7" t="n">
        <v>139</v>
      </c>
      <c r="N11" s="7" t="n">
        <v>29</v>
      </c>
      <c r="O11" s="7" t="n">
        <v>0</v>
      </c>
      <c r="P11" s="7" t="n">
        <v>16</v>
      </c>
      <c r="Q11" s="8" t="n">
        <v>0.322</v>
      </c>
      <c r="R11" s="11" t="n">
        <v>97.3</v>
      </c>
      <c r="S11" s="12" t="n">
        <v>3.31</v>
      </c>
      <c r="T11" s="7" t="n">
        <v>13</v>
      </c>
      <c r="U11" s="7" t="n">
        <v>14</v>
      </c>
    </row>
    <row r="12" customFormat="false" ht="14.25" hidden="false" customHeight="true" outlineLevel="0" collapsed="false">
      <c r="A12" s="6" t="n">
        <v>2025</v>
      </c>
      <c r="B12" s="6" t="s">
        <v>71</v>
      </c>
      <c r="C12" s="7" t="n">
        <v>8</v>
      </c>
      <c r="D12" s="7" t="n">
        <v>5</v>
      </c>
      <c r="E12" s="7" t="n">
        <v>0</v>
      </c>
      <c r="F12" s="8" t="n">
        <v>0.615</v>
      </c>
      <c r="G12" s="7" t="n">
        <v>88</v>
      </c>
      <c r="H12" s="7" t="n">
        <v>71</v>
      </c>
      <c r="I12" s="7" t="n">
        <v>17</v>
      </c>
      <c r="J12" s="12" t="n">
        <v>6.77</v>
      </c>
      <c r="K12" s="12" t="n">
        <v>5.46</v>
      </c>
      <c r="L12" s="7" t="n">
        <v>379</v>
      </c>
      <c r="M12" s="7" t="n">
        <v>110</v>
      </c>
      <c r="N12" s="7" t="n">
        <v>18</v>
      </c>
      <c r="O12" s="7" t="n">
        <v>0</v>
      </c>
      <c r="P12" s="7" t="n">
        <v>27</v>
      </c>
      <c r="Q12" s="8" t="n">
        <v>0.29</v>
      </c>
      <c r="R12" s="11" t="n">
        <v>89</v>
      </c>
      <c r="S12" s="12" t="n">
        <v>4.01</v>
      </c>
      <c r="T12" s="7" t="n">
        <v>10</v>
      </c>
      <c r="U12" s="7" t="n">
        <v>20</v>
      </c>
    </row>
    <row r="13" customFormat="false" ht="14.25" hidden="false" customHeight="true" outlineLevel="0" collapsed="false">
      <c r="A13" s="6" t="n">
        <v>2025</v>
      </c>
      <c r="B13" s="6" t="s">
        <v>192</v>
      </c>
      <c r="C13" s="7" t="n">
        <v>7</v>
      </c>
      <c r="D13" s="7" t="n">
        <v>5</v>
      </c>
      <c r="E13" s="7" t="n">
        <v>0</v>
      </c>
      <c r="F13" s="8" t="n">
        <v>0.583</v>
      </c>
      <c r="G13" s="7" t="n">
        <v>68</v>
      </c>
      <c r="H13" s="7" t="n">
        <v>43</v>
      </c>
      <c r="I13" s="7" t="n">
        <v>25</v>
      </c>
      <c r="J13" s="12" t="n">
        <v>5.67</v>
      </c>
      <c r="K13" s="12" t="n">
        <v>3.58</v>
      </c>
      <c r="L13" s="7" t="n">
        <v>375</v>
      </c>
      <c r="M13" s="7" t="n">
        <v>113</v>
      </c>
      <c r="N13" s="7" t="n">
        <v>26</v>
      </c>
      <c r="O13" s="7" t="n">
        <v>2</v>
      </c>
      <c r="P13" s="7" t="n">
        <v>13</v>
      </c>
      <c r="Q13" s="8" t="n">
        <v>0.301</v>
      </c>
      <c r="R13" s="11" t="n">
        <v>86.3</v>
      </c>
      <c r="S13" s="12" t="n">
        <v>2.84</v>
      </c>
      <c r="T13" s="7" t="n">
        <v>22</v>
      </c>
      <c r="U13" s="7" t="n">
        <v>36</v>
      </c>
    </row>
    <row r="14" customFormat="false" ht="14.25" hidden="false" customHeight="true" outlineLevel="0" collapsed="false">
      <c r="A14" s="6" t="n">
        <v>2025</v>
      </c>
      <c r="B14" s="6" t="s">
        <v>121</v>
      </c>
      <c r="C14" s="7" t="n">
        <v>8</v>
      </c>
      <c r="D14" s="7" t="n">
        <v>6</v>
      </c>
      <c r="E14" s="7" t="n">
        <v>0</v>
      </c>
      <c r="F14" s="8" t="n">
        <v>0.571</v>
      </c>
      <c r="G14" s="7" t="n">
        <v>79</v>
      </c>
      <c r="H14" s="7" t="n">
        <v>70</v>
      </c>
      <c r="I14" s="7" t="n">
        <v>9</v>
      </c>
      <c r="J14" s="12" t="n">
        <v>5.64</v>
      </c>
      <c r="K14" s="12" t="n">
        <v>5</v>
      </c>
      <c r="L14" s="7" t="n">
        <v>426</v>
      </c>
      <c r="M14" s="7" t="n">
        <v>134</v>
      </c>
      <c r="N14" s="7" t="n">
        <v>21</v>
      </c>
      <c r="O14" s="7" t="n">
        <v>0</v>
      </c>
      <c r="P14" s="7" t="n">
        <v>15</v>
      </c>
      <c r="Q14" s="8" t="n">
        <v>0.315</v>
      </c>
      <c r="R14" s="11" t="n">
        <v>95.7</v>
      </c>
      <c r="S14" s="12" t="n">
        <v>4.46</v>
      </c>
      <c r="T14" s="7" t="n">
        <v>17</v>
      </c>
      <c r="U14" s="7" t="n">
        <v>42</v>
      </c>
    </row>
    <row r="15" customFormat="false" ht="14.25" hidden="false" customHeight="true" outlineLevel="0" collapsed="false">
      <c r="A15" s="6" t="n">
        <v>2025</v>
      </c>
      <c r="B15" s="6" t="s">
        <v>166</v>
      </c>
      <c r="C15" s="7" t="n">
        <v>3</v>
      </c>
      <c r="D15" s="7" t="n">
        <v>9</v>
      </c>
      <c r="E15" s="7" t="n">
        <v>0</v>
      </c>
      <c r="F15" s="8" t="n">
        <v>0.25</v>
      </c>
      <c r="G15" s="7" t="n">
        <v>39</v>
      </c>
      <c r="H15" s="7" t="n">
        <v>91</v>
      </c>
      <c r="I15" s="7" t="n">
        <v>-52</v>
      </c>
      <c r="J15" s="12" t="n">
        <v>3.25</v>
      </c>
      <c r="K15" s="12" t="n">
        <v>7.58</v>
      </c>
      <c r="L15" s="7" t="n">
        <v>343</v>
      </c>
      <c r="M15" s="7" t="n">
        <v>86</v>
      </c>
      <c r="N15" s="7" t="n">
        <v>14</v>
      </c>
      <c r="O15" s="7" t="n">
        <v>0</v>
      </c>
      <c r="P15" s="7" t="n">
        <v>14</v>
      </c>
      <c r="Q15" s="8" t="n">
        <v>0.251</v>
      </c>
      <c r="R15" s="11" t="n">
        <v>79</v>
      </c>
      <c r="S15" s="12" t="n">
        <v>6.2</v>
      </c>
      <c r="T15" s="7" t="n">
        <v>28</v>
      </c>
      <c r="U15" s="7" t="n">
        <v>38</v>
      </c>
    </row>
    <row r="16" customFormat="false" ht="14.25" hidden="false" customHeight="true" outlineLevel="0" collapsed="false">
      <c r="A16" s="6" t="n">
        <v>2025</v>
      </c>
      <c r="B16" s="6" t="s">
        <v>212</v>
      </c>
      <c r="C16" s="7" t="n">
        <v>2</v>
      </c>
      <c r="D16" s="7" t="n">
        <v>9</v>
      </c>
      <c r="E16" s="7" t="n">
        <v>0</v>
      </c>
      <c r="F16" s="8" t="n">
        <v>0.182</v>
      </c>
      <c r="G16" s="7" t="n">
        <v>21</v>
      </c>
      <c r="H16" s="7" t="n">
        <v>70</v>
      </c>
      <c r="I16" s="7" t="n">
        <v>-49</v>
      </c>
      <c r="J16" s="12" t="n">
        <v>1.91</v>
      </c>
      <c r="K16" s="12" t="n">
        <v>6.36</v>
      </c>
      <c r="L16" s="7" t="n">
        <v>309</v>
      </c>
      <c r="M16" s="7" t="n">
        <v>71</v>
      </c>
      <c r="N16" s="7" t="n">
        <v>14</v>
      </c>
      <c r="O16" s="7" t="n">
        <v>0</v>
      </c>
      <c r="P16" s="7" t="n">
        <v>5</v>
      </c>
      <c r="Q16" s="8" t="n">
        <v>0.23</v>
      </c>
      <c r="R16" s="11" t="n">
        <v>65</v>
      </c>
      <c r="S16" s="12" t="n">
        <v>4.31</v>
      </c>
      <c r="T16" s="7" t="n">
        <v>11</v>
      </c>
      <c r="U16" s="7" t="n">
        <v>31</v>
      </c>
    </row>
    <row r="17" customFormat="false" ht="14.25" hidden="false" customHeight="true" outlineLevel="0" collapsed="false">
      <c r="A17" s="6" t="n">
        <v>2025</v>
      </c>
      <c r="B17" s="6" t="s">
        <v>97</v>
      </c>
      <c r="C17" s="7" t="n">
        <v>1</v>
      </c>
      <c r="D17" s="7" t="n">
        <v>9</v>
      </c>
      <c r="E17" s="7" t="n">
        <v>0</v>
      </c>
      <c r="F17" s="8" t="n">
        <v>0.1</v>
      </c>
      <c r="G17" s="7" t="n">
        <v>24</v>
      </c>
      <c r="H17" s="7" t="n">
        <v>78</v>
      </c>
      <c r="I17" s="7" t="n">
        <v>-54</v>
      </c>
      <c r="J17" s="12" t="n">
        <v>2.4</v>
      </c>
      <c r="K17" s="12" t="n">
        <v>7.8</v>
      </c>
      <c r="L17" s="7" t="n">
        <v>286</v>
      </c>
      <c r="M17" s="7" t="n">
        <v>61</v>
      </c>
      <c r="N17" s="7" t="n">
        <v>3</v>
      </c>
      <c r="O17" s="7" t="n">
        <v>2</v>
      </c>
      <c r="P17" s="7" t="n">
        <v>3</v>
      </c>
      <c r="Q17" s="8" t="n">
        <v>0.213</v>
      </c>
      <c r="R17" s="11" t="n">
        <v>70.7</v>
      </c>
      <c r="S17" s="12" t="n">
        <v>5.94</v>
      </c>
      <c r="T17" s="7" t="n">
        <v>10</v>
      </c>
      <c r="U17" s="7" t="n">
        <v>46</v>
      </c>
    </row>
    <row r="18" customFormat="false" ht="14.25" hidden="false" customHeight="true" outlineLevel="0" collapsed="false">
      <c r="A18" s="6" t="n">
        <v>2024</v>
      </c>
      <c r="B18" s="6" t="s">
        <v>50</v>
      </c>
      <c r="C18" s="7" t="n">
        <v>8</v>
      </c>
      <c r="D18" s="7" t="n">
        <v>3</v>
      </c>
      <c r="E18" s="7" t="n">
        <v>0</v>
      </c>
      <c r="F18" s="8" t="n">
        <v>0.727</v>
      </c>
      <c r="G18" s="7" t="n">
        <v>90</v>
      </c>
      <c r="H18" s="7" t="n">
        <v>65</v>
      </c>
      <c r="I18" s="7" t="n">
        <v>25</v>
      </c>
      <c r="J18" s="12" t="n">
        <v>8.18</v>
      </c>
      <c r="K18" s="12" t="n">
        <v>5.91</v>
      </c>
      <c r="L18" s="7" t="n">
        <v>340</v>
      </c>
      <c r="M18" s="7" t="n">
        <v>110</v>
      </c>
      <c r="N18" s="7" t="n">
        <v>14</v>
      </c>
      <c r="O18" s="7" t="n">
        <v>0</v>
      </c>
      <c r="P18" s="7" t="n">
        <v>22</v>
      </c>
      <c r="Q18" s="8" t="n">
        <v>0.324</v>
      </c>
      <c r="R18" s="11" t="n">
        <v>75.7</v>
      </c>
      <c r="S18" s="12" t="n">
        <v>3.89</v>
      </c>
      <c r="T18" s="7" t="n">
        <v>8</v>
      </c>
      <c r="U18" s="7" t="n">
        <v>26</v>
      </c>
    </row>
    <row r="19" customFormat="false" ht="14.25" hidden="false" customHeight="true" outlineLevel="0" collapsed="false">
      <c r="A19" s="6" t="n">
        <v>2024</v>
      </c>
      <c r="B19" s="6" t="s">
        <v>147</v>
      </c>
      <c r="C19" s="7" t="n">
        <v>7</v>
      </c>
      <c r="D19" s="7" t="n">
        <v>3</v>
      </c>
      <c r="E19" s="7" t="n">
        <v>0</v>
      </c>
      <c r="F19" s="8" t="n">
        <v>0.7</v>
      </c>
      <c r="G19" s="7" t="n">
        <v>84</v>
      </c>
      <c r="H19" s="7" t="n">
        <v>47</v>
      </c>
      <c r="I19" s="7" t="n">
        <v>37</v>
      </c>
      <c r="J19" s="12" t="n">
        <v>8.4</v>
      </c>
      <c r="K19" s="12" t="n">
        <v>4.7</v>
      </c>
      <c r="L19" s="7" t="n">
        <v>285</v>
      </c>
      <c r="M19" s="7" t="n">
        <v>81</v>
      </c>
      <c r="N19" s="7" t="n">
        <v>23</v>
      </c>
      <c r="O19" s="7" t="n">
        <v>0</v>
      </c>
      <c r="P19" s="7" t="n">
        <v>12</v>
      </c>
      <c r="Q19" s="8" t="n">
        <v>0.284</v>
      </c>
      <c r="R19" s="11" t="n">
        <v>71</v>
      </c>
      <c r="S19" s="12" t="n">
        <v>3.65</v>
      </c>
      <c r="T19" s="7" t="n">
        <v>19</v>
      </c>
      <c r="U19" s="7" t="n">
        <v>20</v>
      </c>
    </row>
    <row r="20" customFormat="false" ht="14.25" hidden="false" customHeight="true" outlineLevel="0" collapsed="false">
      <c r="A20" s="6" t="n">
        <v>2024</v>
      </c>
      <c r="B20" s="6" t="s">
        <v>121</v>
      </c>
      <c r="C20" s="7" t="n">
        <v>8</v>
      </c>
      <c r="D20" s="7" t="n">
        <v>4</v>
      </c>
      <c r="E20" s="7" t="n">
        <v>0</v>
      </c>
      <c r="F20" s="8" t="n">
        <v>0.667</v>
      </c>
      <c r="G20" s="7" t="n">
        <v>76</v>
      </c>
      <c r="H20" s="7" t="n">
        <v>52</v>
      </c>
      <c r="I20" s="7" t="n">
        <v>24</v>
      </c>
      <c r="J20" s="12" t="n">
        <v>6.33</v>
      </c>
      <c r="K20" s="12" t="n">
        <v>4.33</v>
      </c>
      <c r="L20" s="7" t="n">
        <v>405</v>
      </c>
      <c r="M20" s="7" t="n">
        <v>128</v>
      </c>
      <c r="N20" s="7" t="n">
        <v>27</v>
      </c>
      <c r="O20" s="7" t="n">
        <v>2</v>
      </c>
      <c r="P20" s="7" t="n">
        <v>6</v>
      </c>
      <c r="Q20" s="8" t="n">
        <v>0.316</v>
      </c>
      <c r="R20" s="11" t="n">
        <v>90</v>
      </c>
      <c r="S20" s="12" t="n">
        <v>3.34</v>
      </c>
      <c r="T20" s="7" t="n">
        <v>6</v>
      </c>
      <c r="U20" s="7" t="n">
        <v>70</v>
      </c>
    </row>
    <row r="21" customFormat="false" ht="14.25" hidden="false" customHeight="true" outlineLevel="0" collapsed="false">
      <c r="A21" s="6" t="n">
        <v>2024</v>
      </c>
      <c r="B21" s="6" t="s">
        <v>166</v>
      </c>
      <c r="C21" s="7" t="n">
        <v>6</v>
      </c>
      <c r="D21" s="7" t="n">
        <v>3</v>
      </c>
      <c r="E21" s="7" t="n">
        <v>0</v>
      </c>
      <c r="F21" s="8" t="n">
        <v>0.667</v>
      </c>
      <c r="G21" s="7" t="n">
        <v>67</v>
      </c>
      <c r="H21" s="7" t="n">
        <v>53</v>
      </c>
      <c r="I21" s="7" t="n">
        <v>14</v>
      </c>
      <c r="J21" s="12" t="n">
        <v>7.44</v>
      </c>
      <c r="K21" s="12" t="n">
        <v>5.89</v>
      </c>
      <c r="L21" s="7" t="n">
        <v>270</v>
      </c>
      <c r="M21" s="7" t="n">
        <v>85</v>
      </c>
      <c r="N21" s="7" t="n">
        <v>14</v>
      </c>
      <c r="O21" s="7" t="n">
        <v>0</v>
      </c>
      <c r="P21" s="7" t="n">
        <v>16</v>
      </c>
      <c r="Q21" s="8" t="n">
        <v>0.315</v>
      </c>
      <c r="R21" s="11" t="n">
        <v>62</v>
      </c>
      <c r="S21" s="12" t="n">
        <v>4.07</v>
      </c>
      <c r="T21" s="7" t="n">
        <v>18</v>
      </c>
      <c r="U21" s="7" t="n">
        <v>37</v>
      </c>
    </row>
    <row r="22" customFormat="false" ht="14.25" hidden="false" customHeight="true" outlineLevel="0" collapsed="false">
      <c r="A22" s="6" t="n">
        <v>2024</v>
      </c>
      <c r="B22" s="6" t="s">
        <v>71</v>
      </c>
      <c r="C22" s="7" t="n">
        <v>5</v>
      </c>
      <c r="D22" s="7" t="n">
        <v>4</v>
      </c>
      <c r="E22" s="7" t="n">
        <v>0</v>
      </c>
      <c r="F22" s="8" t="n">
        <v>0.556</v>
      </c>
      <c r="G22" s="7" t="n">
        <v>64</v>
      </c>
      <c r="H22" s="7" t="n">
        <v>53</v>
      </c>
      <c r="I22" s="7" t="n">
        <v>11</v>
      </c>
      <c r="J22" s="12" t="n">
        <v>7.11</v>
      </c>
      <c r="K22" s="12" t="n">
        <v>5.89</v>
      </c>
      <c r="L22" s="7" t="n">
        <v>290</v>
      </c>
      <c r="M22" s="7" t="n">
        <v>87</v>
      </c>
      <c r="N22" s="7" t="n">
        <v>12</v>
      </c>
      <c r="O22" s="7" t="n">
        <v>0</v>
      </c>
      <c r="P22" s="7" t="n">
        <v>19</v>
      </c>
      <c r="Q22" s="8" t="n">
        <v>0.3</v>
      </c>
      <c r="R22" s="11" t="n">
        <v>62</v>
      </c>
      <c r="S22" s="12" t="n">
        <v>3.16</v>
      </c>
      <c r="T22" s="7" t="n">
        <v>7</v>
      </c>
      <c r="U22" s="7" t="n">
        <v>16</v>
      </c>
    </row>
    <row r="23" customFormat="false" ht="14.25" hidden="false" customHeight="true" outlineLevel="0" collapsed="false">
      <c r="A23" s="6" t="n">
        <v>2024</v>
      </c>
      <c r="B23" s="6" t="s">
        <v>192</v>
      </c>
      <c r="C23" s="7" t="n">
        <v>2</v>
      </c>
      <c r="D23" s="7" t="n">
        <v>6</v>
      </c>
      <c r="E23" s="7" t="n">
        <v>0</v>
      </c>
      <c r="F23" s="8" t="n">
        <v>0.25</v>
      </c>
      <c r="G23" s="7" t="n">
        <v>29</v>
      </c>
      <c r="H23" s="7" t="n">
        <v>62</v>
      </c>
      <c r="I23" s="7" t="n">
        <v>-33</v>
      </c>
      <c r="J23" s="12" t="n">
        <v>3.62</v>
      </c>
      <c r="K23" s="12" t="n">
        <v>7.75</v>
      </c>
      <c r="L23" s="7" t="n">
        <v>248</v>
      </c>
      <c r="M23" s="7" t="n">
        <v>65</v>
      </c>
      <c r="N23" s="7" t="n">
        <v>11</v>
      </c>
      <c r="O23" s="7" t="n">
        <v>0</v>
      </c>
      <c r="P23" s="7" t="n">
        <v>2</v>
      </c>
      <c r="Q23" s="8" t="n">
        <v>0.262</v>
      </c>
      <c r="R23" s="11" t="n">
        <v>60</v>
      </c>
      <c r="S23" s="12" t="n">
        <v>4.55</v>
      </c>
      <c r="T23" s="7" t="n">
        <v>8</v>
      </c>
      <c r="U23" s="7" t="n">
        <v>37</v>
      </c>
    </row>
    <row r="24" customFormat="false" ht="14.25" hidden="false" customHeight="true" outlineLevel="0" collapsed="false">
      <c r="A24" s="6" t="n">
        <v>2024</v>
      </c>
      <c r="B24" s="6" t="s">
        <v>212</v>
      </c>
      <c r="C24" s="7" t="n">
        <v>1</v>
      </c>
      <c r="D24" s="7" t="n">
        <v>6</v>
      </c>
      <c r="E24" s="7" t="n">
        <v>0</v>
      </c>
      <c r="F24" s="8" t="n">
        <v>0.143</v>
      </c>
      <c r="G24" s="7" t="n">
        <v>40</v>
      </c>
      <c r="H24" s="7" t="n">
        <v>64</v>
      </c>
      <c r="I24" s="7" t="n">
        <v>-24</v>
      </c>
      <c r="J24" s="12" t="n">
        <v>5.71</v>
      </c>
      <c r="K24" s="12" t="n">
        <v>9.14</v>
      </c>
      <c r="L24" s="7" t="n">
        <v>238</v>
      </c>
      <c r="M24" s="7" t="n">
        <v>63</v>
      </c>
      <c r="N24" s="7" t="n">
        <v>13</v>
      </c>
      <c r="O24" s="7" t="n">
        <v>0</v>
      </c>
      <c r="P24" s="7" t="n">
        <v>4</v>
      </c>
      <c r="Q24" s="8" t="n">
        <v>0.265</v>
      </c>
      <c r="R24" s="11" t="n">
        <v>49</v>
      </c>
      <c r="S24" s="12" t="n">
        <v>6.57</v>
      </c>
      <c r="T24" s="7" t="n">
        <v>3</v>
      </c>
      <c r="U24" s="7" t="n">
        <v>34</v>
      </c>
    </row>
    <row r="25" customFormat="false" ht="14.25" hidden="false" customHeight="true" outlineLevel="0" collapsed="false">
      <c r="A25" s="6" t="n">
        <v>2024</v>
      </c>
      <c r="B25" s="6" t="s">
        <v>97</v>
      </c>
      <c r="C25" s="7" t="n">
        <v>0</v>
      </c>
      <c r="D25" s="7" t="n">
        <v>8</v>
      </c>
      <c r="E25" s="7" t="n">
        <v>0</v>
      </c>
      <c r="F25" s="8" t="n">
        <v>0</v>
      </c>
      <c r="G25" s="7" t="n">
        <v>13</v>
      </c>
      <c r="H25" s="7" t="n">
        <v>67</v>
      </c>
      <c r="I25" s="7" t="n">
        <v>-54</v>
      </c>
      <c r="J25" s="12" t="n">
        <v>1.62</v>
      </c>
      <c r="K25" s="12" t="n">
        <v>8.38</v>
      </c>
      <c r="L25" s="7" t="n">
        <v>210</v>
      </c>
      <c r="M25" s="7" t="n">
        <v>42</v>
      </c>
      <c r="N25" s="7" t="n">
        <v>7</v>
      </c>
      <c r="O25" s="7" t="n">
        <v>0</v>
      </c>
      <c r="P25" s="7" t="n">
        <v>4</v>
      </c>
      <c r="Q25" s="8" t="n">
        <v>0.2</v>
      </c>
      <c r="R25" s="11" t="n">
        <v>52</v>
      </c>
      <c r="S25" s="12" t="n">
        <v>6.46</v>
      </c>
      <c r="T25" s="7" t="n">
        <v>10</v>
      </c>
      <c r="U25" s="7" t="n">
        <v>38</v>
      </c>
    </row>
    <row r="26" customFormat="false" ht="14.25" hidden="false" customHeight="true" outlineLevel="0" collapsed="false">
      <c r="A26" s="6" t="n">
        <v>2023</v>
      </c>
      <c r="B26" s="6" t="s">
        <v>166</v>
      </c>
      <c r="C26" s="7" t="n">
        <v>9</v>
      </c>
      <c r="D26" s="7" t="n">
        <v>6</v>
      </c>
      <c r="E26" s="7" t="n">
        <v>0</v>
      </c>
      <c r="F26" s="8" t="n">
        <v>0.6</v>
      </c>
      <c r="G26" s="7" t="n">
        <v>95</v>
      </c>
      <c r="H26" s="7" t="n">
        <v>72</v>
      </c>
      <c r="I26" s="7" t="n">
        <v>23</v>
      </c>
      <c r="J26" s="12" t="n">
        <v>6.33</v>
      </c>
      <c r="K26" s="12" t="n">
        <v>4.8</v>
      </c>
      <c r="L26" s="7" t="n">
        <v>433</v>
      </c>
      <c r="M26" s="7" t="n">
        <v>115</v>
      </c>
      <c r="N26" s="7" t="n">
        <v>14</v>
      </c>
      <c r="O26" s="7" t="n">
        <v>1</v>
      </c>
      <c r="P26" s="7" t="n">
        <v>23</v>
      </c>
      <c r="Q26" s="8" t="n">
        <v>0.266</v>
      </c>
      <c r="R26" s="11" t="n">
        <v>105.3</v>
      </c>
      <c r="S26" s="12" t="n">
        <v>2.46</v>
      </c>
      <c r="T26" s="7" t="n">
        <v>47</v>
      </c>
      <c r="U26" s="7" t="n">
        <v>42</v>
      </c>
    </row>
    <row r="27" customFormat="false" ht="14.25" hidden="false" customHeight="true" outlineLevel="0" collapsed="false">
      <c r="A27" s="6" t="n">
        <v>2023</v>
      </c>
      <c r="B27" s="6" t="s">
        <v>50</v>
      </c>
      <c r="C27" s="7" t="n">
        <v>8</v>
      </c>
      <c r="D27" s="7" t="n">
        <v>6</v>
      </c>
      <c r="E27" s="7" t="n">
        <v>0</v>
      </c>
      <c r="F27" s="8" t="n">
        <v>0.571</v>
      </c>
      <c r="G27" s="7" t="n">
        <v>70</v>
      </c>
      <c r="H27" s="7" t="n">
        <v>42</v>
      </c>
      <c r="I27" s="7" t="n">
        <v>28</v>
      </c>
      <c r="J27" s="12" t="n">
        <v>5</v>
      </c>
      <c r="K27" s="12" t="n">
        <v>3</v>
      </c>
      <c r="L27" s="7" t="n">
        <v>403</v>
      </c>
      <c r="M27" s="7" t="n">
        <v>101</v>
      </c>
      <c r="N27" s="7" t="n">
        <v>19</v>
      </c>
      <c r="O27" s="7" t="n">
        <v>0</v>
      </c>
      <c r="P27" s="7" t="n">
        <v>10</v>
      </c>
      <c r="Q27" s="8" t="n">
        <v>0.251</v>
      </c>
      <c r="R27" s="11" t="n">
        <v>98</v>
      </c>
      <c r="S27" s="12" t="n">
        <v>2.71</v>
      </c>
      <c r="T27" s="7" t="n">
        <v>15</v>
      </c>
      <c r="U27" s="7" t="n">
        <v>30</v>
      </c>
    </row>
    <row r="28" customFormat="false" ht="14.25" hidden="false" customHeight="true" outlineLevel="0" collapsed="false">
      <c r="A28" s="6" t="n">
        <v>2023</v>
      </c>
      <c r="B28" s="6" t="s">
        <v>147</v>
      </c>
      <c r="C28" s="7" t="n">
        <v>7</v>
      </c>
      <c r="D28" s="7" t="n">
        <v>5</v>
      </c>
      <c r="E28" s="7" t="n">
        <v>1</v>
      </c>
      <c r="F28" s="8" t="n">
        <v>0.538</v>
      </c>
      <c r="G28" s="7" t="n">
        <v>71</v>
      </c>
      <c r="H28" s="7" t="n">
        <v>60</v>
      </c>
      <c r="I28" s="7" t="n">
        <v>11</v>
      </c>
      <c r="J28" s="12" t="n">
        <v>5.46</v>
      </c>
      <c r="K28" s="12" t="n">
        <v>4.62</v>
      </c>
      <c r="L28" s="7" t="n">
        <v>339</v>
      </c>
      <c r="M28" s="7" t="n">
        <v>87</v>
      </c>
      <c r="N28" s="7" t="n">
        <v>18</v>
      </c>
      <c r="O28" s="7" t="n">
        <v>0</v>
      </c>
      <c r="P28" s="7" t="n">
        <v>15</v>
      </c>
      <c r="Q28" s="8" t="n">
        <v>0.257</v>
      </c>
      <c r="R28" s="11" t="n">
        <v>83</v>
      </c>
      <c r="S28" s="12" t="n">
        <v>3.71</v>
      </c>
      <c r="T28" s="7" t="n">
        <v>27</v>
      </c>
      <c r="U28" s="7" t="n">
        <v>49</v>
      </c>
    </row>
    <row r="29" customFormat="false" ht="14.25" hidden="false" customHeight="true" outlineLevel="0" collapsed="false">
      <c r="A29" s="6" t="n">
        <v>2023</v>
      </c>
      <c r="B29" s="6" t="s">
        <v>71</v>
      </c>
      <c r="C29" s="7" t="n">
        <v>7</v>
      </c>
      <c r="D29" s="7" t="n">
        <v>6</v>
      </c>
      <c r="E29" s="7" t="n">
        <v>1</v>
      </c>
      <c r="F29" s="8" t="n">
        <v>0.5</v>
      </c>
      <c r="G29" s="7" t="n">
        <v>80</v>
      </c>
      <c r="H29" s="7" t="n">
        <v>71</v>
      </c>
      <c r="I29" s="7" t="n">
        <v>9</v>
      </c>
      <c r="J29" s="12" t="n">
        <v>5.71</v>
      </c>
      <c r="K29" s="12" t="n">
        <v>5.07</v>
      </c>
      <c r="L29" s="7" t="n">
        <v>385</v>
      </c>
      <c r="M29" s="7" t="n">
        <v>100</v>
      </c>
      <c r="N29" s="7" t="n">
        <v>5</v>
      </c>
      <c r="O29" s="7" t="n">
        <v>0</v>
      </c>
      <c r="P29" s="7" t="n">
        <v>22</v>
      </c>
      <c r="Q29" s="8" t="n">
        <v>0.26</v>
      </c>
      <c r="R29" s="11" t="n">
        <v>87</v>
      </c>
      <c r="S29" s="12" t="n">
        <v>3.87</v>
      </c>
      <c r="T29" s="7" t="n">
        <v>17</v>
      </c>
      <c r="U29" s="7" t="n">
        <v>45</v>
      </c>
    </row>
    <row r="30" customFormat="false" ht="14.25" hidden="false" customHeight="true" outlineLevel="0" collapsed="false">
      <c r="A30" s="6" t="n">
        <v>2023</v>
      </c>
      <c r="B30" s="6" t="s">
        <v>192</v>
      </c>
      <c r="C30" s="7" t="n">
        <v>6</v>
      </c>
      <c r="D30" s="7" t="n">
        <v>7</v>
      </c>
      <c r="E30" s="7" t="n">
        <v>0</v>
      </c>
      <c r="F30" s="8" t="n">
        <v>0.462</v>
      </c>
      <c r="G30" s="7" t="n">
        <v>68</v>
      </c>
      <c r="H30" s="7" t="n">
        <v>68</v>
      </c>
      <c r="I30" s="7" t="n">
        <v>0</v>
      </c>
      <c r="J30" s="12" t="n">
        <v>5.23</v>
      </c>
      <c r="K30" s="12" t="n">
        <v>5.23</v>
      </c>
      <c r="L30" s="7" t="n">
        <v>379</v>
      </c>
      <c r="M30" s="7" t="n">
        <v>106</v>
      </c>
      <c r="N30" s="7" t="n">
        <v>19</v>
      </c>
      <c r="O30" s="7" t="n">
        <v>0</v>
      </c>
      <c r="P30" s="7" t="n">
        <v>7</v>
      </c>
      <c r="Q30" s="8" t="n">
        <v>0.28</v>
      </c>
      <c r="R30" s="11" t="n">
        <v>86.3</v>
      </c>
      <c r="S30" s="12" t="n">
        <v>4.62</v>
      </c>
      <c r="T30" s="7" t="n">
        <v>23</v>
      </c>
      <c r="U30" s="7" t="n">
        <v>73</v>
      </c>
    </row>
    <row r="31" customFormat="false" ht="14.25" hidden="false" customHeight="true" outlineLevel="0" collapsed="false">
      <c r="A31" s="6" t="n">
        <v>2023</v>
      </c>
      <c r="B31" s="6" t="s">
        <v>121</v>
      </c>
      <c r="C31" s="7" t="n">
        <v>6</v>
      </c>
      <c r="D31" s="7" t="n">
        <v>7</v>
      </c>
      <c r="E31" s="7" t="n">
        <v>0</v>
      </c>
      <c r="F31" s="8" t="n">
        <v>0.462</v>
      </c>
      <c r="G31" s="7" t="n">
        <v>66</v>
      </c>
      <c r="H31" s="7" t="n">
        <v>90</v>
      </c>
      <c r="I31" s="7" t="n">
        <v>-24</v>
      </c>
      <c r="J31" s="12" t="n">
        <v>5.08</v>
      </c>
      <c r="K31" s="12" t="n">
        <v>6.92</v>
      </c>
      <c r="L31" s="7" t="n">
        <v>376</v>
      </c>
      <c r="M31" s="7" t="n">
        <v>108</v>
      </c>
      <c r="N31" s="7" t="n">
        <v>19</v>
      </c>
      <c r="O31" s="7" t="n">
        <v>0</v>
      </c>
      <c r="P31" s="7" t="n">
        <v>9</v>
      </c>
      <c r="Q31" s="8" t="n">
        <v>0.287</v>
      </c>
      <c r="R31" s="11" t="n">
        <v>86.3</v>
      </c>
      <c r="S31" s="12" t="n">
        <v>6.25</v>
      </c>
      <c r="T31" s="7" t="n">
        <v>15</v>
      </c>
      <c r="U31" s="7" t="n">
        <v>59</v>
      </c>
    </row>
    <row r="32" customFormat="false" ht="14.25" hidden="false" customHeight="true" outlineLevel="0" collapsed="false">
      <c r="A32" s="6" t="n">
        <v>2023</v>
      </c>
      <c r="B32" s="6" t="s">
        <v>97</v>
      </c>
      <c r="C32" s="7" t="n">
        <v>5</v>
      </c>
      <c r="D32" s="7" t="n">
        <v>7</v>
      </c>
      <c r="E32" s="7" t="n">
        <v>0</v>
      </c>
      <c r="F32" s="8" t="n">
        <v>0.417</v>
      </c>
      <c r="G32" s="7" t="n">
        <v>70</v>
      </c>
      <c r="H32" s="7" t="n">
        <v>106</v>
      </c>
      <c r="I32" s="7" t="n">
        <v>-36</v>
      </c>
      <c r="J32" s="12" t="n">
        <v>5.83</v>
      </c>
      <c r="K32" s="12" t="n">
        <v>8.83</v>
      </c>
      <c r="L32" s="7" t="n">
        <v>374</v>
      </c>
      <c r="M32" s="7" t="n">
        <v>117</v>
      </c>
      <c r="N32" s="7" t="n">
        <v>23</v>
      </c>
      <c r="O32" s="7" t="n">
        <v>1</v>
      </c>
      <c r="P32" s="7" t="n">
        <v>12</v>
      </c>
      <c r="Q32" s="8" t="n">
        <v>0.313</v>
      </c>
      <c r="R32" s="11" t="n">
        <v>83.7</v>
      </c>
      <c r="S32" s="12" t="n">
        <v>7.19</v>
      </c>
      <c r="T32" s="7" t="n">
        <v>12</v>
      </c>
      <c r="U32" s="7" t="n">
        <v>74</v>
      </c>
    </row>
    <row r="33" customFormat="false" ht="14.25" hidden="false" customHeight="true" outlineLevel="0" collapsed="false">
      <c r="A33" s="6" t="n">
        <v>2023</v>
      </c>
      <c r="B33" s="6" t="s">
        <v>212</v>
      </c>
      <c r="C33" s="7" t="n">
        <v>4</v>
      </c>
      <c r="D33" s="7" t="n">
        <v>8</v>
      </c>
      <c r="E33" s="7" t="n">
        <v>0</v>
      </c>
      <c r="F33" s="8" t="n">
        <v>0.333</v>
      </c>
      <c r="G33" s="7" t="n">
        <v>54</v>
      </c>
      <c r="H33" s="7" t="n">
        <v>65</v>
      </c>
      <c r="I33" s="7" t="n">
        <v>-11</v>
      </c>
      <c r="J33" s="12" t="n">
        <v>4.5</v>
      </c>
      <c r="K33" s="12" t="n">
        <v>5.42</v>
      </c>
      <c r="L33" s="7" t="n">
        <v>333</v>
      </c>
      <c r="M33" s="7" t="n">
        <v>77</v>
      </c>
      <c r="N33" s="7" t="n">
        <v>12</v>
      </c>
      <c r="O33" s="7" t="n">
        <v>2</v>
      </c>
      <c r="P33" s="7" t="n">
        <v>10</v>
      </c>
      <c r="Q33" s="8" t="n">
        <v>0.231</v>
      </c>
      <c r="R33" s="11" t="n">
        <v>80</v>
      </c>
      <c r="S33" s="12" t="n">
        <v>3.94</v>
      </c>
      <c r="T33" s="7" t="n">
        <v>7</v>
      </c>
      <c r="U33" s="7" t="n">
        <v>31</v>
      </c>
    </row>
    <row r="34" customFormat="false" ht="14.25" hidden="false" customHeight="true" outlineLevel="0" collapsed="false">
      <c r="A34" s="6" t="n">
        <v>2022</v>
      </c>
      <c r="B34" s="6" t="s">
        <v>147</v>
      </c>
      <c r="C34" s="7" t="n">
        <v>10</v>
      </c>
      <c r="D34" s="7" t="n">
        <v>4</v>
      </c>
      <c r="E34" s="7" t="n">
        <v>0</v>
      </c>
      <c r="F34" s="8" t="n">
        <v>0.714</v>
      </c>
      <c r="G34" s="7" t="n">
        <v>95</v>
      </c>
      <c r="H34" s="7" t="n">
        <v>58</v>
      </c>
      <c r="I34" s="7" t="n">
        <v>37</v>
      </c>
      <c r="J34" s="12" t="n">
        <v>6.79</v>
      </c>
      <c r="K34" s="12" t="n">
        <v>4.14</v>
      </c>
      <c r="L34" s="7" t="n">
        <v>412</v>
      </c>
      <c r="M34" s="7" t="n">
        <v>122</v>
      </c>
      <c r="N34" s="7" t="n">
        <v>24</v>
      </c>
      <c r="O34" s="7" t="n">
        <v>0</v>
      </c>
      <c r="P34" s="7" t="n">
        <v>13</v>
      </c>
      <c r="Q34" s="8" t="n">
        <v>0.296</v>
      </c>
      <c r="R34" s="11" t="n">
        <v>96.7</v>
      </c>
      <c r="S34" s="12" t="n">
        <v>3.26</v>
      </c>
      <c r="T34" s="7" t="n">
        <v>44</v>
      </c>
      <c r="U34" s="7" t="n">
        <v>54</v>
      </c>
    </row>
    <row r="35" customFormat="false" ht="14.25" hidden="false" customHeight="true" outlineLevel="0" collapsed="false">
      <c r="A35" s="6" t="n">
        <v>2022</v>
      </c>
      <c r="B35" s="6" t="s">
        <v>166</v>
      </c>
      <c r="C35" s="7" t="n">
        <v>9</v>
      </c>
      <c r="D35" s="7" t="n">
        <v>4</v>
      </c>
      <c r="E35" s="7" t="n">
        <v>0</v>
      </c>
      <c r="F35" s="8" t="n">
        <v>0.692</v>
      </c>
      <c r="G35" s="7" t="n">
        <v>103</v>
      </c>
      <c r="H35" s="7" t="n">
        <v>45</v>
      </c>
      <c r="I35" s="7" t="n">
        <v>58</v>
      </c>
      <c r="J35" s="12" t="n">
        <v>7.92</v>
      </c>
      <c r="K35" s="12" t="n">
        <v>3.46</v>
      </c>
      <c r="L35" s="7" t="n">
        <v>419</v>
      </c>
      <c r="M35" s="7" t="n">
        <v>133</v>
      </c>
      <c r="N35" s="7" t="n">
        <v>16</v>
      </c>
      <c r="O35" s="7" t="n">
        <v>0</v>
      </c>
      <c r="P35" s="7" t="n">
        <v>32</v>
      </c>
      <c r="Q35" s="8" t="n">
        <v>0.317</v>
      </c>
      <c r="R35" s="11" t="n">
        <v>90</v>
      </c>
      <c r="S35" s="12" t="n">
        <v>2.41</v>
      </c>
      <c r="T35" s="7" t="n">
        <v>29</v>
      </c>
      <c r="U35" s="7" t="n">
        <v>54</v>
      </c>
    </row>
    <row r="36" customFormat="false" ht="14.25" hidden="false" customHeight="true" outlineLevel="0" collapsed="false">
      <c r="A36" s="6" t="n">
        <v>2022</v>
      </c>
      <c r="B36" s="6" t="s">
        <v>50</v>
      </c>
      <c r="C36" s="7" t="n">
        <v>8</v>
      </c>
      <c r="D36" s="7" t="n">
        <v>5</v>
      </c>
      <c r="E36" s="7" t="n">
        <v>0</v>
      </c>
      <c r="F36" s="8" t="n">
        <v>0.615</v>
      </c>
      <c r="G36" s="7" t="n">
        <v>97</v>
      </c>
      <c r="H36" s="7" t="n">
        <v>66</v>
      </c>
      <c r="I36" s="7" t="n">
        <v>31</v>
      </c>
      <c r="J36" s="12" t="n">
        <v>7.46</v>
      </c>
      <c r="K36" s="12" t="n">
        <v>5.08</v>
      </c>
      <c r="L36" s="7" t="n">
        <v>382</v>
      </c>
      <c r="M36" s="7" t="n">
        <v>116</v>
      </c>
      <c r="N36" s="7" t="n">
        <v>29</v>
      </c>
      <c r="O36" s="7" t="n">
        <v>0</v>
      </c>
      <c r="P36" s="7" t="n">
        <v>14</v>
      </c>
      <c r="Q36" s="8" t="n">
        <v>0.304</v>
      </c>
      <c r="R36" s="11" t="n">
        <v>90</v>
      </c>
      <c r="S36" s="12" t="n">
        <v>3.42</v>
      </c>
      <c r="T36" s="7" t="n">
        <v>12</v>
      </c>
      <c r="U36" s="7" t="n">
        <v>17</v>
      </c>
    </row>
    <row r="37" customFormat="false" ht="14.25" hidden="false" customHeight="true" outlineLevel="0" collapsed="false">
      <c r="A37" s="6" t="n">
        <v>2022</v>
      </c>
      <c r="B37" s="6" t="s">
        <v>212</v>
      </c>
      <c r="C37" s="7" t="n">
        <v>8</v>
      </c>
      <c r="D37" s="7" t="n">
        <v>6</v>
      </c>
      <c r="E37" s="7" t="n">
        <v>0</v>
      </c>
      <c r="F37" s="8" t="n">
        <v>0.571</v>
      </c>
      <c r="G37" s="7" t="n">
        <v>73</v>
      </c>
      <c r="H37" s="7" t="n">
        <v>86</v>
      </c>
      <c r="I37" s="7" t="n">
        <v>-13</v>
      </c>
      <c r="J37" s="12" t="n">
        <v>5.21</v>
      </c>
      <c r="K37" s="12" t="n">
        <v>6.14</v>
      </c>
      <c r="L37" s="7" t="n">
        <v>411</v>
      </c>
      <c r="M37" s="7" t="n">
        <v>113</v>
      </c>
      <c r="N37" s="7" t="n">
        <v>26</v>
      </c>
      <c r="O37" s="7" t="n">
        <v>3</v>
      </c>
      <c r="P37" s="7" t="n">
        <v>9</v>
      </c>
      <c r="Q37" s="8" t="n">
        <v>0.275</v>
      </c>
      <c r="R37" s="11" t="n">
        <v>95</v>
      </c>
      <c r="S37" s="12" t="n">
        <v>3.76</v>
      </c>
      <c r="T37" s="7" t="n">
        <v>12</v>
      </c>
      <c r="U37" s="7" t="n">
        <v>56</v>
      </c>
    </row>
    <row r="38" customFormat="false" ht="14.25" hidden="false" customHeight="true" outlineLevel="0" collapsed="false">
      <c r="A38" s="6" t="n">
        <v>2022</v>
      </c>
      <c r="B38" s="6" t="s">
        <v>71</v>
      </c>
      <c r="C38" s="7" t="n">
        <v>6</v>
      </c>
      <c r="D38" s="7" t="n">
        <v>8</v>
      </c>
      <c r="E38" s="7" t="n">
        <v>0</v>
      </c>
      <c r="F38" s="8" t="n">
        <v>0.429</v>
      </c>
      <c r="G38" s="7" t="n">
        <v>100</v>
      </c>
      <c r="H38" s="7" t="n">
        <v>97</v>
      </c>
      <c r="I38" s="7" t="n">
        <v>3</v>
      </c>
      <c r="J38" s="12" t="n">
        <v>7.14</v>
      </c>
      <c r="K38" s="12" t="n">
        <v>6.93</v>
      </c>
      <c r="L38" s="7" t="n">
        <v>423</v>
      </c>
      <c r="M38" s="7" t="n">
        <v>135</v>
      </c>
      <c r="N38" s="7" t="n">
        <v>19</v>
      </c>
      <c r="O38" s="7" t="n">
        <v>0</v>
      </c>
      <c r="P38" s="7" t="n">
        <v>18</v>
      </c>
      <c r="Q38" s="8" t="n">
        <v>0.319</v>
      </c>
      <c r="R38" s="11" t="n">
        <v>95</v>
      </c>
      <c r="S38" s="12" t="n">
        <v>5.01</v>
      </c>
      <c r="T38" s="7" t="n">
        <v>14</v>
      </c>
      <c r="U38" s="7" t="n">
        <v>39</v>
      </c>
    </row>
    <row r="39" customFormat="false" ht="14.25" hidden="false" customHeight="true" outlineLevel="0" collapsed="false">
      <c r="A39" s="6" t="n">
        <v>2022</v>
      </c>
      <c r="B39" s="6" t="s">
        <v>192</v>
      </c>
      <c r="C39" s="7" t="n">
        <v>5</v>
      </c>
      <c r="D39" s="7" t="n">
        <v>7</v>
      </c>
      <c r="E39" s="7" t="n">
        <v>0</v>
      </c>
      <c r="F39" s="8" t="n">
        <v>0.417</v>
      </c>
      <c r="G39" s="7" t="n">
        <v>56</v>
      </c>
      <c r="H39" s="7" t="n">
        <v>66</v>
      </c>
      <c r="I39" s="7" t="n">
        <v>-10</v>
      </c>
      <c r="J39" s="12" t="n">
        <v>4.67</v>
      </c>
      <c r="K39" s="12" t="n">
        <v>5.5</v>
      </c>
      <c r="L39" s="7" t="n">
        <v>340</v>
      </c>
      <c r="M39" s="7" t="n">
        <v>88</v>
      </c>
      <c r="N39" s="7" t="n">
        <v>9</v>
      </c>
      <c r="O39" s="7" t="n">
        <v>0</v>
      </c>
      <c r="P39" s="7" t="n">
        <v>13</v>
      </c>
      <c r="Q39" s="8" t="n">
        <v>0.259</v>
      </c>
      <c r="R39" s="11" t="n">
        <v>80</v>
      </c>
      <c r="S39" s="12" t="n">
        <v>3.76</v>
      </c>
      <c r="T39" s="7" t="n">
        <v>13</v>
      </c>
      <c r="U39" s="7" t="n">
        <v>53</v>
      </c>
    </row>
    <row r="40" customFormat="false" ht="14.25" hidden="false" customHeight="true" outlineLevel="0" collapsed="false">
      <c r="A40" s="6" t="n">
        <v>2022</v>
      </c>
      <c r="B40" s="6" t="s">
        <v>121</v>
      </c>
      <c r="C40" s="7" t="n">
        <v>5</v>
      </c>
      <c r="D40" s="7" t="n">
        <v>7</v>
      </c>
      <c r="E40" s="7" t="n">
        <v>0</v>
      </c>
      <c r="F40" s="8" t="n">
        <v>0.417</v>
      </c>
      <c r="G40" s="7" t="n">
        <v>60</v>
      </c>
      <c r="H40" s="7" t="n">
        <v>88</v>
      </c>
      <c r="I40" s="7" t="n">
        <v>-28</v>
      </c>
      <c r="J40" s="12" t="n">
        <v>5</v>
      </c>
      <c r="K40" s="12" t="n">
        <v>7.33</v>
      </c>
      <c r="L40" s="7" t="n">
        <v>340</v>
      </c>
      <c r="M40" s="7" t="n">
        <v>84</v>
      </c>
      <c r="N40" s="7" t="n">
        <v>13</v>
      </c>
      <c r="O40" s="7" t="n">
        <v>1</v>
      </c>
      <c r="P40" s="7" t="n">
        <v>6</v>
      </c>
      <c r="Q40" s="8" t="n">
        <v>0.247</v>
      </c>
      <c r="R40" s="11" t="n">
        <v>80</v>
      </c>
      <c r="S40" s="12" t="n">
        <v>6.39</v>
      </c>
      <c r="T40" s="7" t="n">
        <v>15</v>
      </c>
      <c r="U40" s="7" t="n">
        <v>56</v>
      </c>
    </row>
    <row r="41" customFormat="false" ht="14.25" hidden="false" customHeight="true" outlineLevel="0" collapsed="false">
      <c r="A41" s="6" t="n">
        <v>2022</v>
      </c>
      <c r="B41" s="6" t="s">
        <v>97</v>
      </c>
      <c r="C41" s="7" t="n">
        <v>1</v>
      </c>
      <c r="D41" s="7" t="n">
        <v>11</v>
      </c>
      <c r="E41" s="7" t="n">
        <v>0</v>
      </c>
      <c r="F41" s="8" t="n">
        <v>0.083</v>
      </c>
      <c r="G41" s="7" t="n">
        <v>39</v>
      </c>
      <c r="H41" s="7" t="n">
        <v>117</v>
      </c>
      <c r="I41" s="7" t="n">
        <v>-78</v>
      </c>
      <c r="J41" s="12" t="n">
        <v>3.25</v>
      </c>
      <c r="K41" s="12" t="n">
        <v>9.75</v>
      </c>
      <c r="L41" s="7" t="n">
        <v>349</v>
      </c>
      <c r="M41" s="7" t="n">
        <v>92</v>
      </c>
      <c r="N41" s="7" t="n">
        <v>13</v>
      </c>
      <c r="O41" s="7" t="n">
        <v>0</v>
      </c>
      <c r="P41" s="7" t="n">
        <v>5</v>
      </c>
      <c r="Q41" s="8" t="n">
        <v>0.264</v>
      </c>
      <c r="R41" s="11" t="n">
        <v>77</v>
      </c>
      <c r="S41" s="12" t="n">
        <v>5.91</v>
      </c>
      <c r="T41" s="7" t="n">
        <v>8</v>
      </c>
      <c r="U41" s="7" t="n">
        <v>47</v>
      </c>
    </row>
    <row r="42" customFormat="false" ht="14.25" hidden="false" customHeight="true" outlineLevel="0" collapsed="false">
      <c r="A42" s="6" t="n">
        <v>2021</v>
      </c>
      <c r="B42" s="6" t="s">
        <v>147</v>
      </c>
      <c r="C42" s="7" t="n">
        <v>7</v>
      </c>
      <c r="D42" s="7" t="n">
        <v>1</v>
      </c>
      <c r="E42" s="7" t="n">
        <v>0</v>
      </c>
      <c r="F42" s="8" t="n">
        <v>0.875</v>
      </c>
      <c r="G42" s="7" t="n">
        <v>66</v>
      </c>
      <c r="H42" s="7" t="n">
        <v>20</v>
      </c>
      <c r="I42" s="7" t="n">
        <v>46</v>
      </c>
      <c r="J42" s="12" t="n">
        <v>8.25</v>
      </c>
      <c r="K42" s="12" t="n">
        <v>2.5</v>
      </c>
      <c r="L42" s="7" t="n">
        <v>235</v>
      </c>
      <c r="M42" s="7" t="n">
        <v>70</v>
      </c>
      <c r="N42" s="7" t="n">
        <v>8</v>
      </c>
      <c r="O42" s="7" t="n">
        <v>1</v>
      </c>
      <c r="P42" s="7" t="n">
        <v>14</v>
      </c>
      <c r="Q42" s="8" t="n">
        <v>0.298</v>
      </c>
      <c r="R42" s="11" t="n">
        <v>57</v>
      </c>
      <c r="S42" s="12" t="n">
        <v>2.21</v>
      </c>
      <c r="T42" s="7" t="n">
        <v>24</v>
      </c>
      <c r="U42" s="7" t="n">
        <v>25</v>
      </c>
    </row>
    <row r="43" customFormat="false" ht="14.25" hidden="false" customHeight="true" outlineLevel="0" collapsed="false">
      <c r="A43" s="6" t="n">
        <v>2021</v>
      </c>
      <c r="B43" s="6" t="s">
        <v>50</v>
      </c>
      <c r="C43" s="7" t="n">
        <v>7</v>
      </c>
      <c r="D43" s="7" t="n">
        <v>2</v>
      </c>
      <c r="E43" s="7" t="n">
        <v>0</v>
      </c>
      <c r="F43" s="8" t="n">
        <v>0.778</v>
      </c>
      <c r="G43" s="7" t="n">
        <v>87</v>
      </c>
      <c r="H43" s="7" t="n">
        <v>33</v>
      </c>
      <c r="I43" s="7" t="n">
        <v>54</v>
      </c>
      <c r="J43" s="12" t="n">
        <v>9.67</v>
      </c>
      <c r="K43" s="12" t="n">
        <v>3.67</v>
      </c>
      <c r="L43" s="7" t="n">
        <v>293</v>
      </c>
      <c r="M43" s="7" t="n">
        <v>98</v>
      </c>
      <c r="N43" s="7" t="n">
        <v>15</v>
      </c>
      <c r="O43" s="7" t="n">
        <v>1</v>
      </c>
      <c r="P43" s="7" t="n">
        <v>18</v>
      </c>
      <c r="Q43" s="8" t="n">
        <v>0.334</v>
      </c>
      <c r="R43" s="11" t="n">
        <v>63</v>
      </c>
      <c r="S43" s="12" t="n">
        <v>2.22</v>
      </c>
      <c r="T43" s="7" t="n">
        <v>4</v>
      </c>
      <c r="U43" s="7" t="n">
        <v>13</v>
      </c>
    </row>
    <row r="44" customFormat="false" ht="14.25" hidden="false" customHeight="true" outlineLevel="0" collapsed="false">
      <c r="A44" s="6" t="n">
        <v>2021</v>
      </c>
      <c r="B44" s="6" t="s">
        <v>166</v>
      </c>
      <c r="C44" s="7" t="n">
        <v>7</v>
      </c>
      <c r="D44" s="7" t="n">
        <v>5</v>
      </c>
      <c r="E44" s="7" t="n">
        <v>0</v>
      </c>
      <c r="F44" s="8" t="n">
        <v>0.583</v>
      </c>
      <c r="G44" s="7" t="n">
        <v>61</v>
      </c>
      <c r="H44" s="7" t="n">
        <v>46</v>
      </c>
      <c r="I44" s="7" t="n">
        <v>15</v>
      </c>
      <c r="J44" s="12" t="n">
        <v>5.08</v>
      </c>
      <c r="K44" s="12" t="n">
        <v>3.83</v>
      </c>
      <c r="L44" s="7" t="n">
        <v>349</v>
      </c>
      <c r="M44" s="7" t="n">
        <v>99</v>
      </c>
      <c r="N44" s="7" t="n">
        <v>9</v>
      </c>
      <c r="O44" s="7" t="n">
        <v>0</v>
      </c>
      <c r="P44" s="7" t="n">
        <v>18</v>
      </c>
      <c r="Q44" s="8" t="n">
        <v>0.284</v>
      </c>
      <c r="R44" s="11" t="n">
        <v>84.3</v>
      </c>
      <c r="S44" s="12" t="n">
        <v>2.49</v>
      </c>
      <c r="T44" s="7" t="n">
        <v>37</v>
      </c>
      <c r="U44" s="7" t="n">
        <v>34</v>
      </c>
    </row>
    <row r="45" customFormat="false" ht="14.25" hidden="false" customHeight="true" outlineLevel="0" collapsed="false">
      <c r="A45" s="6" t="n">
        <v>2021</v>
      </c>
      <c r="B45" s="6" t="s">
        <v>192</v>
      </c>
      <c r="C45" s="7" t="n">
        <v>5</v>
      </c>
      <c r="D45" s="7" t="n">
        <v>4</v>
      </c>
      <c r="E45" s="7" t="n">
        <v>0</v>
      </c>
      <c r="F45" s="8" t="n">
        <v>0.556</v>
      </c>
      <c r="G45" s="7" t="n">
        <v>47</v>
      </c>
      <c r="H45" s="7" t="n">
        <v>35</v>
      </c>
      <c r="I45" s="7" t="n">
        <v>12</v>
      </c>
      <c r="J45" s="12" t="n">
        <v>5.22</v>
      </c>
      <c r="K45" s="12" t="n">
        <v>3.89</v>
      </c>
      <c r="L45" s="7" t="n">
        <v>284</v>
      </c>
      <c r="M45" s="7" t="n">
        <v>77</v>
      </c>
      <c r="N45" s="7" t="n">
        <v>9</v>
      </c>
      <c r="O45" s="7" t="n">
        <v>0</v>
      </c>
      <c r="P45" s="7" t="n">
        <v>10</v>
      </c>
      <c r="Q45" s="8" t="n">
        <v>0.271</v>
      </c>
      <c r="R45" s="11" t="n">
        <v>64</v>
      </c>
      <c r="S45" s="12" t="n">
        <v>3.5</v>
      </c>
      <c r="T45" s="7" t="n">
        <v>20</v>
      </c>
      <c r="U45" s="7" t="n">
        <v>34</v>
      </c>
    </row>
    <row r="46" customFormat="false" ht="14.25" hidden="false" customHeight="true" outlineLevel="0" collapsed="false">
      <c r="A46" s="6" t="n">
        <v>2021</v>
      </c>
      <c r="B46" s="6" t="s">
        <v>121</v>
      </c>
      <c r="C46" s="7" t="n">
        <v>5</v>
      </c>
      <c r="D46" s="7" t="n">
        <v>7</v>
      </c>
      <c r="E46" s="7" t="n">
        <v>0</v>
      </c>
      <c r="F46" s="8" t="n">
        <v>0.417</v>
      </c>
      <c r="G46" s="7" t="n">
        <v>51</v>
      </c>
      <c r="H46" s="7" t="n">
        <v>78</v>
      </c>
      <c r="I46" s="7" t="n">
        <v>-27</v>
      </c>
      <c r="J46" s="12" t="n">
        <v>4.25</v>
      </c>
      <c r="K46" s="12" t="n">
        <v>6.5</v>
      </c>
      <c r="L46" s="7" t="n">
        <v>358</v>
      </c>
      <c r="M46" s="7" t="n">
        <v>99</v>
      </c>
      <c r="N46" s="7" t="n">
        <v>10</v>
      </c>
      <c r="O46" s="7" t="n">
        <v>0</v>
      </c>
      <c r="P46" s="7" t="n">
        <v>3</v>
      </c>
      <c r="Q46" s="8" t="n">
        <v>0.277</v>
      </c>
      <c r="R46" s="11" t="n">
        <v>83.7</v>
      </c>
      <c r="S46" s="12" t="n">
        <v>5.19</v>
      </c>
      <c r="T46" s="7" t="n">
        <v>13</v>
      </c>
      <c r="U46" s="7" t="n">
        <v>40</v>
      </c>
    </row>
    <row r="47" customFormat="false" ht="14.25" hidden="false" customHeight="true" outlineLevel="0" collapsed="false">
      <c r="A47" s="6" t="n">
        <v>2021</v>
      </c>
      <c r="B47" s="6" t="s">
        <v>71</v>
      </c>
      <c r="C47" s="7" t="n">
        <v>3</v>
      </c>
      <c r="D47" s="7" t="n">
        <v>5</v>
      </c>
      <c r="E47" s="7" t="n">
        <v>0</v>
      </c>
      <c r="F47" s="8" t="n">
        <v>0.375</v>
      </c>
      <c r="G47" s="7" t="n">
        <v>28</v>
      </c>
      <c r="H47" s="7" t="n">
        <v>41</v>
      </c>
      <c r="I47" s="7" t="n">
        <v>-13</v>
      </c>
      <c r="J47" s="12" t="n">
        <v>3.5</v>
      </c>
      <c r="K47" s="12" t="n">
        <v>5.12</v>
      </c>
      <c r="L47" s="7" t="n">
        <v>225</v>
      </c>
      <c r="M47" s="7" t="n">
        <v>54</v>
      </c>
      <c r="N47" s="7" t="n">
        <v>13</v>
      </c>
      <c r="O47" s="7" t="n">
        <v>0</v>
      </c>
      <c r="P47" s="7" t="n">
        <v>11</v>
      </c>
      <c r="Q47" s="8" t="n">
        <v>0.24</v>
      </c>
      <c r="R47" s="11" t="n">
        <v>53</v>
      </c>
      <c r="S47" s="12" t="n">
        <v>3.83</v>
      </c>
      <c r="T47" s="7" t="n">
        <v>9</v>
      </c>
      <c r="U47" s="7" t="n">
        <v>28</v>
      </c>
    </row>
    <row r="48" customFormat="false" ht="14.25" hidden="false" customHeight="true" outlineLevel="0" collapsed="false">
      <c r="A48" s="6" t="n">
        <v>2021</v>
      </c>
      <c r="B48" s="6" t="s">
        <v>212</v>
      </c>
      <c r="C48" s="7" t="n">
        <v>2</v>
      </c>
      <c r="D48" s="7" t="n">
        <v>7</v>
      </c>
      <c r="E48" s="7" t="n">
        <v>0</v>
      </c>
      <c r="F48" s="8" t="n">
        <v>0.222</v>
      </c>
      <c r="G48" s="7" t="n">
        <v>42</v>
      </c>
      <c r="H48" s="7" t="n">
        <v>69</v>
      </c>
      <c r="I48" s="7" t="n">
        <v>-27</v>
      </c>
      <c r="J48" s="12" t="n">
        <v>4.67</v>
      </c>
      <c r="K48" s="12" t="n">
        <v>7.67</v>
      </c>
      <c r="L48" s="7" t="n">
        <v>265</v>
      </c>
      <c r="M48" s="7" t="n">
        <v>73</v>
      </c>
      <c r="N48" s="7" t="n">
        <v>17</v>
      </c>
      <c r="O48" s="7" t="n">
        <v>1</v>
      </c>
      <c r="P48" s="7" t="n">
        <v>9</v>
      </c>
      <c r="Q48" s="8" t="n">
        <v>0.275</v>
      </c>
      <c r="R48" s="11" t="n">
        <v>58</v>
      </c>
      <c r="S48" s="12" t="n">
        <v>6.76</v>
      </c>
      <c r="T48" s="7" t="n">
        <v>5</v>
      </c>
      <c r="U48" s="7" t="n">
        <v>36</v>
      </c>
    </row>
    <row r="49" customFormat="false" ht="14.25" hidden="false" customHeight="true" outlineLevel="0" collapsed="false">
      <c r="A49" s="6" t="n">
        <v>2021</v>
      </c>
      <c r="B49" s="6" t="s">
        <v>97</v>
      </c>
      <c r="C49" s="7" t="n">
        <v>2</v>
      </c>
      <c r="D49" s="7" t="n">
        <v>7</v>
      </c>
      <c r="E49" s="7" t="n">
        <v>0</v>
      </c>
      <c r="F49" s="8" t="n">
        <v>0.222</v>
      </c>
      <c r="G49" s="7" t="n">
        <v>44</v>
      </c>
      <c r="H49" s="7" t="n">
        <v>104</v>
      </c>
      <c r="I49" s="7" t="n">
        <v>-60</v>
      </c>
      <c r="J49" s="12" t="n">
        <v>4.89</v>
      </c>
      <c r="K49" s="12" t="n">
        <v>11.56</v>
      </c>
      <c r="L49" s="7" t="n">
        <v>276</v>
      </c>
      <c r="M49" s="7" t="n">
        <v>81</v>
      </c>
      <c r="N49" s="7" t="n">
        <v>14</v>
      </c>
      <c r="O49" s="7" t="n">
        <v>1</v>
      </c>
      <c r="P49" s="7" t="n">
        <v>5</v>
      </c>
      <c r="Q49" s="8" t="n">
        <v>0.293</v>
      </c>
      <c r="R49" s="11" t="n">
        <v>60</v>
      </c>
      <c r="S49" s="12" t="n">
        <v>9.45</v>
      </c>
      <c r="T49" s="7" t="n">
        <v>2</v>
      </c>
      <c r="U49" s="7" t="n">
        <v>50</v>
      </c>
    </row>
    <row r="50" customFormat="false" ht="14.25" hidden="false" customHeight="true" outlineLevel="0" collapsed="false">
      <c r="A50" s="6" t="n">
        <v>2019</v>
      </c>
      <c r="B50" s="6" t="s">
        <v>147</v>
      </c>
      <c r="C50" s="7" t="n">
        <v>10</v>
      </c>
      <c r="D50" s="7" t="n">
        <v>3</v>
      </c>
      <c r="E50" s="7" t="n">
        <v>0</v>
      </c>
      <c r="F50" s="8" t="n">
        <v>0.769</v>
      </c>
      <c r="G50" s="7" t="n">
        <v>114</v>
      </c>
      <c r="H50" s="7" t="n">
        <v>55</v>
      </c>
      <c r="I50" s="7" t="n">
        <v>59</v>
      </c>
      <c r="J50" s="12" t="n">
        <v>8.77</v>
      </c>
      <c r="K50" s="12" t="n">
        <v>4.23</v>
      </c>
      <c r="L50" s="7" t="n">
        <v>412</v>
      </c>
      <c r="M50" s="7" t="n">
        <v>137</v>
      </c>
      <c r="N50" s="7" t="n">
        <v>16</v>
      </c>
      <c r="O50" s="7" t="n">
        <v>0</v>
      </c>
      <c r="P50" s="7" t="n">
        <v>29</v>
      </c>
      <c r="Q50" s="8" t="n">
        <v>0.333</v>
      </c>
      <c r="R50" s="11" t="n">
        <v>91.3</v>
      </c>
      <c r="S50" s="12" t="n">
        <v>2.37</v>
      </c>
      <c r="T50" s="7" t="n">
        <v>41</v>
      </c>
      <c r="U50" s="7" t="n">
        <v>50</v>
      </c>
    </row>
    <row r="51" customFormat="false" ht="14.25" hidden="false" customHeight="true" outlineLevel="0" collapsed="false">
      <c r="A51" s="6" t="n">
        <v>2019</v>
      </c>
      <c r="B51" s="6" t="s">
        <v>71</v>
      </c>
      <c r="C51" s="7" t="n">
        <v>10</v>
      </c>
      <c r="D51" s="7" t="n">
        <v>3</v>
      </c>
      <c r="E51" s="7" t="n">
        <v>0</v>
      </c>
      <c r="F51" s="8" t="n">
        <v>0.769</v>
      </c>
      <c r="G51" s="7" t="n">
        <v>106</v>
      </c>
      <c r="H51" s="7" t="n">
        <v>70</v>
      </c>
      <c r="I51" s="7" t="n">
        <v>36</v>
      </c>
      <c r="J51" s="12" t="n">
        <v>8.15</v>
      </c>
      <c r="K51" s="12" t="n">
        <v>5.38</v>
      </c>
      <c r="L51" s="7" t="n">
        <v>405</v>
      </c>
      <c r="M51" s="7" t="n">
        <v>134</v>
      </c>
      <c r="N51" s="7" t="n">
        <v>24</v>
      </c>
      <c r="O51" s="7" t="n">
        <v>1</v>
      </c>
      <c r="P51" s="7" t="n">
        <v>30</v>
      </c>
      <c r="Q51" s="8" t="n">
        <v>0.331</v>
      </c>
      <c r="R51" s="11" t="n">
        <v>89.3</v>
      </c>
      <c r="S51" s="12" t="n">
        <v>4.78</v>
      </c>
      <c r="T51" s="7" t="n">
        <v>19</v>
      </c>
      <c r="U51" s="7" t="n">
        <v>59</v>
      </c>
    </row>
    <row r="52" customFormat="false" ht="14.25" hidden="false" customHeight="true" outlineLevel="0" collapsed="false">
      <c r="A52" s="6" t="n">
        <v>2019</v>
      </c>
      <c r="B52" s="6" t="s">
        <v>121</v>
      </c>
      <c r="C52" s="7" t="n">
        <v>7</v>
      </c>
      <c r="D52" s="7" t="n">
        <v>4</v>
      </c>
      <c r="E52" s="7" t="n">
        <v>0</v>
      </c>
      <c r="F52" s="8" t="n">
        <v>0.636</v>
      </c>
      <c r="G52" s="7" t="n">
        <v>60</v>
      </c>
      <c r="H52" s="7" t="n">
        <v>59</v>
      </c>
      <c r="I52" s="7" t="n">
        <v>1</v>
      </c>
      <c r="J52" s="12" t="n">
        <v>5.45</v>
      </c>
      <c r="K52" s="12" t="n">
        <v>5.36</v>
      </c>
      <c r="L52" s="7" t="n">
        <v>321</v>
      </c>
      <c r="M52" s="7" t="n">
        <v>94</v>
      </c>
      <c r="N52" s="7" t="n">
        <v>17</v>
      </c>
      <c r="O52" s="7" t="n">
        <v>2</v>
      </c>
      <c r="P52" s="7" t="n">
        <v>5</v>
      </c>
      <c r="Q52" s="8" t="n">
        <v>0.293</v>
      </c>
      <c r="R52" s="11" t="n">
        <v>76.7</v>
      </c>
      <c r="S52" s="12" t="n">
        <v>4.2</v>
      </c>
      <c r="T52" s="7" t="n">
        <v>7</v>
      </c>
      <c r="U52" s="7" t="n">
        <v>24</v>
      </c>
    </row>
    <row r="53" customFormat="false" ht="14.25" hidden="false" customHeight="true" outlineLevel="0" collapsed="false">
      <c r="A53" s="6" t="n">
        <v>2019</v>
      </c>
      <c r="B53" s="6" t="s">
        <v>97</v>
      </c>
      <c r="C53" s="7" t="n">
        <v>7</v>
      </c>
      <c r="D53" s="7" t="n">
        <v>6</v>
      </c>
      <c r="E53" s="7" t="n">
        <v>0</v>
      </c>
      <c r="F53" s="8" t="n">
        <v>0.538</v>
      </c>
      <c r="G53" s="7" t="n">
        <v>68</v>
      </c>
      <c r="H53" s="7" t="n">
        <v>65</v>
      </c>
      <c r="I53" s="7" t="n">
        <v>3</v>
      </c>
      <c r="J53" s="12" t="n">
        <v>5.23</v>
      </c>
      <c r="K53" s="12" t="n">
        <v>5</v>
      </c>
      <c r="L53" s="7" t="n">
        <v>366</v>
      </c>
      <c r="M53" s="7" t="n">
        <v>103</v>
      </c>
      <c r="N53" s="7" t="n">
        <v>11</v>
      </c>
      <c r="O53" s="7" t="n">
        <v>3</v>
      </c>
      <c r="P53" s="7" t="n">
        <v>10</v>
      </c>
      <c r="Q53" s="8" t="n">
        <v>0.281</v>
      </c>
      <c r="R53" s="11" t="n">
        <v>89.7</v>
      </c>
      <c r="S53" s="12" t="n">
        <v>4.06</v>
      </c>
      <c r="T53" s="7" t="n">
        <v>23</v>
      </c>
      <c r="U53" s="7" t="n">
        <v>47</v>
      </c>
    </row>
    <row r="54" customFormat="false" ht="14.25" hidden="false" customHeight="true" outlineLevel="0" collapsed="false">
      <c r="A54" s="6" t="n">
        <v>2019</v>
      </c>
      <c r="B54" s="6" t="s">
        <v>50</v>
      </c>
      <c r="C54" s="7" t="n">
        <v>7</v>
      </c>
      <c r="D54" s="7" t="n">
        <v>7</v>
      </c>
      <c r="E54" s="7" t="n">
        <v>0</v>
      </c>
      <c r="F54" s="8" t="n">
        <v>0.5</v>
      </c>
      <c r="G54" s="7" t="n">
        <v>79</v>
      </c>
      <c r="H54" s="7" t="n">
        <v>81</v>
      </c>
      <c r="I54" s="7" t="n">
        <v>-2</v>
      </c>
      <c r="J54" s="12" t="n">
        <v>5.64</v>
      </c>
      <c r="K54" s="12" t="n">
        <v>5.79</v>
      </c>
      <c r="L54" s="7" t="n">
        <v>396</v>
      </c>
      <c r="M54" s="7" t="n">
        <v>107</v>
      </c>
      <c r="N54" s="7" t="n">
        <v>17</v>
      </c>
      <c r="O54" s="7" t="n">
        <v>0</v>
      </c>
      <c r="P54" s="7" t="n">
        <v>21</v>
      </c>
      <c r="Q54" s="8" t="n">
        <v>0.27</v>
      </c>
      <c r="R54" s="11" t="n">
        <v>94</v>
      </c>
      <c r="S54" s="12" t="n">
        <v>4.77</v>
      </c>
      <c r="T54" s="7" t="n">
        <v>13</v>
      </c>
      <c r="U54" s="7" t="n">
        <v>51</v>
      </c>
    </row>
    <row r="55" customFormat="false" ht="14.25" hidden="false" customHeight="true" outlineLevel="0" collapsed="false">
      <c r="A55" s="6" t="n">
        <v>2019</v>
      </c>
      <c r="B55" s="6" t="s">
        <v>166</v>
      </c>
      <c r="C55" s="7" t="n">
        <v>4</v>
      </c>
      <c r="D55" s="7" t="n">
        <v>9</v>
      </c>
      <c r="E55" s="7" t="n">
        <v>0</v>
      </c>
      <c r="F55" s="8" t="n">
        <v>0.308</v>
      </c>
      <c r="G55" s="7" t="n">
        <v>57</v>
      </c>
      <c r="H55" s="7" t="n">
        <v>81</v>
      </c>
      <c r="I55" s="7" t="n">
        <v>-24</v>
      </c>
      <c r="J55" s="12" t="n">
        <v>4.38</v>
      </c>
      <c r="K55" s="12" t="n">
        <v>6.23</v>
      </c>
      <c r="L55" s="7" t="n">
        <v>372</v>
      </c>
      <c r="M55" s="7" t="n">
        <v>93</v>
      </c>
      <c r="N55" s="7" t="n">
        <v>20</v>
      </c>
      <c r="O55" s="7" t="n">
        <v>0</v>
      </c>
      <c r="P55" s="7" t="n">
        <v>11</v>
      </c>
      <c r="Q55" s="8" t="n">
        <v>0.25</v>
      </c>
      <c r="R55" s="11" t="n">
        <v>88.7</v>
      </c>
      <c r="S55" s="12" t="n">
        <v>4.58</v>
      </c>
      <c r="T55" s="7" t="n">
        <v>15</v>
      </c>
      <c r="U55" s="7" t="n">
        <v>45</v>
      </c>
    </row>
    <row r="56" customFormat="false" ht="14.25" hidden="false" customHeight="true" outlineLevel="0" collapsed="false">
      <c r="A56" s="6" t="n">
        <v>2019</v>
      </c>
      <c r="B56" s="6" t="s">
        <v>192</v>
      </c>
      <c r="C56" s="7" t="n">
        <v>3</v>
      </c>
      <c r="D56" s="7" t="n">
        <v>8</v>
      </c>
      <c r="E56" s="7" t="n">
        <v>0</v>
      </c>
      <c r="F56" s="8" t="n">
        <v>0.273</v>
      </c>
      <c r="G56" s="7" t="n">
        <v>47</v>
      </c>
      <c r="H56" s="7" t="n">
        <v>61</v>
      </c>
      <c r="I56" s="7" t="n">
        <v>-14</v>
      </c>
      <c r="J56" s="12" t="n">
        <v>4.27</v>
      </c>
      <c r="K56" s="12" t="n">
        <v>5.55</v>
      </c>
      <c r="L56" s="7" t="n">
        <v>316</v>
      </c>
      <c r="M56" s="7" t="n">
        <v>88</v>
      </c>
      <c r="N56" s="7" t="n">
        <v>8</v>
      </c>
      <c r="O56" s="7" t="n">
        <v>2</v>
      </c>
      <c r="P56" s="7" t="n">
        <v>8</v>
      </c>
      <c r="Q56" s="8" t="n">
        <v>0.278</v>
      </c>
      <c r="R56" s="11" t="n">
        <v>73</v>
      </c>
      <c r="S56" s="12" t="n">
        <v>4.32</v>
      </c>
      <c r="T56" s="7" t="n">
        <v>15</v>
      </c>
      <c r="U56" s="7" t="n">
        <v>34</v>
      </c>
    </row>
    <row r="57" customFormat="false" ht="14.25" hidden="false" customHeight="true" outlineLevel="0" collapsed="false">
      <c r="A57" s="6" t="n">
        <v>2019</v>
      </c>
      <c r="B57" s="6" t="s">
        <v>212</v>
      </c>
      <c r="C57" s="7" t="n">
        <v>1</v>
      </c>
      <c r="D57" s="7" t="n">
        <v>9</v>
      </c>
      <c r="E57" s="7" t="n">
        <v>0</v>
      </c>
      <c r="F57" s="8" t="n">
        <v>0.1</v>
      </c>
      <c r="G57" s="7" t="n">
        <v>37</v>
      </c>
      <c r="H57" s="7" t="n">
        <v>96</v>
      </c>
      <c r="I57" s="7" t="n">
        <v>-59</v>
      </c>
      <c r="J57" s="12" t="n">
        <v>3.7</v>
      </c>
      <c r="K57" s="12" t="n">
        <v>9.6</v>
      </c>
      <c r="L57" s="7" t="n">
        <v>293</v>
      </c>
      <c r="M57" s="7" t="n">
        <v>72</v>
      </c>
      <c r="N57" s="7" t="n">
        <v>7</v>
      </c>
      <c r="O57" s="7" t="n">
        <v>0</v>
      </c>
      <c r="P57" s="7" t="n">
        <v>5</v>
      </c>
      <c r="Q57" s="8" t="n">
        <v>0.246</v>
      </c>
      <c r="R57" s="11" t="n">
        <v>67.7</v>
      </c>
      <c r="S57" s="12" t="n">
        <v>7.34</v>
      </c>
      <c r="T57" s="7" t="n">
        <v>14</v>
      </c>
      <c r="U57" s="7" t="n">
        <v>83</v>
      </c>
    </row>
    <row r="58" customFormat="false" ht="14.25" hidden="false" customHeight="true" outlineLevel="0" collapsed="false">
      <c r="A58" s="6" t="n">
        <v>2018</v>
      </c>
      <c r="B58" s="6" t="s">
        <v>147</v>
      </c>
      <c r="C58" s="7" t="n">
        <v>10</v>
      </c>
      <c r="D58" s="7" t="n">
        <v>3</v>
      </c>
      <c r="E58" s="7" t="n">
        <v>0</v>
      </c>
      <c r="F58" s="8" t="n">
        <v>0.769</v>
      </c>
      <c r="G58" s="7" t="n">
        <v>94</v>
      </c>
      <c r="H58" s="7" t="n">
        <v>56</v>
      </c>
      <c r="I58" s="7" t="n">
        <v>38</v>
      </c>
      <c r="J58" s="12" t="n">
        <v>7.23</v>
      </c>
      <c r="K58" s="12" t="n">
        <v>4.31</v>
      </c>
      <c r="L58" s="7" t="n">
        <v>372</v>
      </c>
      <c r="M58" s="7" t="n">
        <v>90</v>
      </c>
      <c r="N58" s="7" t="n">
        <v>18</v>
      </c>
      <c r="O58" s="7" t="n">
        <v>0</v>
      </c>
      <c r="P58" s="7" t="n">
        <v>17</v>
      </c>
      <c r="Q58" s="8" t="n">
        <v>0.242</v>
      </c>
      <c r="R58" s="11"/>
      <c r="S58" s="12"/>
      <c r="T58" s="7"/>
      <c r="U58" s="7"/>
    </row>
    <row r="59" customFormat="false" ht="14.25" hidden="false" customHeight="true" outlineLevel="0" collapsed="false">
      <c r="A59" s="6" t="n">
        <v>2018</v>
      </c>
      <c r="B59" s="6" t="s">
        <v>97</v>
      </c>
      <c r="C59" s="7" t="n">
        <v>7</v>
      </c>
      <c r="D59" s="7" t="n">
        <v>4</v>
      </c>
      <c r="E59" s="7" t="n">
        <v>0</v>
      </c>
      <c r="F59" s="8" t="n">
        <v>0.636</v>
      </c>
      <c r="G59" s="7" t="n">
        <v>64</v>
      </c>
      <c r="H59" s="7" t="n">
        <v>67</v>
      </c>
      <c r="I59" s="7" t="n">
        <v>-3</v>
      </c>
      <c r="J59" s="12" t="n">
        <v>5.82</v>
      </c>
      <c r="K59" s="12" t="n">
        <v>6.09</v>
      </c>
      <c r="L59" s="7" t="n">
        <v>327</v>
      </c>
      <c r="M59" s="7" t="n">
        <v>95</v>
      </c>
      <c r="N59" s="7" t="n">
        <v>9</v>
      </c>
      <c r="O59" s="7" t="n">
        <v>3</v>
      </c>
      <c r="P59" s="7" t="n">
        <v>18</v>
      </c>
      <c r="Q59" s="8" t="n">
        <v>0.291</v>
      </c>
      <c r="R59" s="11"/>
      <c r="S59" s="12"/>
      <c r="T59" s="7"/>
      <c r="U59" s="7"/>
    </row>
    <row r="60" customFormat="false" ht="14.25" hidden="false" customHeight="true" outlineLevel="0" collapsed="false">
      <c r="A60" s="6" t="n">
        <v>2018</v>
      </c>
      <c r="B60" s="6" t="s">
        <v>71</v>
      </c>
      <c r="C60" s="7" t="n">
        <v>6</v>
      </c>
      <c r="D60" s="7" t="n">
        <v>4</v>
      </c>
      <c r="E60" s="7" t="n">
        <v>0</v>
      </c>
      <c r="F60" s="8" t="n">
        <v>0.6</v>
      </c>
      <c r="G60" s="7" t="n">
        <v>61</v>
      </c>
      <c r="H60" s="7" t="n">
        <v>47</v>
      </c>
      <c r="I60" s="7" t="n">
        <v>14</v>
      </c>
      <c r="J60" s="12" t="n">
        <v>6.1</v>
      </c>
      <c r="K60" s="12" t="n">
        <v>4.7</v>
      </c>
      <c r="L60" s="7" t="n">
        <v>286</v>
      </c>
      <c r="M60" s="7" t="n">
        <v>82</v>
      </c>
      <c r="N60" s="7" t="n">
        <v>16</v>
      </c>
      <c r="O60" s="7" t="n">
        <v>2</v>
      </c>
      <c r="P60" s="7" t="n">
        <v>14</v>
      </c>
      <c r="Q60" s="8" t="n">
        <v>0.287</v>
      </c>
      <c r="R60" s="11"/>
      <c r="S60" s="12"/>
      <c r="T60" s="7"/>
      <c r="U60" s="7"/>
    </row>
    <row r="61" customFormat="false" ht="14.25" hidden="false" customHeight="true" outlineLevel="0" collapsed="false">
      <c r="A61" s="6" t="n">
        <v>2018</v>
      </c>
      <c r="B61" s="6" t="s">
        <v>121</v>
      </c>
      <c r="C61" s="7" t="n">
        <v>3</v>
      </c>
      <c r="D61" s="7" t="n">
        <v>3</v>
      </c>
      <c r="E61" s="7" t="n">
        <v>0</v>
      </c>
      <c r="F61" s="8" t="n">
        <v>0.5</v>
      </c>
      <c r="G61" s="7" t="n">
        <v>39</v>
      </c>
      <c r="H61" s="7" t="n">
        <v>30</v>
      </c>
      <c r="I61" s="7" t="n">
        <v>9</v>
      </c>
      <c r="J61" s="12" t="n">
        <v>6.5</v>
      </c>
      <c r="K61" s="12" t="n">
        <v>5</v>
      </c>
      <c r="L61" s="7" t="n">
        <v>183</v>
      </c>
      <c r="M61" s="7" t="n">
        <v>55</v>
      </c>
      <c r="N61" s="7" t="n">
        <v>11</v>
      </c>
      <c r="O61" s="7" t="n">
        <v>0</v>
      </c>
      <c r="P61" s="7" t="n">
        <v>2</v>
      </c>
      <c r="Q61" s="8" t="n">
        <v>0.301</v>
      </c>
      <c r="R61" s="11"/>
      <c r="S61" s="12"/>
      <c r="T61" s="7"/>
      <c r="U61" s="7"/>
    </row>
    <row r="62" customFormat="false" ht="14.25" hidden="false" customHeight="true" outlineLevel="0" collapsed="false">
      <c r="A62" s="6" t="n">
        <v>2018</v>
      </c>
      <c r="B62" s="6" t="s">
        <v>212</v>
      </c>
      <c r="C62" s="7" t="n">
        <v>3</v>
      </c>
      <c r="D62" s="7" t="n">
        <v>4</v>
      </c>
      <c r="E62" s="7" t="n">
        <v>0</v>
      </c>
      <c r="F62" s="8" t="n">
        <v>0.429</v>
      </c>
      <c r="G62" s="7" t="n">
        <v>37</v>
      </c>
      <c r="H62" s="7" t="n">
        <v>46</v>
      </c>
      <c r="I62" s="7" t="n">
        <v>-9</v>
      </c>
      <c r="J62" s="12" t="n">
        <v>5.29</v>
      </c>
      <c r="K62" s="12" t="n">
        <v>6.57</v>
      </c>
      <c r="L62" s="7" t="n">
        <v>207</v>
      </c>
      <c r="M62" s="7" t="n">
        <v>55</v>
      </c>
      <c r="N62" s="7" t="n">
        <v>7</v>
      </c>
      <c r="O62" s="7" t="n">
        <v>0</v>
      </c>
      <c r="P62" s="7" t="n">
        <v>3</v>
      </c>
      <c r="Q62" s="8" t="n">
        <v>0.266</v>
      </c>
      <c r="R62" s="11"/>
      <c r="S62" s="12"/>
      <c r="T62" s="7"/>
      <c r="U62" s="7"/>
    </row>
    <row r="63" customFormat="false" ht="14.25" hidden="false" customHeight="true" outlineLevel="0" collapsed="false">
      <c r="A63" s="6" t="n">
        <v>2018</v>
      </c>
      <c r="B63" s="6" t="s">
        <v>50</v>
      </c>
      <c r="C63" s="7" t="n">
        <v>4</v>
      </c>
      <c r="D63" s="7" t="n">
        <v>6</v>
      </c>
      <c r="E63" s="7" t="n">
        <v>0</v>
      </c>
      <c r="F63" s="8" t="n">
        <v>0.4</v>
      </c>
      <c r="G63" s="7" t="n">
        <v>41</v>
      </c>
      <c r="H63" s="7" t="n">
        <v>51</v>
      </c>
      <c r="I63" s="7" t="n">
        <v>-10</v>
      </c>
      <c r="J63" s="12" t="n">
        <v>4.1</v>
      </c>
      <c r="K63" s="12" t="n">
        <v>5.1</v>
      </c>
      <c r="L63" s="7" t="n">
        <v>261</v>
      </c>
      <c r="M63" s="7" t="n">
        <v>59</v>
      </c>
      <c r="N63" s="7" t="n">
        <v>5</v>
      </c>
      <c r="O63" s="7" t="n">
        <v>0</v>
      </c>
      <c r="P63" s="7" t="n">
        <v>9</v>
      </c>
      <c r="Q63" s="8" t="n">
        <v>0.226</v>
      </c>
      <c r="R63" s="11"/>
      <c r="S63" s="12"/>
      <c r="T63" s="7"/>
      <c r="U63" s="7"/>
    </row>
    <row r="64" customFormat="false" ht="14.25" hidden="false" customHeight="true" outlineLevel="0" collapsed="false">
      <c r="A64" s="6" t="n">
        <v>2018</v>
      </c>
      <c r="B64" s="6" t="s">
        <v>192</v>
      </c>
      <c r="C64" s="7" t="n">
        <v>2</v>
      </c>
      <c r="D64" s="7" t="n">
        <v>6</v>
      </c>
      <c r="E64" s="7" t="n">
        <v>0</v>
      </c>
      <c r="F64" s="8" t="n">
        <v>0.25</v>
      </c>
      <c r="G64" s="7" t="n">
        <v>51</v>
      </c>
      <c r="H64" s="7" t="n">
        <v>64</v>
      </c>
      <c r="I64" s="7" t="n">
        <v>-13</v>
      </c>
      <c r="J64" s="12" t="n">
        <v>6.38</v>
      </c>
      <c r="K64" s="12" t="n">
        <v>8</v>
      </c>
      <c r="L64" s="7" t="n">
        <v>253</v>
      </c>
      <c r="M64" s="7" t="n">
        <v>73</v>
      </c>
      <c r="N64" s="7" t="n">
        <v>10</v>
      </c>
      <c r="O64" s="7" t="n">
        <v>1</v>
      </c>
      <c r="P64" s="7" t="n">
        <v>11</v>
      </c>
      <c r="Q64" s="8" t="n">
        <v>0.289</v>
      </c>
      <c r="R64" s="11"/>
      <c r="S64" s="12"/>
      <c r="T64" s="7"/>
      <c r="U64" s="7"/>
    </row>
    <row r="65" customFormat="false" ht="14.25" hidden="false" customHeight="true" outlineLevel="0" collapsed="false">
      <c r="A65" s="6" t="n">
        <v>2018</v>
      </c>
      <c r="B65" s="6" t="s">
        <v>166</v>
      </c>
      <c r="C65" s="7" t="n">
        <v>2</v>
      </c>
      <c r="D65" s="7" t="n">
        <v>7</v>
      </c>
      <c r="E65" s="7" t="n">
        <v>0</v>
      </c>
      <c r="F65" s="8" t="n">
        <v>0.222</v>
      </c>
      <c r="G65" s="7" t="n">
        <v>29</v>
      </c>
      <c r="H65" s="7" t="n">
        <v>55</v>
      </c>
      <c r="I65" s="7" t="n">
        <v>-26</v>
      </c>
      <c r="J65" s="12" t="n">
        <v>3.22</v>
      </c>
      <c r="K65" s="12" t="n">
        <v>6.11</v>
      </c>
      <c r="L65" s="7" t="n">
        <v>241</v>
      </c>
      <c r="M65" s="7" t="n">
        <v>53</v>
      </c>
      <c r="N65" s="7" t="n">
        <v>6</v>
      </c>
      <c r="O65" s="7" t="n">
        <v>0</v>
      </c>
      <c r="P65" s="7" t="n">
        <v>2</v>
      </c>
      <c r="Q65" s="8" t="n">
        <v>0.22</v>
      </c>
      <c r="R65" s="11"/>
      <c r="S65" s="12"/>
      <c r="T65" s="7"/>
      <c r="U65" s="7"/>
    </row>
  </sheetData>
  <autoFilter ref="A1:U1">
    <sortState ref="A2:U1">
      <sortCondition ref="A2:A1" descending="1" customList=""/>
    </sortState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9"/>
    <col collapsed="false" customWidth="true" hidden="false" outlineLevel="0" max="6" min="3" style="1" width="6"/>
    <col collapsed="false" customWidth="true" hidden="false" outlineLevel="0" max="7" min="7" style="1" width="7"/>
    <col collapsed="false" customWidth="true" hidden="false" outlineLevel="0" max="15" min="8" style="1" width="6"/>
    <col collapsed="false" customWidth="true" hidden="false" outlineLevel="0" max="16" min="16" style="1" width="10"/>
    <col collapsed="false" customWidth="true" hidden="false" outlineLevel="0" max="17" min="17" style="1" width="7"/>
    <col collapsed="false" customWidth="true" hidden="false" outlineLevel="0" max="18" min="18" style="1" width="6"/>
  </cols>
  <sheetData>
    <row r="1" customFormat="false" ht="14.25" hidden="false" customHeight="true" outlineLevel="0" collapsed="false">
      <c r="A1" s="5" t="s">
        <v>31</v>
      </c>
      <c r="B1" s="5" t="s">
        <v>530</v>
      </c>
      <c r="C1" s="5" t="s">
        <v>33</v>
      </c>
      <c r="D1" s="5" t="s">
        <v>643</v>
      </c>
      <c r="E1" s="5" t="s">
        <v>644</v>
      </c>
      <c r="F1" s="5" t="s">
        <v>371</v>
      </c>
      <c r="G1" s="5" t="s">
        <v>660</v>
      </c>
      <c r="H1" s="5" t="s">
        <v>661</v>
      </c>
      <c r="I1" s="5" t="s">
        <v>662</v>
      </c>
      <c r="J1" s="5" t="s">
        <v>663</v>
      </c>
      <c r="K1" s="5" t="s">
        <v>34</v>
      </c>
      <c r="L1" s="5" t="s">
        <v>36</v>
      </c>
      <c r="M1" s="5" t="s">
        <v>37</v>
      </c>
      <c r="N1" s="5" t="s">
        <v>38</v>
      </c>
      <c r="O1" s="5" t="s">
        <v>39</v>
      </c>
      <c r="P1" s="5" t="s">
        <v>666</v>
      </c>
      <c r="Q1" s="5" t="s">
        <v>642</v>
      </c>
      <c r="R1" s="5" t="s">
        <v>646</v>
      </c>
    </row>
    <row r="2" customFormat="false" ht="14.25" hidden="false" customHeight="true" outlineLevel="0" collapsed="false">
      <c r="A2" s="6" t="s">
        <v>147</v>
      </c>
      <c r="B2" s="6" t="n">
        <v>8</v>
      </c>
      <c r="C2" s="7" t="n">
        <v>96</v>
      </c>
      <c r="D2" s="7" t="n">
        <v>68</v>
      </c>
      <c r="E2" s="7" t="n">
        <v>27</v>
      </c>
      <c r="F2" s="7" t="n">
        <v>1</v>
      </c>
      <c r="G2" s="8" t="n">
        <v>0.708</v>
      </c>
      <c r="H2" s="7" t="n">
        <v>707</v>
      </c>
      <c r="I2" s="7" t="n">
        <v>384</v>
      </c>
      <c r="J2" s="7" t="n">
        <v>323</v>
      </c>
      <c r="K2" s="7" t="n">
        <v>2798</v>
      </c>
      <c r="L2" s="7" t="n">
        <v>820</v>
      </c>
      <c r="M2" s="7" t="n">
        <v>162</v>
      </c>
      <c r="N2" s="7" t="n">
        <v>4</v>
      </c>
      <c r="O2" s="7" t="n">
        <v>145</v>
      </c>
      <c r="P2" s="8" t="n">
        <v>0.293</v>
      </c>
      <c r="Q2" s="11" t="n">
        <v>568.7</v>
      </c>
      <c r="R2" s="12" t="n">
        <v>2.98</v>
      </c>
    </row>
    <row r="3" customFormat="false" ht="14.25" hidden="false" customHeight="true" outlineLevel="0" collapsed="false">
      <c r="A3" s="6" t="s">
        <v>50</v>
      </c>
      <c r="B3" s="6" t="n">
        <v>8</v>
      </c>
      <c r="C3" s="7" t="n">
        <v>96</v>
      </c>
      <c r="D3" s="7" t="n">
        <v>57</v>
      </c>
      <c r="E3" s="7" t="n">
        <v>39</v>
      </c>
      <c r="F3" s="7" t="n">
        <v>0</v>
      </c>
      <c r="G3" s="8" t="n">
        <v>0.594</v>
      </c>
      <c r="H3" s="7" t="n">
        <v>620</v>
      </c>
      <c r="I3" s="7" t="n">
        <v>461</v>
      </c>
      <c r="J3" s="7" t="n">
        <v>159</v>
      </c>
      <c r="K3" s="7" t="n">
        <v>2829</v>
      </c>
      <c r="L3" s="7" t="n">
        <v>814</v>
      </c>
      <c r="M3" s="7" t="n">
        <v>142</v>
      </c>
      <c r="N3" s="7" t="n">
        <v>1</v>
      </c>
      <c r="O3" s="7" t="n">
        <v>126</v>
      </c>
      <c r="P3" s="8" t="n">
        <v>0.288</v>
      </c>
      <c r="Q3" s="11" t="n">
        <v>594.7</v>
      </c>
      <c r="R3" s="12" t="n">
        <v>3.66</v>
      </c>
    </row>
    <row r="4" customFormat="false" ht="14.25" hidden="false" customHeight="true" outlineLevel="0" collapsed="false">
      <c r="A4" s="6" t="s">
        <v>71</v>
      </c>
      <c r="B4" s="6" t="n">
        <v>8</v>
      </c>
      <c r="C4" s="7" t="n">
        <v>93</v>
      </c>
      <c r="D4" s="7" t="n">
        <v>53</v>
      </c>
      <c r="E4" s="7" t="n">
        <v>39</v>
      </c>
      <c r="F4" s="7" t="n">
        <v>1</v>
      </c>
      <c r="G4" s="8" t="n">
        <v>0.57</v>
      </c>
      <c r="H4" s="7" t="n">
        <v>639</v>
      </c>
      <c r="I4" s="7" t="n">
        <v>541</v>
      </c>
      <c r="J4" s="7" t="n">
        <v>98</v>
      </c>
      <c r="K4" s="7" t="n">
        <v>2792</v>
      </c>
      <c r="L4" s="7" t="n">
        <v>851</v>
      </c>
      <c r="M4" s="7" t="n">
        <v>131</v>
      </c>
      <c r="N4" s="7" t="n">
        <v>3</v>
      </c>
      <c r="O4" s="7" t="n">
        <v>170</v>
      </c>
      <c r="P4" s="8" t="n">
        <v>0.305</v>
      </c>
      <c r="Q4" s="11" t="n">
        <v>557.3</v>
      </c>
      <c r="R4" s="12" t="n">
        <v>4.28</v>
      </c>
    </row>
    <row r="5" customFormat="false" ht="14.25" hidden="false" customHeight="true" outlineLevel="0" collapsed="false">
      <c r="A5" s="6" t="s">
        <v>121</v>
      </c>
      <c r="B5" s="6" t="n">
        <v>8</v>
      </c>
      <c r="C5" s="7" t="n">
        <v>93</v>
      </c>
      <c r="D5" s="7" t="n">
        <v>50</v>
      </c>
      <c r="E5" s="7" t="n">
        <v>43</v>
      </c>
      <c r="F5" s="7" t="n">
        <v>0</v>
      </c>
      <c r="G5" s="8" t="n">
        <v>0.538</v>
      </c>
      <c r="H5" s="7" t="n">
        <v>539</v>
      </c>
      <c r="I5" s="7" t="n">
        <v>560</v>
      </c>
      <c r="J5" s="7" t="n">
        <v>-21</v>
      </c>
      <c r="K5" s="7" t="n">
        <v>2813</v>
      </c>
      <c r="L5" s="7" t="n">
        <v>843</v>
      </c>
      <c r="M5" s="7" t="n">
        <v>162</v>
      </c>
      <c r="N5" s="7" t="n">
        <v>6</v>
      </c>
      <c r="O5" s="7" t="n">
        <v>60</v>
      </c>
      <c r="P5" s="8" t="n">
        <v>0.3</v>
      </c>
      <c r="Q5" s="11" t="n">
        <v>597.3</v>
      </c>
      <c r="R5" s="12" t="n">
        <v>5.16</v>
      </c>
    </row>
    <row r="6" customFormat="false" ht="14.25" hidden="false" customHeight="true" outlineLevel="0" collapsed="false">
      <c r="A6" s="6" t="s">
        <v>166</v>
      </c>
      <c r="B6" s="6" t="n">
        <v>8</v>
      </c>
      <c r="C6" s="7" t="n">
        <v>93</v>
      </c>
      <c r="D6" s="7" t="n">
        <v>44</v>
      </c>
      <c r="E6" s="7" t="n">
        <v>49</v>
      </c>
      <c r="F6" s="7" t="n">
        <v>0</v>
      </c>
      <c r="G6" s="8" t="n">
        <v>0.473</v>
      </c>
      <c r="H6" s="7" t="n">
        <v>499</v>
      </c>
      <c r="I6" s="7" t="n">
        <v>521</v>
      </c>
      <c r="J6" s="7" t="n">
        <v>-22</v>
      </c>
      <c r="K6" s="7" t="n">
        <v>2709</v>
      </c>
      <c r="L6" s="7" t="n">
        <v>736</v>
      </c>
      <c r="M6" s="7" t="n">
        <v>102</v>
      </c>
      <c r="N6" s="7" t="n">
        <v>1</v>
      </c>
      <c r="O6" s="7" t="n">
        <v>127</v>
      </c>
      <c r="P6" s="8" t="n">
        <v>0.272</v>
      </c>
      <c r="Q6" s="11" t="n">
        <v>576.3</v>
      </c>
      <c r="R6" s="12" t="n">
        <v>3.98</v>
      </c>
    </row>
    <row r="7" customFormat="false" ht="14.25" hidden="false" customHeight="true" outlineLevel="0" collapsed="false">
      <c r="A7" s="6" t="s">
        <v>192</v>
      </c>
      <c r="B7" s="6" t="n">
        <v>8</v>
      </c>
      <c r="C7" s="7" t="n">
        <v>84</v>
      </c>
      <c r="D7" s="7" t="n">
        <v>40</v>
      </c>
      <c r="E7" s="7" t="n">
        <v>44</v>
      </c>
      <c r="F7" s="7" t="n">
        <v>0</v>
      </c>
      <c r="G7" s="8" t="n">
        <v>0.476</v>
      </c>
      <c r="H7" s="7" t="n">
        <v>476</v>
      </c>
      <c r="I7" s="7" t="n">
        <v>447</v>
      </c>
      <c r="J7" s="7" t="n">
        <v>29</v>
      </c>
      <c r="K7" s="7" t="n">
        <v>2571</v>
      </c>
      <c r="L7" s="7" t="n">
        <v>746</v>
      </c>
      <c r="M7" s="7" t="n">
        <v>122</v>
      </c>
      <c r="N7" s="7" t="n">
        <v>6</v>
      </c>
      <c r="O7" s="7" t="n">
        <v>82</v>
      </c>
      <c r="P7" s="8" t="n">
        <v>0.29</v>
      </c>
      <c r="Q7" s="11" t="n">
        <v>529.7</v>
      </c>
      <c r="R7" s="12" t="n">
        <v>3.74</v>
      </c>
    </row>
    <row r="8" customFormat="false" ht="14.25" hidden="false" customHeight="true" outlineLevel="0" collapsed="false">
      <c r="A8" s="6" t="s">
        <v>212</v>
      </c>
      <c r="B8" s="6" t="n">
        <v>8</v>
      </c>
      <c r="C8" s="7" t="n">
        <v>79</v>
      </c>
      <c r="D8" s="7" t="n">
        <v>23</v>
      </c>
      <c r="E8" s="7" t="n">
        <v>56</v>
      </c>
      <c r="F8" s="7" t="n">
        <v>0</v>
      </c>
      <c r="G8" s="8" t="n">
        <v>0.291</v>
      </c>
      <c r="H8" s="7" t="n">
        <v>357</v>
      </c>
      <c r="I8" s="7" t="n">
        <v>587</v>
      </c>
      <c r="J8" s="7" t="n">
        <v>-230</v>
      </c>
      <c r="K8" s="7" t="n">
        <v>2321</v>
      </c>
      <c r="L8" s="7" t="n">
        <v>595</v>
      </c>
      <c r="M8" s="7" t="n">
        <v>104</v>
      </c>
      <c r="N8" s="7" t="n">
        <v>6</v>
      </c>
      <c r="O8" s="7" t="n">
        <v>59</v>
      </c>
      <c r="P8" s="8" t="n">
        <v>0.256</v>
      </c>
      <c r="Q8" s="11" t="n">
        <v>472.7</v>
      </c>
      <c r="R8" s="12" t="n">
        <v>5.68</v>
      </c>
    </row>
    <row r="9" customFormat="false" ht="14.25" hidden="false" customHeight="true" outlineLevel="0" collapsed="false">
      <c r="A9" s="6" t="s">
        <v>97</v>
      </c>
      <c r="B9" s="6" t="n">
        <v>8</v>
      </c>
      <c r="C9" s="7" t="n">
        <v>84</v>
      </c>
      <c r="D9" s="7" t="n">
        <v>23</v>
      </c>
      <c r="E9" s="7" t="n">
        <v>61</v>
      </c>
      <c r="F9" s="7" t="n">
        <v>0</v>
      </c>
      <c r="G9" s="8" t="n">
        <v>0.274</v>
      </c>
      <c r="H9" s="7" t="n">
        <v>352</v>
      </c>
      <c r="I9" s="7" t="n">
        <v>688</v>
      </c>
      <c r="J9" s="7" t="n">
        <v>-336</v>
      </c>
      <c r="K9" s="7" t="n">
        <v>2443</v>
      </c>
      <c r="L9" s="7" t="n">
        <v>663</v>
      </c>
      <c r="M9" s="7" t="n">
        <v>90</v>
      </c>
      <c r="N9" s="7" t="n">
        <v>10</v>
      </c>
      <c r="O9" s="7" t="n">
        <v>61</v>
      </c>
      <c r="P9" s="8" t="n">
        <v>0.271</v>
      </c>
      <c r="Q9" s="11" t="n">
        <v>489</v>
      </c>
      <c r="R9" s="12" t="n">
        <v>6.36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2026-07-27T18:37:08Z</dcterms:created>
  <dc:creator>openpyxl</dc:creator>
  <dc:description/>
  <dc:language>en-US</dc:language>
  <cp:lastModifiedBy>michael mcallister</cp:lastModifiedBy>
  <dcterms:modified xsi:type="dcterms:W3CDTF">2026-09-10T14:47:45Z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